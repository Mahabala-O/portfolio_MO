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ipotleData" sheetId="1" state="visible" r:id="rId3"/>
    <sheet name="STP Analysis" sheetId="2" state="visible" r:id="rId4"/>
    <sheet name="Variables" sheetId="3" state="visible" r:id="rId5"/>
    <sheet name="Data Prep" sheetId="4" state="visible" r:id="rId6"/>
    <sheet name="Original Data" sheetId="5" state="visible" r:id="rId7"/>
  </sheets>
  <definedNames>
    <definedName function="false" hidden="true" localSheetId="0" name="_xlnm._FilterDatabase" vbProcedure="false">ChipotleData!$A$1:$AT$314</definedName>
    <definedName function="false" hidden="true" localSheetId="4" name="_xlnm._FilterDatabase" vbProcedure="false">'Original Data'!$A$1:$AA$358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X2" authorId="0">
      <text>
        <r>
          <rPr>
            <sz val="10"/>
            <rFont val="Arial"/>
            <family val="2"/>
          </rPr>
          <t xml:space="preserve">Step 18: each center = AVERAGEIF of the participants whose last pasted cluster label (column BH "Last") equals that center number.</t>
        </r>
      </text>
    </comment>
    <comment ref="BH1" authorId="0">
      <text>
        <r>
          <rPr>
            <sz val="10"/>
            <rFont val="Arial"/>
            <family val="2"/>
          </rPr>
          <t xml:space="preserve">Step 17: Cluster column pasted as VALUES (Paste Special &gt; Values). Centers in AX2:AZ4 are averaged from this column.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Profile labels written from the means in D:F (gender, age, income).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Blue = standardized name typed in by hand (official spelling, first letters capitalized). "In-n-out Kebob Shop" was grouped with In-n-out, which gives the 21 categories the exercise expects.</t>
        </r>
      </text>
    </comment>
  </commentList>
</comments>
</file>

<file path=xl/sharedStrings.xml><?xml version="1.0" encoding="utf-8"?>
<sst xmlns="http://schemas.openxmlformats.org/spreadsheetml/2006/main" count="1069" uniqueCount="195">
  <si>
    <t xml:space="preserve">Participant</t>
  </si>
  <si>
    <t xml:space="preserve">top1</t>
  </si>
  <si>
    <t xml:space="preserve">wom</t>
  </si>
  <si>
    <t xml:space="preserve">sm</t>
  </si>
  <si>
    <t xml:space="preserve">walk</t>
  </si>
  <si>
    <t xml:space="preserve">billboard</t>
  </si>
  <si>
    <t xml:space="preserve">chipotlevisits</t>
  </si>
  <si>
    <t xml:space="preserve">importantconvenience</t>
  </si>
  <si>
    <t xml:space="preserve">importantvariety</t>
  </si>
  <si>
    <t xml:space="preserve">importantprice</t>
  </si>
  <si>
    <t xml:space="preserve">importanthealthy</t>
  </si>
  <si>
    <t xml:space="preserve">importanttaste</t>
  </si>
  <si>
    <t xml:space="preserve">importantambience</t>
  </si>
  <si>
    <t xml:space="preserve">chipotleconvenient</t>
  </si>
  <si>
    <t xml:space="preserve">chipotlevariety</t>
  </si>
  <si>
    <t xml:space="preserve">chipotleprice</t>
  </si>
  <si>
    <t xml:space="preserve">chipotlehealthy</t>
  </si>
  <si>
    <t xml:space="preserve">chipotletaste</t>
  </si>
  <si>
    <t xml:space="preserve">chipotleambience</t>
  </si>
  <si>
    <t xml:space="preserve">female</t>
  </si>
  <si>
    <t xml:space="preserve">age</t>
  </si>
  <si>
    <t xml:space="preserve">income</t>
  </si>
  <si>
    <t xml:space="preserve">plan</t>
  </si>
  <si>
    <t xml:space="preserve">spending</t>
  </si>
  <si>
    <t xml:space="preserve">buylocal</t>
  </si>
  <si>
    <t xml:space="preserve">healthyimportanttome</t>
  </si>
  <si>
    <t xml:space="preserve">Applebees</t>
  </si>
  <si>
    <t xml:space="preserve">Arbys</t>
  </si>
  <si>
    <t xml:space="preserve">Burger King</t>
  </si>
  <si>
    <t xml:space="preserve">Chick-fil-A</t>
  </si>
  <si>
    <t xml:space="preserve">Chipotle</t>
  </si>
  <si>
    <t xml:space="preserve">El Pollo Loco</t>
  </si>
  <si>
    <t xml:space="preserve">Eppies</t>
  </si>
  <si>
    <t xml:space="preserve">In-n-out</t>
  </si>
  <si>
    <t xml:space="preserve">Jasons Deli</t>
  </si>
  <si>
    <t xml:space="preserve">KFC</t>
  </si>
  <si>
    <t xml:space="preserve">McDonalds</t>
  </si>
  <si>
    <t xml:space="preserve">Outback</t>
  </si>
  <si>
    <t xml:space="preserve">Panera Bread</t>
  </si>
  <si>
    <t xml:space="preserve">Pizza Express</t>
  </si>
  <si>
    <t xml:space="preserve">Pizza Hut</t>
  </si>
  <si>
    <t xml:space="preserve">Starbucks</t>
  </si>
  <si>
    <t xml:space="preserve">Subway</t>
  </si>
  <si>
    <t xml:space="preserve">Taco Bell</t>
  </si>
  <si>
    <t xml:space="preserve">The Market</t>
  </si>
  <si>
    <t xml:space="preserve">Wendys</t>
  </si>
  <si>
    <t xml:space="preserve">center1</t>
  </si>
  <si>
    <t xml:space="preserve">center2</t>
  </si>
  <si>
    <t xml:space="preserve">center3</t>
  </si>
  <si>
    <t xml:space="preserve">Min</t>
  </si>
  <si>
    <t xml:space="preserve">Cluster</t>
  </si>
  <si>
    <t xml:space="preserve">Last</t>
  </si>
  <si>
    <t xml:space="preserve">Difference</t>
  </si>
  <si>
    <t xml:space="preserve">Pass 1 Cluster (pasted)</t>
  </si>
  <si>
    <t xml:space="preserve">Pass 2 Cluster (pasted)</t>
  </si>
  <si>
    <t xml:space="preserve">Pass 3 Cluster (pasted)</t>
  </si>
  <si>
    <t xml:space="preserve">Starting centers (step 10 – first 3 participants)</t>
  </si>
  <si>
    <t xml:space="preserve">Convergence check (steps 20–21)</t>
  </si>
  <si>
    <t xml:space="preserve"># participants whose cluster changed</t>
  </si>
  <si>
    <t xml:space="preserve">Converged?</t>
  </si>
  <si>
    <t xml:space="preserve"># participants per cluster</t>
  </si>
  <si>
    <t xml:space="preserve">  cluster 1</t>
  </si>
  <si>
    <t xml:space="preserve">  cluster 2</t>
  </si>
  <si>
    <t xml:space="preserve">  cluster 3</t>
  </si>
  <si>
    <t xml:space="preserve">Iteration log (values recorded after each pass)</t>
  </si>
  <si>
    <t xml:space="preserve">Pass / center</t>
  </si>
  <si>
    <t xml:space="preserve"># in cluster</t>
  </si>
  <si>
    <t xml:space="preserve">Pass 1 – center1 (start)</t>
  </si>
  <si>
    <t xml:space="preserve">Pass 1 – center2 (start)</t>
  </si>
  <si>
    <t xml:space="preserve">Pass 1 – center3 (start)</t>
  </si>
  <si>
    <t xml:space="preserve">Pass 2 – center1</t>
  </si>
  <si>
    <t xml:space="preserve">Pass 2 – center2</t>
  </si>
  <si>
    <t xml:space="preserve">Pass 2 – center3</t>
  </si>
  <si>
    <t xml:space="preserve">Pass 3 – center1</t>
  </si>
  <si>
    <t xml:space="preserve">Pass 3 – center2</t>
  </si>
  <si>
    <t xml:space="preserve">Pass 3 – center3</t>
  </si>
  <si>
    <t xml:space="preserve">Pass 4 – center1</t>
  </si>
  <si>
    <t xml:space="preserve">Pass 4 – center2</t>
  </si>
  <si>
    <t xml:space="preserve">Pass 4 – center3</t>
  </si>
  <si>
    <t xml:space="preserve">Labels stopped changing after pass 4 (pass 4 = pass 3).</t>
  </si>
  <si>
    <t xml:space="preserve">Blue = pasted values kept as a record of each pass.</t>
  </si>
  <si>
    <t xml:space="preserve">Cluster means (k = 3, clustered on female, age, income)</t>
  </si>
  <si>
    <t xml:space="preserve">All means use AVERAGEIF on the final Cluster column (ChipotleData!BG).</t>
  </si>
  <si>
    <t xml:space="preserve">Participants</t>
  </si>
  <si>
    <t xml:space="preserve">% of sample</t>
  </si>
  <si>
    <t xml:space="preserve">female (mean)</t>
  </si>
  <si>
    <t xml:space="preserve">age (mean)</t>
  </si>
  <si>
    <t xml:space="preserve">income (mean)</t>
  </si>
  <si>
    <t xml:space="preserve">Profile label</t>
  </si>
  <si>
    <t xml:space="preserve">chipotlevisits (mean)</t>
  </si>
  <si>
    <t xml:space="preserve">Late-thirties, low-income, mostly male</t>
  </si>
  <si>
    <t xml:space="preserve">Early-forties, middle-income, mostly male</t>
  </si>
  <si>
    <t xml:space="preserve">Early-forties, high-income, mostly male</t>
  </si>
  <si>
    <t xml:space="preserve">All</t>
  </si>
  <si>
    <t xml:space="preserve">Overall sample average</t>
  </si>
  <si>
    <t xml:space="preserve">Which cluster is highest / lowest?</t>
  </si>
  <si>
    <t xml:space="preserve">Variable</t>
  </si>
  <si>
    <t xml:space="preserve">Highest cluster</t>
  </si>
  <si>
    <t xml:space="preserve">Lowest cluster</t>
  </si>
  <si>
    <t xml:space="preserve">Observations (step 22)</t>
  </si>
  <si>
    <t xml:space="preserve">•  Income separates the clusters most clearly (~$23K vs ~$47K vs ~$78K); age and gender differ only a little.</t>
  </si>
  <si>
    <t xml:space="preserve">•  Every cluster is mostly male (19–26% female) and roughly 39–42 years old on average.</t>
  </si>
  <si>
    <t xml:space="preserve">•  Cluster 2 (middle income) visits Chipotle most often; Cluster 1 (low income) visits least.</t>
  </si>
  <si>
    <t xml:space="preserve">•  Word of mouth is the top way every cluster first heard of Chipotle; it is strongest in Cluster 1.</t>
  </si>
  <si>
    <t xml:space="preserve">•  Cluster 3 (high income) relies least on word of mouth and most on social media and walking by.</t>
  </si>
  <si>
    <t xml:space="preserve">•  Cluster 2 reports no social media or billboard exposure; billboards reached only a few people in Cluster 1.</t>
  </si>
  <si>
    <t xml:space="preserve">Type</t>
  </si>
  <si>
    <t xml:space="preserve">SubType</t>
  </si>
  <si>
    <t xml:space="preserve">Definition</t>
  </si>
  <si>
    <t xml:space="preserve">Survey Question</t>
  </si>
  <si>
    <t xml:space="preserve">Segmentation</t>
  </si>
  <si>
    <t xml:space="preserve">Behavioral</t>
  </si>
  <si>
    <t xml:space="preserve">Restaurant</t>
  </si>
  <si>
    <t xml:space="preserve">What quick-service restaurant have you visited most in the last six months?</t>
  </si>
  <si>
    <t xml:space="preserve">Marketing mix</t>
  </si>
  <si>
    <t xml:space="preserve">Promotion</t>
  </si>
  <si>
    <t xml:space="preserve">Word-of-mouth</t>
  </si>
  <si>
    <t xml:space="preserve">How did you first hear about Chipotle? Check one or more boxes.</t>
  </si>
  <si>
    <t xml:space="preserve">Social media</t>
  </si>
  <si>
    <t xml:space="preserve">Walked by</t>
  </si>
  <si>
    <t xml:space="preserve">Billboard</t>
  </si>
  <si>
    <t xml:space="preserve">Outcome</t>
  </si>
  <si>
    <t xml:space="preserve">Visits</t>
  </si>
  <si>
    <t xml:space="preserve">How many times have you eaten at Chipotle in the past three months?  Participants entered a number from 0 to 10</t>
  </si>
  <si>
    <t xml:space="preserve">Psychographic</t>
  </si>
  <si>
    <t xml:space="preserve">Convenient location       </t>
  </si>
  <si>
    <t xml:space="preserve">What is important to you when you visit a restaurant? Rate the following items as unimportant or important using a scale from 1 = very unimportant to 5 = very important. </t>
  </si>
  <si>
    <t xml:space="preserve">Variety of food options</t>
  </si>
  <si>
    <t xml:space="preserve">Good prices</t>
  </si>
  <si>
    <t xml:space="preserve">Healthy menu options</t>
  </si>
  <si>
    <t xml:space="preserve">Food taste</t>
  </si>
  <si>
    <t xml:space="preserve">Pleasant ambience</t>
  </si>
  <si>
    <t xml:space="preserve">Place</t>
  </si>
  <si>
    <t xml:space="preserve">How well does Chipotle perform on each of the items below?  Rate the following items as unimportant or important using a scale from 1 = very unimportant to 5 = very important. </t>
  </si>
  <si>
    <t xml:space="preserve">Product</t>
  </si>
  <si>
    <t xml:space="preserve">Price</t>
  </si>
  <si>
    <t xml:space="preserve">Demographic</t>
  </si>
  <si>
    <t xml:space="preserve">1 = female and 0 = male.</t>
  </si>
  <si>
    <t xml:space="preserve">What is your gender? The participants rated their own gender as male or female (note that this team did not include an “other” option). </t>
  </si>
  <si>
    <t xml:space="preserve">What is your age? The participants entered a number that was verified to be between 18 and 115.</t>
  </si>
  <si>
    <t xml:space="preserve">annual income</t>
  </si>
  <si>
    <t xml:space="preserve">What is your gross annual income in dollars? The participants entered a number that was verified to be between 0 and 1000000</t>
  </si>
  <si>
    <t xml:space="preserve">I plan things carefully</t>
  </si>
  <si>
    <t xml:space="preserve">Please agree or disagree with the following statements about yourself using a scale from 1 = strongly disagree to 5 = strongly agree.</t>
  </si>
  <si>
    <t xml:space="preserve">I have trouble controlling my spending</t>
  </si>
  <si>
    <t xml:space="preserve">I like to buy local</t>
  </si>
  <si>
    <t xml:space="preserve">Eating healthy is important</t>
  </si>
  <si>
    <t xml:space="preserve">Data Preparation – cleaning top1 names and checking missing data (Questions 4–7)</t>
  </si>
  <si>
    <t xml:space="preserve">Original responses come from the untouched "Original Data" sheet (357 participants). Counts use EXACT() because COUNTIF ignores capitalization.</t>
  </si>
  <si>
    <t xml:space="preserve">Original top1 response</t>
  </si>
  <si>
    <t xml:space="preserve">Standardized name</t>
  </si>
  <si>
    <t xml:space="preserve"># responses</t>
  </si>
  <si>
    <t xml:space="preserve">Transformed?</t>
  </si>
  <si>
    <t xml:space="preserve">Restaurant (standardized)</t>
  </si>
  <si>
    <t xml:space="preserve">Participants naming it (all 357)</t>
  </si>
  <si>
    <t xml:space="preserve">Share of all participants</t>
  </si>
  <si>
    <t xml:space="preserve">More than Chipotle?</t>
  </si>
  <si>
    <t xml:space="preserve">Participants in complete data (313)</t>
  </si>
  <si>
    <t xml:space="preserve">arbys</t>
  </si>
  <si>
    <t xml:space="preserve">burger king</t>
  </si>
  <si>
    <t xml:space="preserve">Chick fil a</t>
  </si>
  <si>
    <t xml:space="preserve">Chick fila</t>
  </si>
  <si>
    <t xml:space="preserve">Chick-Fil-A</t>
  </si>
  <si>
    <t xml:space="preserve">Chick-fil-a</t>
  </si>
  <si>
    <t xml:space="preserve">chickfila</t>
  </si>
  <si>
    <t xml:space="preserve">chik-fil-a</t>
  </si>
  <si>
    <t xml:space="preserve">Chipole</t>
  </si>
  <si>
    <t xml:space="preserve">Chipolte</t>
  </si>
  <si>
    <t xml:space="preserve">Martins</t>
  </si>
  <si>
    <t xml:space="preserve">In-n-out Kebob Shop</t>
  </si>
  <si>
    <t xml:space="preserve">Jason's Deli</t>
  </si>
  <si>
    <t xml:space="preserve">MacDonalds</t>
  </si>
  <si>
    <t xml:space="preserve">Total</t>
  </si>
  <si>
    <t xml:space="preserve">mcdonalds</t>
  </si>
  <si>
    <t xml:space="preserve">Mcdonalds</t>
  </si>
  <si>
    <t xml:space="preserve">Question</t>
  </si>
  <si>
    <t xml:space="preserve">Answer</t>
  </si>
  <si>
    <t xml:space="preserve">Mcdondalds</t>
  </si>
  <si>
    <t xml:space="preserve">Q5  Participants naming Chipotle</t>
  </si>
  <si>
    <t xml:space="preserve">Q5  Chipotle share of all participants</t>
  </si>
  <si>
    <t xml:space="preserve">Panera</t>
  </si>
  <si>
    <t xml:space="preserve">Q6  Restaurants named more often than Chipotle</t>
  </si>
  <si>
    <t xml:space="preserve">panera</t>
  </si>
  <si>
    <t xml:space="preserve">Q7  Total participants</t>
  </si>
  <si>
    <t xml:space="preserve">Panera bread</t>
  </si>
  <si>
    <t xml:space="preserve">Q7  Participants with at least one missing answer</t>
  </si>
  <si>
    <t xml:space="preserve">panera bread</t>
  </si>
  <si>
    <t xml:space="preserve">Q7  Participants who answered everything</t>
  </si>
  <si>
    <t xml:space="preserve">Pizza express</t>
  </si>
  <si>
    <t xml:space="preserve">Restaurant categories after cleaning (all 357)</t>
  </si>
  <si>
    <t xml:space="preserve">Restaurant dummy variables in final data</t>
  </si>
  <si>
    <t xml:space="preserve">Sub Way</t>
  </si>
  <si>
    <t xml:space="preserve">Wendy's</t>
  </si>
  <si>
    <t xml:space="preserve">top1_standardized</t>
  </si>
  <si>
    <t xml:space="preserve">missing_answers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</si>
</sst>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0000"/>
    <numFmt numFmtId="167" formatCode="#,##0.00"/>
    <numFmt numFmtId="168" formatCode="#,##0"/>
    <numFmt numFmtId="169" formatCode="0.0%"/>
    <numFmt numFmtId="170" formatCode="0.00"/>
    <numFmt numFmtId="171" formatCode="\$#,##0"/>
    <numFmt numFmtId="172" formatCode="0.000"/>
    <numFmt numFmtId="173" formatCode="0.00%"/>
  </numFmts>
  <fonts count="10">
    <font>
      <sz val="10"/>
      <color rgb="FF000000"/>
      <name val="Helvetica Neue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Helvetica Neue"/>
      <family val="0"/>
      <charset val="1"/>
    </font>
    <font>
      <sz val="10"/>
      <name val="Helvetica Neue"/>
      <family val="0"/>
      <charset val="1"/>
    </font>
    <font>
      <sz val="10"/>
      <color rgb="FF0000FF"/>
      <name val="Helvetica Neue"/>
      <family val="0"/>
      <charset val="1"/>
    </font>
    <font>
      <sz val="10"/>
      <name val="Arial"/>
      <family val="2"/>
    </font>
    <font>
      <b val="true"/>
      <sz val="12"/>
      <name val="Helvetica Neue"/>
      <family val="0"/>
      <charset val="1"/>
    </font>
    <font>
      <b val="true"/>
      <sz val="11"/>
      <color rgb="FF000000"/>
      <name val="Helvetica Neue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CCC0D9"/>
        <bgColor rgb="FFBFBFBF"/>
      </patternFill>
    </fill>
    <fill>
      <patternFill patternType="solid">
        <fgColor rgb="FFD9D9D9"/>
        <bgColor rgb="FFE2EFDA"/>
      </patternFill>
    </fill>
    <fill>
      <patternFill patternType="solid">
        <fgColor rgb="FFE2EFDA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rgb="FFB6DDE8"/>
        <bgColor rgb="FFD9D9D9"/>
      </patternFill>
    </fill>
    <fill>
      <patternFill patternType="solid">
        <fgColor rgb="FF938953"/>
        <bgColor rgb="FF808080"/>
      </patternFill>
    </fill>
    <fill>
      <patternFill patternType="solid">
        <fgColor rgb="FFD99594"/>
        <bgColor rgb="FFFF99CC"/>
      </patternFill>
    </fill>
    <fill>
      <patternFill patternType="solid">
        <fgColor rgb="FFC2D69B"/>
        <bgColor rgb="FFBFBFBF"/>
      </patternFill>
    </fill>
    <fill>
      <patternFill patternType="solid">
        <fgColor rgb="FFBFBFBF"/>
        <bgColor rgb="FFCCC0D9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808080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9">
    <dxf>
      <fill>
        <patternFill patternType="solid">
          <fgColor rgb="FFCCC0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B6DDE8"/>
          <bgColor rgb="FF000000"/>
        </patternFill>
      </fill>
    </dxf>
    <dxf>
      <fill>
        <patternFill patternType="solid">
          <fgColor rgb="FF938953"/>
          <bgColor rgb="FF000000"/>
        </patternFill>
      </fill>
    </dxf>
    <dxf>
      <fill>
        <patternFill patternType="solid">
          <fgColor rgb="FFD99594"/>
          <bgColor rgb="FF000000"/>
        </patternFill>
      </fill>
    </dxf>
    <dxf>
      <fill>
        <patternFill patternType="solid">
          <fgColor rgb="FFC2D69B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2D69B"/>
      <rgbColor rgb="FF660066"/>
      <rgbColor rgb="FFD99594"/>
      <rgbColor rgb="FF0066CC"/>
      <rgbColor rgb="FFCCC0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B6DDE8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99"/>
      <rgbColor rgb="FF93895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3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19"/>
    <col collapsed="false" customWidth="true" hidden="false" outlineLevel="0" max="14" min="14" style="0" width="20"/>
    <col collapsed="false" customWidth="true" hidden="false" outlineLevel="0" max="15" min="15" style="0" width="17"/>
    <col collapsed="false" customWidth="true" hidden="false" outlineLevel="0" max="16" min="16" style="0" width="15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18"/>
    <col collapsed="false" customWidth="true" hidden="false" outlineLevel="0" max="23" min="20" style="0" width="9"/>
    <col collapsed="false" customWidth="true" hidden="false" outlineLevel="0" max="25" min="24" style="0" width="10"/>
    <col collapsed="false" customWidth="true" hidden="false" outlineLevel="0" max="26" min="26" style="0" width="22"/>
    <col collapsed="false" customWidth="true" hidden="false" outlineLevel="0" max="27" min="27" style="0" width="12"/>
    <col collapsed="false" customWidth="true" hidden="false" outlineLevel="0" max="28" min="28" style="0" width="9"/>
    <col collapsed="false" customWidth="true" hidden="false" outlineLevel="0" max="30" min="29" style="0" width="14"/>
    <col collapsed="false" customWidth="true" hidden="false" outlineLevel="0" max="31" min="31" style="0" width="11"/>
    <col collapsed="false" customWidth="true" hidden="false" outlineLevel="0" max="32" min="32" style="0" width="16"/>
    <col collapsed="false" customWidth="true" hidden="false" outlineLevel="0" max="33" min="33" style="0" width="9"/>
    <col collapsed="false" customWidth="true" hidden="false" outlineLevel="0" max="34" min="34" style="0" width="11"/>
    <col collapsed="false" customWidth="true" hidden="false" outlineLevel="0" max="35" min="35" style="0" width="14"/>
    <col collapsed="false" customWidth="true" hidden="false" outlineLevel="0" max="36" min="36" style="0" width="9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5"/>
    <col collapsed="false" customWidth="true" hidden="false" outlineLevel="0" max="40" min="40" style="0" width="16"/>
    <col collapsed="false" customWidth="true" hidden="false" outlineLevel="0" max="42" min="41" style="0" width="12"/>
    <col collapsed="false" customWidth="true" hidden="false" outlineLevel="0" max="43" min="43" style="0" width="9"/>
    <col collapsed="false" customWidth="true" hidden="false" outlineLevel="0" max="44" min="44" style="0" width="12"/>
    <col collapsed="false" customWidth="true" hidden="false" outlineLevel="0" max="45" min="45" style="0" width="13"/>
    <col collapsed="false" customWidth="true" hidden="false" outlineLevel="0" max="46" min="46" style="0" width="9"/>
    <col collapsed="false" customWidth="true" hidden="false" outlineLevel="0" max="49" min="49" style="0" width="34"/>
    <col collapsed="false" customWidth="true" hidden="false" outlineLevel="0" max="52" min="50" style="0" width="13"/>
    <col collapsed="false" customWidth="true" hidden="false" outlineLevel="0" max="53" min="53" style="0" width="12"/>
    <col collapsed="false" customWidth="true" hidden="false" outlineLevel="0" max="61" min="54" style="0" width="11"/>
    <col collapsed="false" customWidth="true" hidden="false" outlineLevel="0" max="65" min="63" style="0" width="13"/>
  </cols>
  <sheetData>
    <row r="1" customFormat="false" ht="25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X1" s="2" t="s">
        <v>19</v>
      </c>
      <c r="AY1" s="2" t="s">
        <v>20</v>
      </c>
      <c r="AZ1" s="2" t="s">
        <v>21</v>
      </c>
      <c r="BB1" s="2" t="s">
        <v>0</v>
      </c>
      <c r="BC1" s="2" t="s">
        <v>46</v>
      </c>
      <c r="BD1" s="2" t="s">
        <v>47</v>
      </c>
      <c r="BE1" s="2" t="s">
        <v>48</v>
      </c>
      <c r="BF1" s="2" t="s">
        <v>49</v>
      </c>
      <c r="BG1" s="2" t="s">
        <v>50</v>
      </c>
      <c r="BH1" s="2" t="s">
        <v>51</v>
      </c>
      <c r="BI1" s="2" t="s">
        <v>52</v>
      </c>
      <c r="BK1" s="2" t="s">
        <v>53</v>
      </c>
      <c r="BL1" s="2" t="s">
        <v>54</v>
      </c>
      <c r="BM1" s="2" t="s">
        <v>55</v>
      </c>
    </row>
    <row r="2" customFormat="false" ht="15" hidden="false" customHeight="false" outlineLevel="0" collapsed="false">
      <c r="A2" s="3" t="n">
        <v>1</v>
      </c>
      <c r="B2" s="3" t="s">
        <v>33</v>
      </c>
      <c r="C2" s="3" t="n">
        <v>0</v>
      </c>
      <c r="D2" s="3" t="n">
        <v>0</v>
      </c>
      <c r="E2" s="3" t="n">
        <v>1</v>
      </c>
      <c r="F2" s="3" t="n">
        <v>0</v>
      </c>
      <c r="G2" s="3" t="n">
        <v>0</v>
      </c>
      <c r="H2" s="3" t="n">
        <v>5</v>
      </c>
      <c r="I2" s="3" t="n">
        <v>4</v>
      </c>
      <c r="J2" s="3" t="n">
        <v>5</v>
      </c>
      <c r="K2" s="3" t="n">
        <v>5</v>
      </c>
      <c r="L2" s="3" t="n">
        <v>5</v>
      </c>
      <c r="M2" s="3" t="n">
        <v>5</v>
      </c>
      <c r="N2" s="3" t="n">
        <v>3</v>
      </c>
      <c r="O2" s="3" t="n">
        <v>4</v>
      </c>
      <c r="P2" s="3" t="n">
        <v>5</v>
      </c>
      <c r="Q2" s="3" t="n">
        <v>5</v>
      </c>
      <c r="R2" s="3" t="n">
        <v>5</v>
      </c>
      <c r="S2" s="3" t="n">
        <v>4</v>
      </c>
      <c r="T2" s="3" t="n">
        <v>0</v>
      </c>
      <c r="U2" s="3" t="n">
        <v>52</v>
      </c>
      <c r="V2" s="3" t="n">
        <v>20942</v>
      </c>
      <c r="W2" s="3" t="n">
        <v>3</v>
      </c>
      <c r="X2" s="3" t="n">
        <v>3</v>
      </c>
      <c r="Y2" s="3" t="n">
        <v>2</v>
      </c>
      <c r="Z2" s="3" t="n">
        <v>1</v>
      </c>
      <c r="AA2" s="4" t="n">
        <f aca="false">IF($B2=AA$1,1,0)</f>
        <v>0</v>
      </c>
      <c r="AB2" s="4" t="n">
        <f aca="false">IF($B2=AB$1,1,0)</f>
        <v>0</v>
      </c>
      <c r="AC2" s="4" t="n">
        <f aca="false">IF($B2=AC$1,1,0)</f>
        <v>0</v>
      </c>
      <c r="AD2" s="4" t="n">
        <f aca="false">IF($B2=AD$1,1,0)</f>
        <v>0</v>
      </c>
      <c r="AE2" s="4" t="n">
        <f aca="false">IF($B2=AE$1,1,0)</f>
        <v>0</v>
      </c>
      <c r="AF2" s="4" t="n">
        <f aca="false">IF($B2=AF$1,1,0)</f>
        <v>0</v>
      </c>
      <c r="AG2" s="4" t="n">
        <f aca="false">IF($B2=AG$1,1,0)</f>
        <v>0</v>
      </c>
      <c r="AH2" s="4" t="n">
        <f aca="false">IF($B2=AH$1,1,0)</f>
        <v>1</v>
      </c>
      <c r="AI2" s="4" t="n">
        <f aca="false">IF($B2=AI$1,1,0)</f>
        <v>0</v>
      </c>
      <c r="AJ2" s="4" t="n">
        <f aca="false">IF($B2=AJ$1,1,0)</f>
        <v>0</v>
      </c>
      <c r="AK2" s="4" t="n">
        <f aca="false">IF($B2=AK$1,1,0)</f>
        <v>0</v>
      </c>
      <c r="AL2" s="4" t="n">
        <f aca="false">IF($B2=AL$1,1,0)</f>
        <v>0</v>
      </c>
      <c r="AM2" s="4" t="n">
        <f aca="false">IF($B2=AM$1,1,0)</f>
        <v>0</v>
      </c>
      <c r="AN2" s="4" t="n">
        <f aca="false">IF($B2=AN$1,1,0)</f>
        <v>0</v>
      </c>
      <c r="AO2" s="4" t="n">
        <f aca="false">IF($B2=AO$1,1,0)</f>
        <v>0</v>
      </c>
      <c r="AP2" s="4" t="n">
        <f aca="false">IF($B2=AP$1,1,0)</f>
        <v>0</v>
      </c>
      <c r="AQ2" s="4" t="n">
        <f aca="false">IF($B2=AQ$1,1,0)</f>
        <v>0</v>
      </c>
      <c r="AR2" s="4" t="n">
        <f aca="false">IF($B2=AR$1,1,0)</f>
        <v>0</v>
      </c>
      <c r="AS2" s="4" t="n">
        <f aca="false">IF($B2=AS$1,1,0)</f>
        <v>0</v>
      </c>
      <c r="AT2" s="4" t="n">
        <f aca="false">IF($B2=AT$1,1,0)</f>
        <v>0</v>
      </c>
      <c r="AW2" s="3" t="s">
        <v>46</v>
      </c>
      <c r="AX2" s="5" t="n">
        <f aca="false">AVERAGEIF($BH$2:$BH$314,1,T$2:T$314)</f>
        <v>0.21830985915493</v>
      </c>
      <c r="AY2" s="5" t="n">
        <f aca="false">AVERAGEIF($BH$2:$BH$314,1,U$2:U$314)</f>
        <v>38.7394366197183</v>
      </c>
      <c r="AZ2" s="6" t="n">
        <f aca="false">AVERAGEIF($BH$2:$BH$314,1,V$2:V$314)</f>
        <v>22834.1901408451</v>
      </c>
      <c r="BB2" s="4" t="n">
        <f aca="false">A2</f>
        <v>1</v>
      </c>
      <c r="BC2" s="7" t="n">
        <f aca="false">ABS($T2-$AX$2)+ABS($U2-$AY$2)+ABS($V2-$AZ$2)</f>
        <v>1905.66901408451</v>
      </c>
      <c r="BD2" s="7" t="n">
        <f aca="false">ABS($T2-$AX$3)+ABS($U2-$AY$3)+ABS($V2-$AZ$3)</f>
        <v>25731.9661016949</v>
      </c>
      <c r="BE2" s="7" t="n">
        <f aca="false">ABS($T2-$AX$4)+ABS($U2-$AY$4)+ABS($V2-$AZ$4)</f>
        <v>56862.6037735849</v>
      </c>
      <c r="BF2" s="7" t="n">
        <f aca="false">MIN(BC2:BE2)</f>
        <v>1905.66901408451</v>
      </c>
      <c r="BG2" s="4" t="n">
        <f aca="false">MATCH(BF2,BC2:BE2,0)</f>
        <v>1</v>
      </c>
      <c r="BH2" s="8" t="n">
        <v>1</v>
      </c>
      <c r="BI2" s="4" t="n">
        <f aca="false">IF(BG2=BH2,0,1)</f>
        <v>0</v>
      </c>
      <c r="BK2" s="8" t="n">
        <v>1</v>
      </c>
      <c r="BL2" s="8" t="n">
        <v>1</v>
      </c>
      <c r="BM2" s="8" t="n">
        <v>1</v>
      </c>
    </row>
    <row r="3" customFormat="false" ht="15" hidden="false" customHeight="false" outlineLevel="0" collapsed="false">
      <c r="A3" s="3" t="n">
        <v>2</v>
      </c>
      <c r="B3" s="3" t="s">
        <v>30</v>
      </c>
      <c r="C3" s="3" t="n">
        <v>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5</v>
      </c>
      <c r="I3" s="3" t="n">
        <v>5</v>
      </c>
      <c r="J3" s="3" t="n">
        <v>5</v>
      </c>
      <c r="K3" s="3" t="n">
        <v>5</v>
      </c>
      <c r="L3" s="3" t="n">
        <v>5</v>
      </c>
      <c r="M3" s="3" t="n">
        <v>5</v>
      </c>
      <c r="N3" s="3" t="n">
        <v>3</v>
      </c>
      <c r="O3" s="3" t="n">
        <v>3</v>
      </c>
      <c r="P3" s="3" t="n">
        <v>3</v>
      </c>
      <c r="Q3" s="3" t="n">
        <v>4</v>
      </c>
      <c r="R3" s="3" t="n">
        <v>3</v>
      </c>
      <c r="S3" s="3" t="n">
        <v>4</v>
      </c>
      <c r="T3" s="3" t="n">
        <v>0</v>
      </c>
      <c r="U3" s="3" t="n">
        <v>37</v>
      </c>
      <c r="V3" s="3" t="n">
        <v>41052</v>
      </c>
      <c r="W3" s="3" t="n">
        <v>2</v>
      </c>
      <c r="X3" s="3" t="n">
        <v>2</v>
      </c>
      <c r="Y3" s="3" t="n">
        <v>2</v>
      </c>
      <c r="Z3" s="3" t="n">
        <v>2</v>
      </c>
      <c r="AA3" s="4" t="n">
        <f aca="false">IF($B3=AA$1,1,0)</f>
        <v>0</v>
      </c>
      <c r="AB3" s="4" t="n">
        <f aca="false">IF($B3=AB$1,1,0)</f>
        <v>0</v>
      </c>
      <c r="AC3" s="4" t="n">
        <f aca="false">IF($B3=AC$1,1,0)</f>
        <v>0</v>
      </c>
      <c r="AD3" s="4" t="n">
        <f aca="false">IF($B3=AD$1,1,0)</f>
        <v>0</v>
      </c>
      <c r="AE3" s="4" t="n">
        <f aca="false">IF($B3=AE$1,1,0)</f>
        <v>1</v>
      </c>
      <c r="AF3" s="4" t="n">
        <f aca="false">IF($B3=AF$1,1,0)</f>
        <v>0</v>
      </c>
      <c r="AG3" s="4" t="n">
        <f aca="false">IF($B3=AG$1,1,0)</f>
        <v>0</v>
      </c>
      <c r="AH3" s="4" t="n">
        <f aca="false">IF($B3=AH$1,1,0)</f>
        <v>0</v>
      </c>
      <c r="AI3" s="4" t="n">
        <f aca="false">IF($B3=AI$1,1,0)</f>
        <v>0</v>
      </c>
      <c r="AJ3" s="4" t="n">
        <f aca="false">IF($B3=AJ$1,1,0)</f>
        <v>0</v>
      </c>
      <c r="AK3" s="4" t="n">
        <f aca="false">IF($B3=AK$1,1,0)</f>
        <v>0</v>
      </c>
      <c r="AL3" s="4" t="n">
        <f aca="false">IF($B3=AL$1,1,0)</f>
        <v>0</v>
      </c>
      <c r="AM3" s="4" t="n">
        <f aca="false">IF($B3=AM$1,1,0)</f>
        <v>0</v>
      </c>
      <c r="AN3" s="4" t="n">
        <f aca="false">IF($B3=AN$1,1,0)</f>
        <v>0</v>
      </c>
      <c r="AO3" s="4" t="n">
        <f aca="false">IF($B3=AO$1,1,0)</f>
        <v>0</v>
      </c>
      <c r="AP3" s="4" t="n">
        <f aca="false">IF($B3=AP$1,1,0)</f>
        <v>0</v>
      </c>
      <c r="AQ3" s="4" t="n">
        <f aca="false">IF($B3=AQ$1,1,0)</f>
        <v>0</v>
      </c>
      <c r="AR3" s="4" t="n">
        <f aca="false">IF($B3=AR$1,1,0)</f>
        <v>0</v>
      </c>
      <c r="AS3" s="4" t="n">
        <f aca="false">IF($B3=AS$1,1,0)</f>
        <v>0</v>
      </c>
      <c r="AT3" s="4" t="n">
        <f aca="false">IF($B3=AT$1,1,0)</f>
        <v>0</v>
      </c>
      <c r="AW3" s="3" t="s">
        <v>47</v>
      </c>
      <c r="AX3" s="5" t="n">
        <f aca="false">AVERAGEIF($BH$2:$BH$314,2,T$2:T$314)</f>
        <v>0.186440677966102</v>
      </c>
      <c r="AY3" s="5" t="n">
        <f aca="false">AVERAGEIF($BH$2:$BH$314,2,U$2:U$314)</f>
        <v>41.3813559322034</v>
      </c>
      <c r="AZ3" s="6" t="n">
        <f aca="false">AVERAGEIF($BH$2:$BH$314,2,V$2:V$314)</f>
        <v>46663.1610169492</v>
      </c>
      <c r="BB3" s="4" t="n">
        <f aca="false">A3</f>
        <v>2</v>
      </c>
      <c r="BC3" s="7" t="n">
        <f aca="false">ABS($T3-$AX$2)+ABS($U3-$AY$2)+ABS($V3-$AZ$2)</f>
        <v>18219.7676056338</v>
      </c>
      <c r="BD3" s="7" t="n">
        <f aca="false">ABS($T3-$AX$3)+ABS($U3-$AY$3)+ABS($V3-$AZ$3)</f>
        <v>5615.72881355932</v>
      </c>
      <c r="BE3" s="7" t="n">
        <f aca="false">ABS($T3-$AX$4)+ABS($U3-$AY$4)+ABS($V3-$AZ$4)</f>
        <v>36747.641509434</v>
      </c>
      <c r="BF3" s="7" t="n">
        <f aca="false">MIN(BC3:BE3)</f>
        <v>5615.72881355932</v>
      </c>
      <c r="BG3" s="4" t="n">
        <f aca="false">MATCH(BF3,BC3:BE3,0)</f>
        <v>2</v>
      </c>
      <c r="BH3" s="8" t="n">
        <v>2</v>
      </c>
      <c r="BI3" s="4" t="n">
        <f aca="false">IF(BG3=BH3,0,1)</f>
        <v>0</v>
      </c>
      <c r="BK3" s="8" t="n">
        <v>2</v>
      </c>
      <c r="BL3" s="8" t="n">
        <v>2</v>
      </c>
      <c r="BM3" s="8" t="n">
        <v>2</v>
      </c>
    </row>
    <row r="4" customFormat="false" ht="15" hidden="false" customHeight="false" outlineLevel="0" collapsed="false">
      <c r="A4" s="3" t="n">
        <v>3</v>
      </c>
      <c r="B4" s="3" t="s">
        <v>30</v>
      </c>
      <c r="C4" s="3" t="n">
        <v>0</v>
      </c>
      <c r="D4" s="3" t="n">
        <v>0</v>
      </c>
      <c r="E4" s="3" t="n">
        <v>1</v>
      </c>
      <c r="F4" s="3" t="n">
        <v>0</v>
      </c>
      <c r="G4" s="3" t="n">
        <v>0</v>
      </c>
      <c r="H4" s="3" t="n">
        <v>5</v>
      </c>
      <c r="I4" s="3" t="n">
        <v>4</v>
      </c>
      <c r="J4" s="3" t="n">
        <v>5</v>
      </c>
      <c r="K4" s="3" t="n">
        <v>5</v>
      </c>
      <c r="L4" s="3" t="n">
        <v>5</v>
      </c>
      <c r="M4" s="3" t="n">
        <v>4</v>
      </c>
      <c r="N4" s="3" t="n">
        <v>4</v>
      </c>
      <c r="O4" s="3" t="n">
        <v>4</v>
      </c>
      <c r="P4" s="3" t="n">
        <v>4</v>
      </c>
      <c r="Q4" s="3" t="n">
        <v>5</v>
      </c>
      <c r="R4" s="3" t="n">
        <v>5</v>
      </c>
      <c r="S4" s="3" t="n">
        <v>5</v>
      </c>
      <c r="T4" s="3" t="n">
        <v>0</v>
      </c>
      <c r="U4" s="3" t="n">
        <v>33</v>
      </c>
      <c r="V4" s="3" t="n">
        <v>86277</v>
      </c>
      <c r="W4" s="3" t="n">
        <v>2</v>
      </c>
      <c r="X4" s="3" t="n">
        <v>3</v>
      </c>
      <c r="Y4" s="3" t="n">
        <v>2</v>
      </c>
      <c r="Z4" s="3" t="n">
        <v>2</v>
      </c>
      <c r="AA4" s="4" t="n">
        <f aca="false">IF($B4=AA$1,1,0)</f>
        <v>0</v>
      </c>
      <c r="AB4" s="4" t="n">
        <f aca="false">IF($B4=AB$1,1,0)</f>
        <v>0</v>
      </c>
      <c r="AC4" s="4" t="n">
        <f aca="false">IF($B4=AC$1,1,0)</f>
        <v>0</v>
      </c>
      <c r="AD4" s="4" t="n">
        <f aca="false">IF($B4=AD$1,1,0)</f>
        <v>0</v>
      </c>
      <c r="AE4" s="4" t="n">
        <f aca="false">IF($B4=AE$1,1,0)</f>
        <v>1</v>
      </c>
      <c r="AF4" s="4" t="n">
        <f aca="false">IF($B4=AF$1,1,0)</f>
        <v>0</v>
      </c>
      <c r="AG4" s="4" t="n">
        <f aca="false">IF($B4=AG$1,1,0)</f>
        <v>0</v>
      </c>
      <c r="AH4" s="4" t="n">
        <f aca="false">IF($B4=AH$1,1,0)</f>
        <v>0</v>
      </c>
      <c r="AI4" s="4" t="n">
        <f aca="false">IF($B4=AI$1,1,0)</f>
        <v>0</v>
      </c>
      <c r="AJ4" s="4" t="n">
        <f aca="false">IF($B4=AJ$1,1,0)</f>
        <v>0</v>
      </c>
      <c r="AK4" s="4" t="n">
        <f aca="false">IF($B4=AK$1,1,0)</f>
        <v>0</v>
      </c>
      <c r="AL4" s="4" t="n">
        <f aca="false">IF($B4=AL$1,1,0)</f>
        <v>0</v>
      </c>
      <c r="AM4" s="4" t="n">
        <f aca="false">IF($B4=AM$1,1,0)</f>
        <v>0</v>
      </c>
      <c r="AN4" s="4" t="n">
        <f aca="false">IF($B4=AN$1,1,0)</f>
        <v>0</v>
      </c>
      <c r="AO4" s="4" t="n">
        <f aca="false">IF($B4=AO$1,1,0)</f>
        <v>0</v>
      </c>
      <c r="AP4" s="4" t="n">
        <f aca="false">IF($B4=AP$1,1,0)</f>
        <v>0</v>
      </c>
      <c r="AQ4" s="4" t="n">
        <f aca="false">IF($B4=AQ$1,1,0)</f>
        <v>0</v>
      </c>
      <c r="AR4" s="4" t="n">
        <f aca="false">IF($B4=AR$1,1,0)</f>
        <v>0</v>
      </c>
      <c r="AS4" s="4" t="n">
        <f aca="false">IF($B4=AS$1,1,0)</f>
        <v>0</v>
      </c>
      <c r="AT4" s="4" t="n">
        <f aca="false">IF($B4=AT$1,1,0)</f>
        <v>0</v>
      </c>
      <c r="AW4" s="3" t="s">
        <v>48</v>
      </c>
      <c r="AX4" s="5" t="n">
        <f aca="false">AVERAGEIF($BH$2:$BH$314,3,T$2:T$314)</f>
        <v>0.264150943396226</v>
      </c>
      <c r="AY4" s="5" t="n">
        <f aca="false">AVERAGEIF($BH$2:$BH$314,3,U$2:U$314)</f>
        <v>42.0188679245283</v>
      </c>
      <c r="AZ4" s="6" t="n">
        <f aca="false">AVERAGEIF($BH$2:$BH$314,3,V$2:V$314)</f>
        <v>77794.358490566</v>
      </c>
      <c r="BB4" s="4" t="n">
        <f aca="false">A4</f>
        <v>3</v>
      </c>
      <c r="BC4" s="7" t="n">
        <f aca="false">ABS($T4-$AX$2)+ABS($U4-$AY$2)+ABS($V4-$AZ$2)</f>
        <v>63448.7676056338</v>
      </c>
      <c r="BD4" s="7" t="n">
        <f aca="false">ABS($T4-$AX$3)+ABS($U4-$AY$3)+ABS($V4-$AZ$3)</f>
        <v>39622.406779661</v>
      </c>
      <c r="BE4" s="7" t="n">
        <f aca="false">ABS($T4-$AX$4)+ABS($U4-$AY$4)+ABS($V4-$AZ$4)</f>
        <v>8491.92452830189</v>
      </c>
      <c r="BF4" s="7" t="n">
        <f aca="false">MIN(BC4:BE4)</f>
        <v>8491.92452830189</v>
      </c>
      <c r="BG4" s="4" t="n">
        <f aca="false">MATCH(BF4,BC4:BE4,0)</f>
        <v>3</v>
      </c>
      <c r="BH4" s="8" t="n">
        <v>3</v>
      </c>
      <c r="BI4" s="4" t="n">
        <f aca="false">IF(BG4=BH4,0,1)</f>
        <v>0</v>
      </c>
      <c r="BK4" s="8" t="n">
        <v>3</v>
      </c>
      <c r="BL4" s="8" t="n">
        <v>3</v>
      </c>
      <c r="BM4" s="8" t="n">
        <v>3</v>
      </c>
    </row>
    <row r="5" customFormat="false" ht="15" hidden="false" customHeight="false" outlineLevel="0" collapsed="false">
      <c r="A5" s="3" t="n">
        <v>4</v>
      </c>
      <c r="B5" s="3" t="s">
        <v>38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2</v>
      </c>
      <c r="H5" s="3" t="n">
        <v>4</v>
      </c>
      <c r="I5" s="3" t="n">
        <v>4</v>
      </c>
      <c r="J5" s="3" t="n">
        <v>5</v>
      </c>
      <c r="K5" s="3" t="n">
        <v>5</v>
      </c>
      <c r="L5" s="3" t="n">
        <v>5</v>
      </c>
      <c r="M5" s="3" t="n">
        <v>4</v>
      </c>
      <c r="N5" s="3" t="n">
        <v>3</v>
      </c>
      <c r="O5" s="3" t="n">
        <v>4</v>
      </c>
      <c r="P5" s="3" t="n">
        <v>3</v>
      </c>
      <c r="Q5" s="3" t="n">
        <v>4</v>
      </c>
      <c r="R5" s="3" t="n">
        <v>4</v>
      </c>
      <c r="S5" s="3" t="n">
        <v>3</v>
      </c>
      <c r="T5" s="3" t="n">
        <v>0</v>
      </c>
      <c r="U5" s="3" t="n">
        <v>49</v>
      </c>
      <c r="V5" s="3" t="n">
        <v>54651</v>
      </c>
      <c r="W5" s="3" t="n">
        <v>1</v>
      </c>
      <c r="X5" s="3" t="n">
        <v>4</v>
      </c>
      <c r="Y5" s="3" t="n">
        <v>2</v>
      </c>
      <c r="Z5" s="3" t="n">
        <v>2</v>
      </c>
      <c r="AA5" s="4" t="n">
        <f aca="false">IF($B5=AA$1,1,0)</f>
        <v>0</v>
      </c>
      <c r="AB5" s="4" t="n">
        <f aca="false">IF($B5=AB$1,1,0)</f>
        <v>0</v>
      </c>
      <c r="AC5" s="4" t="n">
        <f aca="false">IF($B5=AC$1,1,0)</f>
        <v>0</v>
      </c>
      <c r="AD5" s="4" t="n">
        <f aca="false">IF($B5=AD$1,1,0)</f>
        <v>0</v>
      </c>
      <c r="AE5" s="4" t="n">
        <f aca="false">IF($B5=AE$1,1,0)</f>
        <v>0</v>
      </c>
      <c r="AF5" s="4" t="n">
        <f aca="false">IF($B5=AF$1,1,0)</f>
        <v>0</v>
      </c>
      <c r="AG5" s="4" t="n">
        <f aca="false">IF($B5=AG$1,1,0)</f>
        <v>0</v>
      </c>
      <c r="AH5" s="4" t="n">
        <f aca="false">IF($B5=AH$1,1,0)</f>
        <v>0</v>
      </c>
      <c r="AI5" s="4" t="n">
        <f aca="false">IF($B5=AI$1,1,0)</f>
        <v>0</v>
      </c>
      <c r="AJ5" s="4" t="n">
        <f aca="false">IF($B5=AJ$1,1,0)</f>
        <v>0</v>
      </c>
      <c r="AK5" s="4" t="n">
        <f aca="false">IF($B5=AK$1,1,0)</f>
        <v>0</v>
      </c>
      <c r="AL5" s="4" t="n">
        <f aca="false">IF($B5=AL$1,1,0)</f>
        <v>0</v>
      </c>
      <c r="AM5" s="4" t="n">
        <f aca="false">IF($B5=AM$1,1,0)</f>
        <v>1</v>
      </c>
      <c r="AN5" s="4" t="n">
        <f aca="false">IF($B5=AN$1,1,0)</f>
        <v>0</v>
      </c>
      <c r="AO5" s="4" t="n">
        <f aca="false">IF($B5=AO$1,1,0)</f>
        <v>0</v>
      </c>
      <c r="AP5" s="4" t="n">
        <f aca="false">IF($B5=AP$1,1,0)</f>
        <v>0</v>
      </c>
      <c r="AQ5" s="4" t="n">
        <f aca="false">IF($B5=AQ$1,1,0)</f>
        <v>0</v>
      </c>
      <c r="AR5" s="4" t="n">
        <f aca="false">IF($B5=AR$1,1,0)</f>
        <v>0</v>
      </c>
      <c r="AS5" s="4" t="n">
        <f aca="false">IF($B5=AS$1,1,0)</f>
        <v>0</v>
      </c>
      <c r="AT5" s="4" t="n">
        <f aca="false">IF($B5=AT$1,1,0)</f>
        <v>0</v>
      </c>
      <c r="BB5" s="4" t="n">
        <f aca="false">A5</f>
        <v>4</v>
      </c>
      <c r="BC5" s="7" t="n">
        <f aca="false">ABS($T5-$AX$2)+ABS($U5-$AY$2)+ABS($V5-$AZ$2)</f>
        <v>31827.2887323944</v>
      </c>
      <c r="BD5" s="7" t="n">
        <f aca="false">ABS($T5-$AX$3)+ABS($U5-$AY$3)+ABS($V5-$AZ$3)</f>
        <v>7995.64406779661</v>
      </c>
      <c r="BE5" s="7" t="n">
        <f aca="false">ABS($T5-$AX$4)+ABS($U5-$AY$4)+ABS($V5-$AZ$4)</f>
        <v>23150.6037735849</v>
      </c>
      <c r="BF5" s="7" t="n">
        <f aca="false">MIN(BC5:BE5)</f>
        <v>7995.64406779661</v>
      </c>
      <c r="BG5" s="4" t="n">
        <f aca="false">MATCH(BF5,BC5:BE5,0)</f>
        <v>2</v>
      </c>
      <c r="BH5" s="8" t="n">
        <v>2</v>
      </c>
      <c r="BI5" s="4" t="n">
        <f aca="false">IF(BG5=BH5,0,1)</f>
        <v>0</v>
      </c>
      <c r="BK5" s="8" t="n">
        <v>2</v>
      </c>
      <c r="BL5" s="8" t="n">
        <v>2</v>
      </c>
      <c r="BM5" s="8" t="n">
        <v>2</v>
      </c>
    </row>
    <row r="6" customFormat="false" ht="15" hidden="false" customHeight="false" outlineLevel="0" collapsed="false">
      <c r="A6" s="3" t="n">
        <v>5</v>
      </c>
      <c r="B6" s="3" t="s">
        <v>29</v>
      </c>
      <c r="C6" s="3" t="n">
        <v>1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5</v>
      </c>
      <c r="I6" s="3" t="n">
        <v>4</v>
      </c>
      <c r="J6" s="3" t="n">
        <v>4</v>
      </c>
      <c r="K6" s="3" t="n">
        <v>4</v>
      </c>
      <c r="L6" s="3" t="n">
        <v>5</v>
      </c>
      <c r="M6" s="3" t="n">
        <v>4</v>
      </c>
      <c r="N6" s="3" t="n">
        <v>5</v>
      </c>
      <c r="O6" s="3" t="n">
        <v>5</v>
      </c>
      <c r="P6" s="3" t="n">
        <v>4</v>
      </c>
      <c r="Q6" s="3" t="n">
        <v>4</v>
      </c>
      <c r="R6" s="3" t="n">
        <v>4</v>
      </c>
      <c r="S6" s="3" t="n">
        <v>4</v>
      </c>
      <c r="T6" s="3" t="n">
        <v>0</v>
      </c>
      <c r="U6" s="3" t="n">
        <v>21</v>
      </c>
      <c r="V6" s="3" t="n">
        <v>58742</v>
      </c>
      <c r="W6" s="3" t="n">
        <v>2</v>
      </c>
      <c r="X6" s="3" t="n">
        <v>4</v>
      </c>
      <c r="Y6" s="3" t="n">
        <v>2</v>
      </c>
      <c r="Z6" s="3" t="n">
        <v>2</v>
      </c>
      <c r="AA6" s="4" t="n">
        <f aca="false">IF($B6=AA$1,1,0)</f>
        <v>0</v>
      </c>
      <c r="AB6" s="4" t="n">
        <f aca="false">IF($B6=AB$1,1,0)</f>
        <v>0</v>
      </c>
      <c r="AC6" s="4" t="n">
        <f aca="false">IF($B6=AC$1,1,0)</f>
        <v>0</v>
      </c>
      <c r="AD6" s="4" t="n">
        <f aca="false">IF($B6=AD$1,1,0)</f>
        <v>1</v>
      </c>
      <c r="AE6" s="4" t="n">
        <f aca="false">IF($B6=AE$1,1,0)</f>
        <v>0</v>
      </c>
      <c r="AF6" s="4" t="n">
        <f aca="false">IF($B6=AF$1,1,0)</f>
        <v>0</v>
      </c>
      <c r="AG6" s="4" t="n">
        <f aca="false">IF($B6=AG$1,1,0)</f>
        <v>0</v>
      </c>
      <c r="AH6" s="4" t="n">
        <f aca="false">IF($B6=AH$1,1,0)</f>
        <v>0</v>
      </c>
      <c r="AI6" s="4" t="n">
        <f aca="false">IF($B6=AI$1,1,0)</f>
        <v>0</v>
      </c>
      <c r="AJ6" s="4" t="n">
        <f aca="false">IF($B6=AJ$1,1,0)</f>
        <v>0</v>
      </c>
      <c r="AK6" s="4" t="n">
        <f aca="false">IF($B6=AK$1,1,0)</f>
        <v>0</v>
      </c>
      <c r="AL6" s="4" t="n">
        <f aca="false">IF($B6=AL$1,1,0)</f>
        <v>0</v>
      </c>
      <c r="AM6" s="4" t="n">
        <f aca="false">IF($B6=AM$1,1,0)</f>
        <v>0</v>
      </c>
      <c r="AN6" s="4" t="n">
        <f aca="false">IF($B6=AN$1,1,0)</f>
        <v>0</v>
      </c>
      <c r="AO6" s="4" t="n">
        <f aca="false">IF($B6=AO$1,1,0)</f>
        <v>0</v>
      </c>
      <c r="AP6" s="4" t="n">
        <f aca="false">IF($B6=AP$1,1,0)</f>
        <v>0</v>
      </c>
      <c r="AQ6" s="4" t="n">
        <f aca="false">IF($B6=AQ$1,1,0)</f>
        <v>0</v>
      </c>
      <c r="AR6" s="4" t="n">
        <f aca="false">IF($B6=AR$1,1,0)</f>
        <v>0</v>
      </c>
      <c r="AS6" s="4" t="n">
        <f aca="false">IF($B6=AS$1,1,0)</f>
        <v>0</v>
      </c>
      <c r="AT6" s="4" t="n">
        <f aca="false">IF($B6=AT$1,1,0)</f>
        <v>0</v>
      </c>
      <c r="AW6" s="9" t="s">
        <v>56</v>
      </c>
      <c r="BB6" s="4" t="n">
        <f aca="false">A6</f>
        <v>5</v>
      </c>
      <c r="BC6" s="7" t="n">
        <f aca="false">ABS($T6-$AX$2)+ABS($U6-$AY$2)+ABS($V6-$AZ$2)</f>
        <v>35925.7676056338</v>
      </c>
      <c r="BD6" s="7" t="n">
        <f aca="false">ABS($T6-$AX$3)+ABS($U6-$AY$3)+ABS($V6-$AZ$3)</f>
        <v>12099.406779661</v>
      </c>
      <c r="BE6" s="7" t="n">
        <f aca="false">ABS($T6-$AX$4)+ABS($U6-$AY$4)+ABS($V6-$AZ$4)</f>
        <v>19073.641509434</v>
      </c>
      <c r="BF6" s="7" t="n">
        <f aca="false">MIN(BC6:BE6)</f>
        <v>12099.406779661</v>
      </c>
      <c r="BG6" s="4" t="n">
        <f aca="false">MATCH(BF6,BC6:BE6,0)</f>
        <v>2</v>
      </c>
      <c r="BH6" s="8" t="n">
        <v>2</v>
      </c>
      <c r="BI6" s="4" t="n">
        <f aca="false">IF(BG6=BH6,0,1)</f>
        <v>0</v>
      </c>
      <c r="BK6" s="8" t="n">
        <v>2</v>
      </c>
      <c r="BL6" s="8" t="n">
        <v>2</v>
      </c>
      <c r="BM6" s="8" t="n">
        <v>2</v>
      </c>
    </row>
    <row r="7" customFormat="false" ht="15" hidden="false" customHeight="false" outlineLevel="0" collapsed="false">
      <c r="A7" s="3" t="n">
        <v>6</v>
      </c>
      <c r="B7" s="3" t="s">
        <v>30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1</v>
      </c>
      <c r="H7" s="3" t="n">
        <v>5</v>
      </c>
      <c r="I7" s="3" t="n">
        <v>4</v>
      </c>
      <c r="J7" s="3" t="n">
        <v>5</v>
      </c>
      <c r="K7" s="3" t="n">
        <v>5</v>
      </c>
      <c r="L7" s="3" t="n">
        <v>5</v>
      </c>
      <c r="M7" s="3" t="n">
        <v>4</v>
      </c>
      <c r="N7" s="3" t="n">
        <v>3</v>
      </c>
      <c r="O7" s="3" t="n">
        <v>3</v>
      </c>
      <c r="P7" s="3" t="n">
        <v>4</v>
      </c>
      <c r="Q7" s="3" t="n">
        <v>5</v>
      </c>
      <c r="R7" s="3" t="n">
        <v>5</v>
      </c>
      <c r="S7" s="3" t="n">
        <v>4</v>
      </c>
      <c r="T7" s="3" t="n">
        <v>0</v>
      </c>
      <c r="U7" s="3" t="n">
        <v>24</v>
      </c>
      <c r="V7" s="3" t="n">
        <v>58416</v>
      </c>
      <c r="W7" s="3" t="n">
        <v>1</v>
      </c>
      <c r="X7" s="3" t="n">
        <v>4</v>
      </c>
      <c r="Y7" s="3" t="n">
        <v>2</v>
      </c>
      <c r="Z7" s="3" t="n">
        <v>1</v>
      </c>
      <c r="AA7" s="4" t="n">
        <f aca="false">IF($B7=AA$1,1,0)</f>
        <v>0</v>
      </c>
      <c r="AB7" s="4" t="n">
        <f aca="false">IF($B7=AB$1,1,0)</f>
        <v>0</v>
      </c>
      <c r="AC7" s="4" t="n">
        <f aca="false">IF($B7=AC$1,1,0)</f>
        <v>0</v>
      </c>
      <c r="AD7" s="4" t="n">
        <f aca="false">IF($B7=AD$1,1,0)</f>
        <v>0</v>
      </c>
      <c r="AE7" s="4" t="n">
        <f aca="false">IF($B7=AE$1,1,0)</f>
        <v>1</v>
      </c>
      <c r="AF7" s="4" t="n">
        <f aca="false">IF($B7=AF$1,1,0)</f>
        <v>0</v>
      </c>
      <c r="AG7" s="4" t="n">
        <f aca="false">IF($B7=AG$1,1,0)</f>
        <v>0</v>
      </c>
      <c r="AH7" s="4" t="n">
        <f aca="false">IF($B7=AH$1,1,0)</f>
        <v>0</v>
      </c>
      <c r="AI7" s="4" t="n">
        <f aca="false">IF($B7=AI$1,1,0)</f>
        <v>0</v>
      </c>
      <c r="AJ7" s="4" t="n">
        <f aca="false">IF($B7=AJ$1,1,0)</f>
        <v>0</v>
      </c>
      <c r="AK7" s="4" t="n">
        <f aca="false">IF($B7=AK$1,1,0)</f>
        <v>0</v>
      </c>
      <c r="AL7" s="4" t="n">
        <f aca="false">IF($B7=AL$1,1,0)</f>
        <v>0</v>
      </c>
      <c r="AM7" s="4" t="n">
        <f aca="false">IF($B7=AM$1,1,0)</f>
        <v>0</v>
      </c>
      <c r="AN7" s="4" t="n">
        <f aca="false">IF($B7=AN$1,1,0)</f>
        <v>0</v>
      </c>
      <c r="AO7" s="4" t="n">
        <f aca="false">IF($B7=AO$1,1,0)</f>
        <v>0</v>
      </c>
      <c r="AP7" s="4" t="n">
        <f aca="false">IF($B7=AP$1,1,0)</f>
        <v>0</v>
      </c>
      <c r="AQ7" s="4" t="n">
        <f aca="false">IF($B7=AQ$1,1,0)</f>
        <v>0</v>
      </c>
      <c r="AR7" s="4" t="n">
        <f aca="false">IF($B7=AR$1,1,0)</f>
        <v>0</v>
      </c>
      <c r="AS7" s="4" t="n">
        <f aca="false">IF($B7=AS$1,1,0)</f>
        <v>0</v>
      </c>
      <c r="AT7" s="4" t="n">
        <f aca="false">IF($B7=AT$1,1,0)</f>
        <v>0</v>
      </c>
      <c r="AX7" s="2" t="s">
        <v>19</v>
      </c>
      <c r="AY7" s="2" t="s">
        <v>20</v>
      </c>
      <c r="AZ7" s="2" t="s">
        <v>21</v>
      </c>
      <c r="BB7" s="4" t="n">
        <f aca="false">A7</f>
        <v>6</v>
      </c>
      <c r="BC7" s="7" t="n">
        <f aca="false">ABS($T7-$AX$2)+ABS($U7-$AY$2)+ABS($V7-$AZ$2)</f>
        <v>35596.7676056338</v>
      </c>
      <c r="BD7" s="7" t="n">
        <f aca="false">ABS($T7-$AX$3)+ABS($U7-$AY$3)+ABS($V7-$AZ$3)</f>
        <v>11770.406779661</v>
      </c>
      <c r="BE7" s="7" t="n">
        <f aca="false">ABS($T7-$AX$4)+ABS($U7-$AY$4)+ABS($V7-$AZ$4)</f>
        <v>19396.641509434</v>
      </c>
      <c r="BF7" s="7" t="n">
        <f aca="false">MIN(BC7:BE7)</f>
        <v>11770.406779661</v>
      </c>
      <c r="BG7" s="4" t="n">
        <f aca="false">MATCH(BF7,BC7:BE7,0)</f>
        <v>2</v>
      </c>
      <c r="BH7" s="8" t="n">
        <v>2</v>
      </c>
      <c r="BI7" s="4" t="n">
        <f aca="false">IF(BG7=BH7,0,1)</f>
        <v>0</v>
      </c>
      <c r="BK7" s="8" t="n">
        <v>2</v>
      </c>
      <c r="BL7" s="8" t="n">
        <v>2</v>
      </c>
      <c r="BM7" s="8" t="n">
        <v>2</v>
      </c>
    </row>
    <row r="8" customFormat="false" ht="15" hidden="false" customHeight="false" outlineLevel="0" collapsed="false">
      <c r="A8" s="3" t="n">
        <v>7</v>
      </c>
      <c r="B8" s="3" t="s">
        <v>35</v>
      </c>
      <c r="C8" s="3" t="n">
        <v>1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4</v>
      </c>
      <c r="I8" s="3" t="n">
        <v>5</v>
      </c>
      <c r="J8" s="3" t="n">
        <v>5</v>
      </c>
      <c r="K8" s="3" t="n">
        <v>5</v>
      </c>
      <c r="L8" s="3" t="n">
        <v>5</v>
      </c>
      <c r="M8" s="3" t="n">
        <v>5</v>
      </c>
      <c r="N8" s="3" t="n">
        <v>5</v>
      </c>
      <c r="O8" s="3" t="n">
        <v>5</v>
      </c>
      <c r="P8" s="3" t="n">
        <v>5</v>
      </c>
      <c r="Q8" s="3" t="n">
        <v>5</v>
      </c>
      <c r="R8" s="3" t="n">
        <v>5</v>
      </c>
      <c r="S8" s="3" t="n">
        <v>5</v>
      </c>
      <c r="T8" s="3" t="n">
        <v>0</v>
      </c>
      <c r="U8" s="3" t="n">
        <v>25</v>
      </c>
      <c r="V8" s="3" t="n">
        <v>29001</v>
      </c>
      <c r="W8" s="3" t="n">
        <v>1</v>
      </c>
      <c r="X8" s="3" t="n">
        <v>2</v>
      </c>
      <c r="Y8" s="3" t="n">
        <v>1</v>
      </c>
      <c r="Z8" s="3" t="n">
        <v>1</v>
      </c>
      <c r="AA8" s="4" t="n">
        <f aca="false">IF($B8=AA$1,1,0)</f>
        <v>0</v>
      </c>
      <c r="AB8" s="4" t="n">
        <f aca="false">IF($B8=AB$1,1,0)</f>
        <v>0</v>
      </c>
      <c r="AC8" s="4" t="n">
        <f aca="false">IF($B8=AC$1,1,0)</f>
        <v>0</v>
      </c>
      <c r="AD8" s="4" t="n">
        <f aca="false">IF($B8=AD$1,1,0)</f>
        <v>0</v>
      </c>
      <c r="AE8" s="4" t="n">
        <f aca="false">IF($B8=AE$1,1,0)</f>
        <v>0</v>
      </c>
      <c r="AF8" s="4" t="n">
        <f aca="false">IF($B8=AF$1,1,0)</f>
        <v>0</v>
      </c>
      <c r="AG8" s="4" t="n">
        <f aca="false">IF($B8=AG$1,1,0)</f>
        <v>0</v>
      </c>
      <c r="AH8" s="4" t="n">
        <f aca="false">IF($B8=AH$1,1,0)</f>
        <v>0</v>
      </c>
      <c r="AI8" s="4" t="n">
        <f aca="false">IF($B8=AI$1,1,0)</f>
        <v>0</v>
      </c>
      <c r="AJ8" s="4" t="n">
        <f aca="false">IF($B8=AJ$1,1,0)</f>
        <v>1</v>
      </c>
      <c r="AK8" s="4" t="n">
        <f aca="false">IF($B8=AK$1,1,0)</f>
        <v>0</v>
      </c>
      <c r="AL8" s="4" t="n">
        <f aca="false">IF($B8=AL$1,1,0)</f>
        <v>0</v>
      </c>
      <c r="AM8" s="4" t="n">
        <f aca="false">IF($B8=AM$1,1,0)</f>
        <v>0</v>
      </c>
      <c r="AN8" s="4" t="n">
        <f aca="false">IF($B8=AN$1,1,0)</f>
        <v>0</v>
      </c>
      <c r="AO8" s="4" t="n">
        <f aca="false">IF($B8=AO$1,1,0)</f>
        <v>0</v>
      </c>
      <c r="AP8" s="4" t="n">
        <f aca="false">IF($B8=AP$1,1,0)</f>
        <v>0</v>
      </c>
      <c r="AQ8" s="4" t="n">
        <f aca="false">IF($B8=AQ$1,1,0)</f>
        <v>0</v>
      </c>
      <c r="AR8" s="4" t="n">
        <f aca="false">IF($B8=AR$1,1,0)</f>
        <v>0</v>
      </c>
      <c r="AS8" s="4" t="n">
        <f aca="false">IF($B8=AS$1,1,0)</f>
        <v>0</v>
      </c>
      <c r="AT8" s="4" t="n">
        <f aca="false">IF($B8=AT$1,1,0)</f>
        <v>0</v>
      </c>
      <c r="AW8" s="3" t="s">
        <v>46</v>
      </c>
      <c r="AX8" s="4" t="n">
        <f aca="false">T2</f>
        <v>0</v>
      </c>
      <c r="AY8" s="4" t="n">
        <f aca="false">U2</f>
        <v>52</v>
      </c>
      <c r="AZ8" s="7" t="n">
        <f aca="false">V2</f>
        <v>20942</v>
      </c>
      <c r="BB8" s="4" t="n">
        <f aca="false">A8</f>
        <v>7</v>
      </c>
      <c r="BC8" s="7" t="n">
        <f aca="false">ABS($T8-$AX$2)+ABS($U8-$AY$2)+ABS($V8-$AZ$2)</f>
        <v>6180.7676056338</v>
      </c>
      <c r="BD8" s="7" t="n">
        <f aca="false">ABS($T8-$AX$3)+ABS($U8-$AY$3)+ABS($V8-$AZ$3)</f>
        <v>17678.7288135593</v>
      </c>
      <c r="BE8" s="7" t="n">
        <f aca="false">ABS($T8-$AX$4)+ABS($U8-$AY$4)+ABS($V8-$AZ$4)</f>
        <v>48810.641509434</v>
      </c>
      <c r="BF8" s="7" t="n">
        <f aca="false">MIN(BC8:BE8)</f>
        <v>6180.7676056338</v>
      </c>
      <c r="BG8" s="4" t="n">
        <f aca="false">MATCH(BF8,BC8:BE8,0)</f>
        <v>1</v>
      </c>
      <c r="BH8" s="8" t="n">
        <v>1</v>
      </c>
      <c r="BI8" s="4" t="n">
        <f aca="false">IF(BG8=BH8,0,1)</f>
        <v>0</v>
      </c>
      <c r="BK8" s="8" t="n">
        <v>1</v>
      </c>
      <c r="BL8" s="8" t="n">
        <v>1</v>
      </c>
      <c r="BM8" s="8" t="n">
        <v>1</v>
      </c>
    </row>
    <row r="9" customFormat="false" ht="15" hidden="false" customHeight="false" outlineLevel="0" collapsed="false">
      <c r="A9" s="3" t="n">
        <v>8</v>
      </c>
      <c r="B9" s="3" t="s">
        <v>29</v>
      </c>
      <c r="C9" s="3" t="n">
        <v>1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5</v>
      </c>
      <c r="I9" s="3" t="n">
        <v>5</v>
      </c>
      <c r="J9" s="3" t="n">
        <v>5</v>
      </c>
      <c r="K9" s="3" t="n">
        <v>5</v>
      </c>
      <c r="L9" s="3" t="n">
        <v>5</v>
      </c>
      <c r="M9" s="3" t="n">
        <v>3</v>
      </c>
      <c r="N9" s="3" t="n">
        <v>3</v>
      </c>
      <c r="O9" s="3" t="n">
        <v>5</v>
      </c>
      <c r="P9" s="3" t="n">
        <v>5</v>
      </c>
      <c r="Q9" s="3" t="n">
        <v>5</v>
      </c>
      <c r="R9" s="3" t="n">
        <v>5</v>
      </c>
      <c r="S9" s="3" t="n">
        <v>4</v>
      </c>
      <c r="T9" s="3" t="n">
        <v>0</v>
      </c>
      <c r="U9" s="3" t="n">
        <v>31</v>
      </c>
      <c r="V9" s="3" t="n">
        <v>40076</v>
      </c>
      <c r="W9" s="3" t="n">
        <v>2</v>
      </c>
      <c r="X9" s="3" t="n">
        <v>2</v>
      </c>
      <c r="Y9" s="3" t="n">
        <v>2</v>
      </c>
      <c r="Z9" s="3" t="n">
        <v>2</v>
      </c>
      <c r="AA9" s="4" t="n">
        <f aca="false">IF($B9=AA$1,1,0)</f>
        <v>0</v>
      </c>
      <c r="AB9" s="4" t="n">
        <f aca="false">IF($B9=AB$1,1,0)</f>
        <v>0</v>
      </c>
      <c r="AC9" s="4" t="n">
        <f aca="false">IF($B9=AC$1,1,0)</f>
        <v>0</v>
      </c>
      <c r="AD9" s="4" t="n">
        <f aca="false">IF($B9=AD$1,1,0)</f>
        <v>1</v>
      </c>
      <c r="AE9" s="4" t="n">
        <f aca="false">IF($B9=AE$1,1,0)</f>
        <v>0</v>
      </c>
      <c r="AF9" s="4" t="n">
        <f aca="false">IF($B9=AF$1,1,0)</f>
        <v>0</v>
      </c>
      <c r="AG9" s="4" t="n">
        <f aca="false">IF($B9=AG$1,1,0)</f>
        <v>0</v>
      </c>
      <c r="AH9" s="4" t="n">
        <f aca="false">IF($B9=AH$1,1,0)</f>
        <v>0</v>
      </c>
      <c r="AI9" s="4" t="n">
        <f aca="false">IF($B9=AI$1,1,0)</f>
        <v>0</v>
      </c>
      <c r="AJ9" s="4" t="n">
        <f aca="false">IF($B9=AJ$1,1,0)</f>
        <v>0</v>
      </c>
      <c r="AK9" s="4" t="n">
        <f aca="false">IF($B9=AK$1,1,0)</f>
        <v>0</v>
      </c>
      <c r="AL9" s="4" t="n">
        <f aca="false">IF($B9=AL$1,1,0)</f>
        <v>0</v>
      </c>
      <c r="AM9" s="4" t="n">
        <f aca="false">IF($B9=AM$1,1,0)</f>
        <v>0</v>
      </c>
      <c r="AN9" s="4" t="n">
        <f aca="false">IF($B9=AN$1,1,0)</f>
        <v>0</v>
      </c>
      <c r="AO9" s="4" t="n">
        <f aca="false">IF($B9=AO$1,1,0)</f>
        <v>0</v>
      </c>
      <c r="AP9" s="4" t="n">
        <f aca="false">IF($B9=AP$1,1,0)</f>
        <v>0</v>
      </c>
      <c r="AQ9" s="4" t="n">
        <f aca="false">IF($B9=AQ$1,1,0)</f>
        <v>0</v>
      </c>
      <c r="AR9" s="4" t="n">
        <f aca="false">IF($B9=AR$1,1,0)</f>
        <v>0</v>
      </c>
      <c r="AS9" s="4" t="n">
        <f aca="false">IF($B9=AS$1,1,0)</f>
        <v>0</v>
      </c>
      <c r="AT9" s="4" t="n">
        <f aca="false">IF($B9=AT$1,1,0)</f>
        <v>0</v>
      </c>
      <c r="AW9" s="3" t="s">
        <v>47</v>
      </c>
      <c r="AX9" s="4" t="n">
        <f aca="false">T3</f>
        <v>0</v>
      </c>
      <c r="AY9" s="4" t="n">
        <f aca="false">U3</f>
        <v>37</v>
      </c>
      <c r="AZ9" s="7" t="n">
        <f aca="false">V3</f>
        <v>41052</v>
      </c>
      <c r="BB9" s="4" t="n">
        <f aca="false">A9</f>
        <v>8</v>
      </c>
      <c r="BC9" s="7" t="n">
        <f aca="false">ABS($T9-$AX$2)+ABS($U9-$AY$2)+ABS($V9-$AZ$2)</f>
        <v>17249.7676056338</v>
      </c>
      <c r="BD9" s="7" t="n">
        <f aca="false">ABS($T9-$AX$3)+ABS($U9-$AY$3)+ABS($V9-$AZ$3)</f>
        <v>6597.72881355932</v>
      </c>
      <c r="BE9" s="7" t="n">
        <f aca="false">ABS($T9-$AX$4)+ABS($U9-$AY$4)+ABS($V9-$AZ$4)</f>
        <v>37729.641509434</v>
      </c>
      <c r="BF9" s="7" t="n">
        <f aca="false">MIN(BC9:BE9)</f>
        <v>6597.72881355932</v>
      </c>
      <c r="BG9" s="4" t="n">
        <f aca="false">MATCH(BF9,BC9:BE9,0)</f>
        <v>2</v>
      </c>
      <c r="BH9" s="8" t="n">
        <v>2</v>
      </c>
      <c r="BI9" s="4" t="n">
        <f aca="false">IF(BG9=BH9,0,1)</f>
        <v>0</v>
      </c>
      <c r="BK9" s="8" t="n">
        <v>2</v>
      </c>
      <c r="BL9" s="8" t="n">
        <v>2</v>
      </c>
      <c r="BM9" s="8" t="n">
        <v>2</v>
      </c>
    </row>
    <row r="10" customFormat="false" ht="15" hidden="false" customHeight="false" outlineLevel="0" collapsed="false">
      <c r="A10" s="3" t="n">
        <v>9</v>
      </c>
      <c r="B10" s="3" t="s">
        <v>30</v>
      </c>
      <c r="C10" s="3" t="n">
        <v>1</v>
      </c>
      <c r="D10" s="3" t="n">
        <v>0</v>
      </c>
      <c r="E10" s="3" t="n">
        <v>0</v>
      </c>
      <c r="F10" s="3" t="n">
        <v>0</v>
      </c>
      <c r="G10" s="3" t="n">
        <v>3</v>
      </c>
      <c r="H10" s="3" t="n">
        <v>5</v>
      </c>
      <c r="I10" s="3" t="n">
        <v>5</v>
      </c>
      <c r="J10" s="3" t="n">
        <v>5</v>
      </c>
      <c r="K10" s="3" t="n">
        <v>4</v>
      </c>
      <c r="L10" s="3" t="n">
        <v>5</v>
      </c>
      <c r="M10" s="3" t="n">
        <v>4</v>
      </c>
      <c r="N10" s="3" t="n">
        <v>3</v>
      </c>
      <c r="O10" s="3" t="n">
        <v>3</v>
      </c>
      <c r="P10" s="3" t="n">
        <v>4</v>
      </c>
      <c r="Q10" s="3" t="n">
        <v>5</v>
      </c>
      <c r="R10" s="3" t="n">
        <v>3</v>
      </c>
      <c r="S10" s="3" t="n">
        <v>3</v>
      </c>
      <c r="T10" s="3" t="n">
        <v>0</v>
      </c>
      <c r="U10" s="3" t="n">
        <v>38</v>
      </c>
      <c r="V10" s="3" t="n">
        <v>39680</v>
      </c>
      <c r="W10" s="3" t="n">
        <v>1</v>
      </c>
      <c r="X10" s="3" t="n">
        <v>2</v>
      </c>
      <c r="Y10" s="3" t="n">
        <v>2</v>
      </c>
      <c r="Z10" s="3" t="n">
        <v>2</v>
      </c>
      <c r="AA10" s="4" t="n">
        <f aca="false">IF($B10=AA$1,1,0)</f>
        <v>0</v>
      </c>
      <c r="AB10" s="4" t="n">
        <f aca="false">IF($B10=AB$1,1,0)</f>
        <v>0</v>
      </c>
      <c r="AC10" s="4" t="n">
        <f aca="false">IF($B10=AC$1,1,0)</f>
        <v>0</v>
      </c>
      <c r="AD10" s="4" t="n">
        <f aca="false">IF($B10=AD$1,1,0)</f>
        <v>0</v>
      </c>
      <c r="AE10" s="4" t="n">
        <f aca="false">IF($B10=AE$1,1,0)</f>
        <v>1</v>
      </c>
      <c r="AF10" s="4" t="n">
        <f aca="false">IF($B10=AF$1,1,0)</f>
        <v>0</v>
      </c>
      <c r="AG10" s="4" t="n">
        <f aca="false">IF($B10=AG$1,1,0)</f>
        <v>0</v>
      </c>
      <c r="AH10" s="4" t="n">
        <f aca="false">IF($B10=AH$1,1,0)</f>
        <v>0</v>
      </c>
      <c r="AI10" s="4" t="n">
        <f aca="false">IF($B10=AI$1,1,0)</f>
        <v>0</v>
      </c>
      <c r="AJ10" s="4" t="n">
        <f aca="false">IF($B10=AJ$1,1,0)</f>
        <v>0</v>
      </c>
      <c r="AK10" s="4" t="n">
        <f aca="false">IF($B10=AK$1,1,0)</f>
        <v>0</v>
      </c>
      <c r="AL10" s="4" t="n">
        <f aca="false">IF($B10=AL$1,1,0)</f>
        <v>0</v>
      </c>
      <c r="AM10" s="4" t="n">
        <f aca="false">IF($B10=AM$1,1,0)</f>
        <v>0</v>
      </c>
      <c r="AN10" s="4" t="n">
        <f aca="false">IF($B10=AN$1,1,0)</f>
        <v>0</v>
      </c>
      <c r="AO10" s="4" t="n">
        <f aca="false">IF($B10=AO$1,1,0)</f>
        <v>0</v>
      </c>
      <c r="AP10" s="4" t="n">
        <f aca="false">IF($B10=AP$1,1,0)</f>
        <v>0</v>
      </c>
      <c r="AQ10" s="4" t="n">
        <f aca="false">IF($B10=AQ$1,1,0)</f>
        <v>0</v>
      </c>
      <c r="AR10" s="4" t="n">
        <f aca="false">IF($B10=AR$1,1,0)</f>
        <v>0</v>
      </c>
      <c r="AS10" s="4" t="n">
        <f aca="false">IF($B10=AS$1,1,0)</f>
        <v>0</v>
      </c>
      <c r="AT10" s="4" t="n">
        <f aca="false">IF($B10=AT$1,1,0)</f>
        <v>0</v>
      </c>
      <c r="AW10" s="3" t="s">
        <v>48</v>
      </c>
      <c r="AX10" s="4" t="n">
        <f aca="false">T4</f>
        <v>0</v>
      </c>
      <c r="AY10" s="4" t="n">
        <f aca="false">U4</f>
        <v>33</v>
      </c>
      <c r="AZ10" s="7" t="n">
        <f aca="false">V4</f>
        <v>86277</v>
      </c>
      <c r="BB10" s="4" t="n">
        <f aca="false">A10</f>
        <v>9</v>
      </c>
      <c r="BC10" s="7" t="n">
        <f aca="false">ABS($T10-$AX$2)+ABS($U10-$AY$2)+ABS($V10-$AZ$2)</f>
        <v>16846.7676056338</v>
      </c>
      <c r="BD10" s="7" t="n">
        <f aca="false">ABS($T10-$AX$3)+ABS($U10-$AY$3)+ABS($V10-$AZ$3)</f>
        <v>6986.72881355932</v>
      </c>
      <c r="BE10" s="7" t="n">
        <f aca="false">ABS($T10-$AX$4)+ABS($U10-$AY$4)+ABS($V10-$AZ$4)</f>
        <v>38118.641509434</v>
      </c>
      <c r="BF10" s="7" t="n">
        <f aca="false">MIN(BC10:BE10)</f>
        <v>6986.72881355932</v>
      </c>
      <c r="BG10" s="4" t="n">
        <f aca="false">MATCH(BF10,BC10:BE10,0)</f>
        <v>2</v>
      </c>
      <c r="BH10" s="8" t="n">
        <v>2</v>
      </c>
      <c r="BI10" s="4" t="n">
        <f aca="false">IF(BG10=BH10,0,1)</f>
        <v>0</v>
      </c>
      <c r="BK10" s="8" t="n">
        <v>2</v>
      </c>
      <c r="BL10" s="8" t="n">
        <v>2</v>
      </c>
      <c r="BM10" s="8" t="n">
        <v>2</v>
      </c>
    </row>
    <row r="11" customFormat="false" ht="15" hidden="false" customHeight="false" outlineLevel="0" collapsed="false">
      <c r="A11" s="3" t="n">
        <v>10</v>
      </c>
      <c r="B11" s="3" t="s">
        <v>30</v>
      </c>
      <c r="C11" s="3" t="n">
        <v>0</v>
      </c>
      <c r="D11" s="3" t="n">
        <v>0</v>
      </c>
      <c r="E11" s="3" t="n">
        <v>1</v>
      </c>
      <c r="F11" s="3" t="n">
        <v>0</v>
      </c>
      <c r="G11" s="3" t="n">
        <v>0</v>
      </c>
      <c r="H11" s="3" t="n">
        <v>5</v>
      </c>
      <c r="I11" s="3" t="n">
        <v>3</v>
      </c>
      <c r="J11" s="3" t="n">
        <v>5</v>
      </c>
      <c r="K11" s="3" t="n">
        <v>5</v>
      </c>
      <c r="L11" s="3" t="n">
        <v>5</v>
      </c>
      <c r="M11" s="3" t="n">
        <v>5</v>
      </c>
      <c r="N11" s="3" t="n">
        <v>5</v>
      </c>
      <c r="O11" s="3" t="n">
        <v>5</v>
      </c>
      <c r="P11" s="3" t="n">
        <v>5</v>
      </c>
      <c r="Q11" s="3" t="n">
        <v>5</v>
      </c>
      <c r="R11" s="3" t="n">
        <v>5</v>
      </c>
      <c r="S11" s="3" t="n">
        <v>5</v>
      </c>
      <c r="T11" s="3" t="n">
        <v>0</v>
      </c>
      <c r="U11" s="3" t="n">
        <v>45</v>
      </c>
      <c r="V11" s="3" t="n">
        <v>36810</v>
      </c>
      <c r="W11" s="3" t="n">
        <v>3</v>
      </c>
      <c r="X11" s="3" t="n">
        <v>2</v>
      </c>
      <c r="Y11" s="3" t="n">
        <v>2</v>
      </c>
      <c r="Z11" s="3" t="n">
        <v>1</v>
      </c>
      <c r="AA11" s="4" t="n">
        <f aca="false">IF($B11=AA$1,1,0)</f>
        <v>0</v>
      </c>
      <c r="AB11" s="4" t="n">
        <f aca="false">IF($B11=AB$1,1,0)</f>
        <v>0</v>
      </c>
      <c r="AC11" s="4" t="n">
        <f aca="false">IF($B11=AC$1,1,0)</f>
        <v>0</v>
      </c>
      <c r="AD11" s="4" t="n">
        <f aca="false">IF($B11=AD$1,1,0)</f>
        <v>0</v>
      </c>
      <c r="AE11" s="4" t="n">
        <f aca="false">IF($B11=AE$1,1,0)</f>
        <v>1</v>
      </c>
      <c r="AF11" s="4" t="n">
        <f aca="false">IF($B11=AF$1,1,0)</f>
        <v>0</v>
      </c>
      <c r="AG11" s="4" t="n">
        <f aca="false">IF($B11=AG$1,1,0)</f>
        <v>0</v>
      </c>
      <c r="AH11" s="4" t="n">
        <f aca="false">IF($B11=AH$1,1,0)</f>
        <v>0</v>
      </c>
      <c r="AI11" s="4" t="n">
        <f aca="false">IF($B11=AI$1,1,0)</f>
        <v>0</v>
      </c>
      <c r="AJ11" s="4" t="n">
        <f aca="false">IF($B11=AJ$1,1,0)</f>
        <v>0</v>
      </c>
      <c r="AK11" s="4" t="n">
        <f aca="false">IF($B11=AK$1,1,0)</f>
        <v>0</v>
      </c>
      <c r="AL11" s="4" t="n">
        <f aca="false">IF($B11=AL$1,1,0)</f>
        <v>0</v>
      </c>
      <c r="AM11" s="4" t="n">
        <f aca="false">IF($B11=AM$1,1,0)</f>
        <v>0</v>
      </c>
      <c r="AN11" s="4" t="n">
        <f aca="false">IF($B11=AN$1,1,0)</f>
        <v>0</v>
      </c>
      <c r="AO11" s="4" t="n">
        <f aca="false">IF($B11=AO$1,1,0)</f>
        <v>0</v>
      </c>
      <c r="AP11" s="4" t="n">
        <f aca="false">IF($B11=AP$1,1,0)</f>
        <v>0</v>
      </c>
      <c r="AQ11" s="4" t="n">
        <f aca="false">IF($B11=AQ$1,1,0)</f>
        <v>0</v>
      </c>
      <c r="AR11" s="4" t="n">
        <f aca="false">IF($B11=AR$1,1,0)</f>
        <v>0</v>
      </c>
      <c r="AS11" s="4" t="n">
        <f aca="false">IF($B11=AS$1,1,0)</f>
        <v>0</v>
      </c>
      <c r="AT11" s="4" t="n">
        <f aca="false">IF($B11=AT$1,1,0)</f>
        <v>0</v>
      </c>
      <c r="BB11" s="4" t="n">
        <f aca="false">A11</f>
        <v>10</v>
      </c>
      <c r="BC11" s="7" t="n">
        <f aca="false">ABS($T11-$AX$2)+ABS($U11-$AY$2)+ABS($V11-$AZ$2)</f>
        <v>13982.2887323944</v>
      </c>
      <c r="BD11" s="7" t="n">
        <f aca="false">ABS($T11-$AX$3)+ABS($U11-$AY$3)+ABS($V11-$AZ$3)</f>
        <v>9856.96610169492</v>
      </c>
      <c r="BE11" s="7" t="n">
        <f aca="false">ABS($T11-$AX$4)+ABS($U11-$AY$4)+ABS($V11-$AZ$4)</f>
        <v>40987.6037735849</v>
      </c>
      <c r="BF11" s="7" t="n">
        <f aca="false">MIN(BC11:BE11)</f>
        <v>9856.96610169492</v>
      </c>
      <c r="BG11" s="4" t="n">
        <f aca="false">MATCH(BF11,BC11:BE11,0)</f>
        <v>2</v>
      </c>
      <c r="BH11" s="8" t="n">
        <v>2</v>
      </c>
      <c r="BI11" s="4" t="n">
        <f aca="false">IF(BG11=BH11,0,1)</f>
        <v>0</v>
      </c>
      <c r="BK11" s="8" t="n">
        <v>2</v>
      </c>
      <c r="BL11" s="8" t="n">
        <v>2</v>
      </c>
      <c r="BM11" s="8" t="n">
        <v>2</v>
      </c>
    </row>
    <row r="12" customFormat="false" ht="15" hidden="false" customHeight="false" outlineLevel="0" collapsed="false">
      <c r="A12" s="3" t="n">
        <v>11</v>
      </c>
      <c r="B12" s="3" t="s">
        <v>33</v>
      </c>
      <c r="C12" s="3" t="n">
        <v>1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4</v>
      </c>
      <c r="I12" s="3" t="n">
        <v>4</v>
      </c>
      <c r="J12" s="3" t="n">
        <v>4</v>
      </c>
      <c r="K12" s="3" t="n">
        <v>3</v>
      </c>
      <c r="L12" s="3" t="n">
        <v>5</v>
      </c>
      <c r="M12" s="3" t="n">
        <v>4</v>
      </c>
      <c r="N12" s="3" t="n">
        <v>3</v>
      </c>
      <c r="O12" s="3" t="n">
        <v>3</v>
      </c>
      <c r="P12" s="3" t="n">
        <v>3</v>
      </c>
      <c r="Q12" s="3" t="n">
        <v>5</v>
      </c>
      <c r="R12" s="3" t="n">
        <v>5</v>
      </c>
      <c r="S12" s="3" t="n">
        <v>4</v>
      </c>
      <c r="T12" s="3" t="n">
        <v>1</v>
      </c>
      <c r="U12" s="3" t="n">
        <v>40</v>
      </c>
      <c r="V12" s="3" t="n">
        <v>81393</v>
      </c>
      <c r="W12" s="3" t="n">
        <v>2</v>
      </c>
      <c r="X12" s="3" t="n">
        <v>4</v>
      </c>
      <c r="Y12" s="3" t="n">
        <v>2</v>
      </c>
      <c r="Z12" s="3" t="n">
        <v>1</v>
      </c>
      <c r="AA12" s="4" t="n">
        <f aca="false">IF($B12=AA$1,1,0)</f>
        <v>0</v>
      </c>
      <c r="AB12" s="4" t="n">
        <f aca="false">IF($B12=AB$1,1,0)</f>
        <v>0</v>
      </c>
      <c r="AC12" s="4" t="n">
        <f aca="false">IF($B12=AC$1,1,0)</f>
        <v>0</v>
      </c>
      <c r="AD12" s="4" t="n">
        <f aca="false">IF($B12=AD$1,1,0)</f>
        <v>0</v>
      </c>
      <c r="AE12" s="4" t="n">
        <f aca="false">IF($B12=AE$1,1,0)</f>
        <v>0</v>
      </c>
      <c r="AF12" s="4" t="n">
        <f aca="false">IF($B12=AF$1,1,0)</f>
        <v>0</v>
      </c>
      <c r="AG12" s="4" t="n">
        <f aca="false">IF($B12=AG$1,1,0)</f>
        <v>0</v>
      </c>
      <c r="AH12" s="4" t="n">
        <f aca="false">IF($B12=AH$1,1,0)</f>
        <v>1</v>
      </c>
      <c r="AI12" s="4" t="n">
        <f aca="false">IF($B12=AI$1,1,0)</f>
        <v>0</v>
      </c>
      <c r="AJ12" s="4" t="n">
        <f aca="false">IF($B12=AJ$1,1,0)</f>
        <v>0</v>
      </c>
      <c r="AK12" s="4" t="n">
        <f aca="false">IF($B12=AK$1,1,0)</f>
        <v>0</v>
      </c>
      <c r="AL12" s="4" t="n">
        <f aca="false">IF($B12=AL$1,1,0)</f>
        <v>0</v>
      </c>
      <c r="AM12" s="4" t="n">
        <f aca="false">IF($B12=AM$1,1,0)</f>
        <v>0</v>
      </c>
      <c r="AN12" s="4" t="n">
        <f aca="false">IF($B12=AN$1,1,0)</f>
        <v>0</v>
      </c>
      <c r="AO12" s="4" t="n">
        <f aca="false">IF($B12=AO$1,1,0)</f>
        <v>0</v>
      </c>
      <c r="AP12" s="4" t="n">
        <f aca="false">IF($B12=AP$1,1,0)</f>
        <v>0</v>
      </c>
      <c r="AQ12" s="4" t="n">
        <f aca="false">IF($B12=AQ$1,1,0)</f>
        <v>0</v>
      </c>
      <c r="AR12" s="4" t="n">
        <f aca="false">IF($B12=AR$1,1,0)</f>
        <v>0</v>
      </c>
      <c r="AS12" s="4" t="n">
        <f aca="false">IF($B12=AS$1,1,0)</f>
        <v>0</v>
      </c>
      <c r="AT12" s="4" t="n">
        <f aca="false">IF($B12=AT$1,1,0)</f>
        <v>0</v>
      </c>
      <c r="AW12" s="9" t="s">
        <v>57</v>
      </c>
      <c r="BB12" s="4" t="n">
        <f aca="false">A12</f>
        <v>11</v>
      </c>
      <c r="BC12" s="7" t="n">
        <f aca="false">ABS($T12-$AX$2)+ABS($U12-$AY$2)+ABS($V12-$AZ$2)</f>
        <v>58560.8521126761</v>
      </c>
      <c r="BD12" s="7" t="n">
        <f aca="false">ABS($T12-$AX$3)+ABS($U12-$AY$3)+ABS($V12-$AZ$3)</f>
        <v>34732.0338983051</v>
      </c>
      <c r="BE12" s="7" t="n">
        <f aca="false">ABS($T12-$AX$4)+ABS($U12-$AY$4)+ABS($V12-$AZ$4)</f>
        <v>3601.39622641509</v>
      </c>
      <c r="BF12" s="7" t="n">
        <f aca="false">MIN(BC12:BE12)</f>
        <v>3601.39622641509</v>
      </c>
      <c r="BG12" s="4" t="n">
        <f aca="false">MATCH(BF12,BC12:BE12,0)</f>
        <v>3</v>
      </c>
      <c r="BH12" s="8" t="n">
        <v>3</v>
      </c>
      <c r="BI12" s="4" t="n">
        <f aca="false">IF(BG12=BH12,0,1)</f>
        <v>0</v>
      </c>
      <c r="BK12" s="8" t="n">
        <v>3</v>
      </c>
      <c r="BL12" s="8" t="n">
        <v>3</v>
      </c>
      <c r="BM12" s="8" t="n">
        <v>3</v>
      </c>
    </row>
    <row r="13" customFormat="false" ht="15" hidden="false" customHeight="false" outlineLevel="0" collapsed="false">
      <c r="A13" s="3" t="n">
        <v>12</v>
      </c>
      <c r="B13" s="3" t="s">
        <v>29</v>
      </c>
      <c r="C13" s="3" t="n">
        <v>1</v>
      </c>
      <c r="D13" s="3" t="n">
        <v>0</v>
      </c>
      <c r="E13" s="3" t="n">
        <v>0</v>
      </c>
      <c r="F13" s="3" t="n">
        <v>0</v>
      </c>
      <c r="G13" s="3" t="n">
        <v>1</v>
      </c>
      <c r="H13" s="3" t="n">
        <v>4</v>
      </c>
      <c r="I13" s="3" t="n">
        <v>4</v>
      </c>
      <c r="J13" s="3" t="n">
        <v>5</v>
      </c>
      <c r="K13" s="3" t="n">
        <v>5</v>
      </c>
      <c r="L13" s="3" t="n">
        <v>5</v>
      </c>
      <c r="M13" s="3" t="n">
        <v>4</v>
      </c>
      <c r="N13" s="3" t="n">
        <v>3</v>
      </c>
      <c r="O13" s="3" t="n">
        <v>3</v>
      </c>
      <c r="P13" s="3" t="n">
        <v>1</v>
      </c>
      <c r="Q13" s="3" t="n">
        <v>3</v>
      </c>
      <c r="R13" s="3" t="n">
        <v>3</v>
      </c>
      <c r="S13" s="3" t="n">
        <v>3</v>
      </c>
      <c r="T13" s="3" t="n">
        <v>0</v>
      </c>
      <c r="U13" s="3" t="n">
        <v>39</v>
      </c>
      <c r="V13" s="3" t="n">
        <v>15629</v>
      </c>
      <c r="W13" s="3" t="n">
        <v>2</v>
      </c>
      <c r="X13" s="3" t="n">
        <v>2</v>
      </c>
      <c r="Y13" s="3" t="n">
        <v>1</v>
      </c>
      <c r="Z13" s="3" t="n">
        <v>1</v>
      </c>
      <c r="AA13" s="4" t="n">
        <f aca="false">IF($B13=AA$1,1,0)</f>
        <v>0</v>
      </c>
      <c r="AB13" s="4" t="n">
        <f aca="false">IF($B13=AB$1,1,0)</f>
        <v>0</v>
      </c>
      <c r="AC13" s="4" t="n">
        <f aca="false">IF($B13=AC$1,1,0)</f>
        <v>0</v>
      </c>
      <c r="AD13" s="4" t="n">
        <f aca="false">IF($B13=AD$1,1,0)</f>
        <v>1</v>
      </c>
      <c r="AE13" s="4" t="n">
        <f aca="false">IF($B13=AE$1,1,0)</f>
        <v>0</v>
      </c>
      <c r="AF13" s="4" t="n">
        <f aca="false">IF($B13=AF$1,1,0)</f>
        <v>0</v>
      </c>
      <c r="AG13" s="4" t="n">
        <f aca="false">IF($B13=AG$1,1,0)</f>
        <v>0</v>
      </c>
      <c r="AH13" s="4" t="n">
        <f aca="false">IF($B13=AH$1,1,0)</f>
        <v>0</v>
      </c>
      <c r="AI13" s="4" t="n">
        <f aca="false">IF($B13=AI$1,1,0)</f>
        <v>0</v>
      </c>
      <c r="AJ13" s="4" t="n">
        <f aca="false">IF($B13=AJ$1,1,0)</f>
        <v>0</v>
      </c>
      <c r="AK13" s="4" t="n">
        <f aca="false">IF($B13=AK$1,1,0)</f>
        <v>0</v>
      </c>
      <c r="AL13" s="4" t="n">
        <f aca="false">IF($B13=AL$1,1,0)</f>
        <v>0</v>
      </c>
      <c r="AM13" s="4" t="n">
        <f aca="false">IF($B13=AM$1,1,0)</f>
        <v>0</v>
      </c>
      <c r="AN13" s="4" t="n">
        <f aca="false">IF($B13=AN$1,1,0)</f>
        <v>0</v>
      </c>
      <c r="AO13" s="4" t="n">
        <f aca="false">IF($B13=AO$1,1,0)</f>
        <v>0</v>
      </c>
      <c r="AP13" s="4" t="n">
        <f aca="false">IF($B13=AP$1,1,0)</f>
        <v>0</v>
      </c>
      <c r="AQ13" s="4" t="n">
        <f aca="false">IF($B13=AQ$1,1,0)</f>
        <v>0</v>
      </c>
      <c r="AR13" s="4" t="n">
        <f aca="false">IF($B13=AR$1,1,0)</f>
        <v>0</v>
      </c>
      <c r="AS13" s="4" t="n">
        <f aca="false">IF($B13=AS$1,1,0)</f>
        <v>0</v>
      </c>
      <c r="AT13" s="4" t="n">
        <f aca="false">IF($B13=AT$1,1,0)</f>
        <v>0</v>
      </c>
      <c r="AW13" s="3" t="s">
        <v>58</v>
      </c>
      <c r="AX13" s="10" t="n">
        <f aca="false">SUM(BI2:BI314)</f>
        <v>0</v>
      </c>
      <c r="BB13" s="4" t="n">
        <f aca="false">A13</f>
        <v>12</v>
      </c>
      <c r="BC13" s="7" t="n">
        <f aca="false">ABS($T13-$AX$2)+ABS($U13-$AY$2)+ABS($V13-$AZ$2)</f>
        <v>7205.66901408451</v>
      </c>
      <c r="BD13" s="7" t="n">
        <f aca="false">ABS($T13-$AX$3)+ABS($U13-$AY$3)+ABS($V13-$AZ$3)</f>
        <v>31036.7288135593</v>
      </c>
      <c r="BE13" s="7" t="n">
        <f aca="false">ABS($T13-$AX$4)+ABS($U13-$AY$4)+ABS($V13-$AZ$4)</f>
        <v>62168.641509434</v>
      </c>
      <c r="BF13" s="7" t="n">
        <f aca="false">MIN(BC13:BE13)</f>
        <v>7205.66901408451</v>
      </c>
      <c r="BG13" s="4" t="n">
        <f aca="false">MATCH(BF13,BC13:BE13,0)</f>
        <v>1</v>
      </c>
      <c r="BH13" s="8" t="n">
        <v>1</v>
      </c>
      <c r="BI13" s="4" t="n">
        <f aca="false">IF(BG13=BH13,0,1)</f>
        <v>0</v>
      </c>
      <c r="BK13" s="8" t="n">
        <v>1</v>
      </c>
      <c r="BL13" s="8" t="n">
        <v>1</v>
      </c>
      <c r="BM13" s="8" t="n">
        <v>1</v>
      </c>
    </row>
    <row r="14" customFormat="false" ht="15" hidden="false" customHeight="false" outlineLevel="0" collapsed="false">
      <c r="A14" s="3" t="n">
        <v>13</v>
      </c>
      <c r="B14" s="3" t="s">
        <v>29</v>
      </c>
      <c r="C14" s="3" t="n">
        <v>1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4</v>
      </c>
      <c r="I14" s="3" t="n">
        <v>4</v>
      </c>
      <c r="J14" s="3" t="n">
        <v>5</v>
      </c>
      <c r="K14" s="3" t="n">
        <v>5</v>
      </c>
      <c r="L14" s="3" t="n">
        <v>5</v>
      </c>
      <c r="M14" s="3" t="n">
        <v>4</v>
      </c>
      <c r="N14" s="3" t="n">
        <v>4</v>
      </c>
      <c r="O14" s="3" t="n">
        <v>5</v>
      </c>
      <c r="P14" s="3" t="n">
        <v>5</v>
      </c>
      <c r="Q14" s="3" t="n">
        <v>5</v>
      </c>
      <c r="R14" s="3" t="n">
        <v>5</v>
      </c>
      <c r="S14" s="3" t="n">
        <v>4</v>
      </c>
      <c r="T14" s="3" t="n">
        <v>1</v>
      </c>
      <c r="U14" s="3" t="n">
        <v>33</v>
      </c>
      <c r="V14" s="3" t="n">
        <v>72657</v>
      </c>
      <c r="W14" s="3" t="n">
        <v>1</v>
      </c>
      <c r="X14" s="3" t="n">
        <v>2</v>
      </c>
      <c r="Y14" s="3" t="n">
        <v>1</v>
      </c>
      <c r="Z14" s="3" t="n">
        <v>1</v>
      </c>
      <c r="AA14" s="4" t="n">
        <f aca="false">IF($B14=AA$1,1,0)</f>
        <v>0</v>
      </c>
      <c r="AB14" s="4" t="n">
        <f aca="false">IF($B14=AB$1,1,0)</f>
        <v>0</v>
      </c>
      <c r="AC14" s="4" t="n">
        <f aca="false">IF($B14=AC$1,1,0)</f>
        <v>0</v>
      </c>
      <c r="AD14" s="4" t="n">
        <f aca="false">IF($B14=AD$1,1,0)</f>
        <v>1</v>
      </c>
      <c r="AE14" s="4" t="n">
        <f aca="false">IF($B14=AE$1,1,0)</f>
        <v>0</v>
      </c>
      <c r="AF14" s="4" t="n">
        <f aca="false">IF($B14=AF$1,1,0)</f>
        <v>0</v>
      </c>
      <c r="AG14" s="4" t="n">
        <f aca="false">IF($B14=AG$1,1,0)</f>
        <v>0</v>
      </c>
      <c r="AH14" s="4" t="n">
        <f aca="false">IF($B14=AH$1,1,0)</f>
        <v>0</v>
      </c>
      <c r="AI14" s="4" t="n">
        <f aca="false">IF($B14=AI$1,1,0)</f>
        <v>0</v>
      </c>
      <c r="AJ14" s="4" t="n">
        <f aca="false">IF($B14=AJ$1,1,0)</f>
        <v>0</v>
      </c>
      <c r="AK14" s="4" t="n">
        <f aca="false">IF($B14=AK$1,1,0)</f>
        <v>0</v>
      </c>
      <c r="AL14" s="4" t="n">
        <f aca="false">IF($B14=AL$1,1,0)</f>
        <v>0</v>
      </c>
      <c r="AM14" s="4" t="n">
        <f aca="false">IF($B14=AM$1,1,0)</f>
        <v>0</v>
      </c>
      <c r="AN14" s="4" t="n">
        <f aca="false">IF($B14=AN$1,1,0)</f>
        <v>0</v>
      </c>
      <c r="AO14" s="4" t="n">
        <f aca="false">IF($B14=AO$1,1,0)</f>
        <v>0</v>
      </c>
      <c r="AP14" s="4" t="n">
        <f aca="false">IF($B14=AP$1,1,0)</f>
        <v>0</v>
      </c>
      <c r="AQ14" s="4" t="n">
        <f aca="false">IF($B14=AQ$1,1,0)</f>
        <v>0</v>
      </c>
      <c r="AR14" s="4" t="n">
        <f aca="false">IF($B14=AR$1,1,0)</f>
        <v>0</v>
      </c>
      <c r="AS14" s="4" t="n">
        <f aca="false">IF($B14=AS$1,1,0)</f>
        <v>0</v>
      </c>
      <c r="AT14" s="4" t="n">
        <f aca="false">IF($B14=AT$1,1,0)</f>
        <v>0</v>
      </c>
      <c r="AW14" s="3" t="s">
        <v>59</v>
      </c>
      <c r="AX14" s="11" t="str">
        <f aca="false">IF(AX13=0,"Yes – labels no longer change","No – paste Cluster values into Last and repeat")</f>
        <v>Yes – labels no longer change</v>
      </c>
      <c r="BB14" s="4" t="n">
        <f aca="false">A14</f>
        <v>13</v>
      </c>
      <c r="BC14" s="7" t="n">
        <f aca="false">ABS($T14-$AX$2)+ABS($U14-$AY$2)+ABS($V14-$AZ$2)</f>
        <v>49829.3309859155</v>
      </c>
      <c r="BD14" s="7" t="n">
        <f aca="false">ABS($T14-$AX$3)+ABS($U14-$AY$3)+ABS($V14-$AZ$3)</f>
        <v>26003.0338983051</v>
      </c>
      <c r="BE14" s="7" t="n">
        <f aca="false">ABS($T14-$AX$4)+ABS($U14-$AY$4)+ABS($V14-$AZ$4)</f>
        <v>5147.11320754717</v>
      </c>
      <c r="BF14" s="7" t="n">
        <f aca="false">MIN(BC14:BE14)</f>
        <v>5147.11320754717</v>
      </c>
      <c r="BG14" s="4" t="n">
        <f aca="false">MATCH(BF14,BC14:BE14,0)</f>
        <v>3</v>
      </c>
      <c r="BH14" s="8" t="n">
        <v>3</v>
      </c>
      <c r="BI14" s="4" t="n">
        <f aca="false">IF(BG14=BH14,0,1)</f>
        <v>0</v>
      </c>
      <c r="BK14" s="8" t="n">
        <v>3</v>
      </c>
      <c r="BL14" s="8" t="n">
        <v>3</v>
      </c>
      <c r="BM14" s="8" t="n">
        <v>3</v>
      </c>
    </row>
    <row r="15" customFormat="false" ht="15" hidden="false" customHeight="false" outlineLevel="0" collapsed="false">
      <c r="A15" s="3" t="n">
        <v>14</v>
      </c>
      <c r="B15" s="3" t="s">
        <v>36</v>
      </c>
      <c r="C15" s="3" t="n">
        <v>1</v>
      </c>
      <c r="D15" s="3" t="n">
        <v>0</v>
      </c>
      <c r="E15" s="3" t="n">
        <v>0</v>
      </c>
      <c r="F15" s="3" t="n">
        <v>0</v>
      </c>
      <c r="G15" s="3" t="n">
        <v>1</v>
      </c>
      <c r="H15" s="3" t="n">
        <v>5</v>
      </c>
      <c r="I15" s="3" t="n">
        <v>4</v>
      </c>
      <c r="J15" s="3" t="n">
        <v>5</v>
      </c>
      <c r="K15" s="3" t="n">
        <v>4</v>
      </c>
      <c r="L15" s="3" t="n">
        <v>5</v>
      </c>
      <c r="M15" s="3" t="n">
        <v>4</v>
      </c>
      <c r="N15" s="3" t="n">
        <v>3</v>
      </c>
      <c r="O15" s="3" t="n">
        <v>3</v>
      </c>
      <c r="P15" s="3" t="n">
        <v>2</v>
      </c>
      <c r="Q15" s="3" t="n">
        <v>5</v>
      </c>
      <c r="R15" s="3" t="n">
        <v>5</v>
      </c>
      <c r="S15" s="3" t="n">
        <v>3</v>
      </c>
      <c r="T15" s="3" t="n">
        <v>1</v>
      </c>
      <c r="U15" s="3" t="n">
        <v>32</v>
      </c>
      <c r="V15" s="3" t="n">
        <v>24334</v>
      </c>
      <c r="W15" s="3" t="n">
        <v>2</v>
      </c>
      <c r="X15" s="3" t="n">
        <v>3</v>
      </c>
      <c r="Y15" s="3" t="n">
        <v>5</v>
      </c>
      <c r="Z15" s="3" t="n">
        <v>3</v>
      </c>
      <c r="AA15" s="4" t="n">
        <f aca="false">IF($B15=AA$1,1,0)</f>
        <v>0</v>
      </c>
      <c r="AB15" s="4" t="n">
        <f aca="false">IF($B15=AB$1,1,0)</f>
        <v>0</v>
      </c>
      <c r="AC15" s="4" t="n">
        <f aca="false">IF($B15=AC$1,1,0)</f>
        <v>0</v>
      </c>
      <c r="AD15" s="4" t="n">
        <f aca="false">IF($B15=AD$1,1,0)</f>
        <v>0</v>
      </c>
      <c r="AE15" s="4" t="n">
        <f aca="false">IF($B15=AE$1,1,0)</f>
        <v>0</v>
      </c>
      <c r="AF15" s="4" t="n">
        <f aca="false">IF($B15=AF$1,1,0)</f>
        <v>0</v>
      </c>
      <c r="AG15" s="4" t="n">
        <f aca="false">IF($B15=AG$1,1,0)</f>
        <v>0</v>
      </c>
      <c r="AH15" s="4" t="n">
        <f aca="false">IF($B15=AH$1,1,0)</f>
        <v>0</v>
      </c>
      <c r="AI15" s="4" t="n">
        <f aca="false">IF($B15=AI$1,1,0)</f>
        <v>0</v>
      </c>
      <c r="AJ15" s="4" t="n">
        <f aca="false">IF($B15=AJ$1,1,0)</f>
        <v>0</v>
      </c>
      <c r="AK15" s="4" t="n">
        <f aca="false">IF($B15=AK$1,1,0)</f>
        <v>1</v>
      </c>
      <c r="AL15" s="4" t="n">
        <f aca="false">IF($B15=AL$1,1,0)</f>
        <v>0</v>
      </c>
      <c r="AM15" s="4" t="n">
        <f aca="false">IF($B15=AM$1,1,0)</f>
        <v>0</v>
      </c>
      <c r="AN15" s="4" t="n">
        <f aca="false">IF($B15=AN$1,1,0)</f>
        <v>0</v>
      </c>
      <c r="AO15" s="4" t="n">
        <f aca="false">IF($B15=AO$1,1,0)</f>
        <v>0</v>
      </c>
      <c r="AP15" s="4" t="n">
        <f aca="false">IF($B15=AP$1,1,0)</f>
        <v>0</v>
      </c>
      <c r="AQ15" s="4" t="n">
        <f aca="false">IF($B15=AQ$1,1,0)</f>
        <v>0</v>
      </c>
      <c r="AR15" s="4" t="n">
        <f aca="false">IF($B15=AR$1,1,0)</f>
        <v>0</v>
      </c>
      <c r="AS15" s="4" t="n">
        <f aca="false">IF($B15=AS$1,1,0)</f>
        <v>0</v>
      </c>
      <c r="AT15" s="4" t="n">
        <f aca="false">IF($B15=AT$1,1,0)</f>
        <v>0</v>
      </c>
      <c r="AW15" s="3" t="s">
        <v>60</v>
      </c>
      <c r="BB15" s="4" t="n">
        <f aca="false">A15</f>
        <v>14</v>
      </c>
      <c r="BC15" s="7" t="n">
        <f aca="false">ABS($T15-$AX$2)+ABS($U15-$AY$2)+ABS($V15-$AZ$2)</f>
        <v>1507.33098591549</v>
      </c>
      <c r="BD15" s="7" t="n">
        <f aca="false">ABS($T15-$AX$3)+ABS($U15-$AY$3)+ABS($V15-$AZ$3)</f>
        <v>22339.3559322034</v>
      </c>
      <c r="BE15" s="7" t="n">
        <f aca="false">ABS($T15-$AX$4)+ABS($U15-$AY$4)+ABS($V15-$AZ$4)</f>
        <v>53471.1132075472</v>
      </c>
      <c r="BF15" s="7" t="n">
        <f aca="false">MIN(BC15:BE15)</f>
        <v>1507.33098591549</v>
      </c>
      <c r="BG15" s="4" t="n">
        <f aca="false">MATCH(BF15,BC15:BE15,0)</f>
        <v>1</v>
      </c>
      <c r="BH15" s="8" t="n">
        <v>1</v>
      </c>
      <c r="BI15" s="4" t="n">
        <f aca="false">IF(BG15=BH15,0,1)</f>
        <v>0</v>
      </c>
      <c r="BK15" s="8" t="n">
        <v>1</v>
      </c>
      <c r="BL15" s="8" t="n">
        <v>1</v>
      </c>
      <c r="BM15" s="8" t="n">
        <v>1</v>
      </c>
    </row>
    <row r="16" customFormat="false" ht="15" hidden="false" customHeight="false" outlineLevel="0" collapsed="false">
      <c r="A16" s="3" t="n">
        <v>15</v>
      </c>
      <c r="B16" s="3" t="s">
        <v>27</v>
      </c>
      <c r="C16" s="3" t="n">
        <v>1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4</v>
      </c>
      <c r="I16" s="3" t="n">
        <v>4</v>
      </c>
      <c r="J16" s="3" t="n">
        <v>4</v>
      </c>
      <c r="K16" s="3" t="n">
        <v>4</v>
      </c>
      <c r="L16" s="3" t="n">
        <v>4</v>
      </c>
      <c r="M16" s="3" t="n">
        <v>3</v>
      </c>
      <c r="N16" s="3" t="n">
        <v>4</v>
      </c>
      <c r="O16" s="3" t="n">
        <v>4</v>
      </c>
      <c r="P16" s="3" t="n">
        <v>4</v>
      </c>
      <c r="Q16" s="3" t="n">
        <v>5</v>
      </c>
      <c r="R16" s="3" t="n">
        <v>5</v>
      </c>
      <c r="S16" s="3" t="n">
        <v>5</v>
      </c>
      <c r="T16" s="3" t="n">
        <v>0</v>
      </c>
      <c r="U16" s="3" t="n">
        <v>51</v>
      </c>
      <c r="V16" s="3" t="n">
        <v>14502</v>
      </c>
      <c r="W16" s="3" t="n">
        <v>2</v>
      </c>
      <c r="X16" s="3" t="n">
        <v>2</v>
      </c>
      <c r="Y16" s="3" t="n">
        <v>2</v>
      </c>
      <c r="Z16" s="3" t="n">
        <v>2</v>
      </c>
      <c r="AA16" s="4" t="n">
        <f aca="false">IF($B16=AA$1,1,0)</f>
        <v>0</v>
      </c>
      <c r="AB16" s="4" t="n">
        <f aca="false">IF($B16=AB$1,1,0)</f>
        <v>1</v>
      </c>
      <c r="AC16" s="4" t="n">
        <f aca="false">IF($B16=AC$1,1,0)</f>
        <v>0</v>
      </c>
      <c r="AD16" s="4" t="n">
        <f aca="false">IF($B16=AD$1,1,0)</f>
        <v>0</v>
      </c>
      <c r="AE16" s="4" t="n">
        <f aca="false">IF($B16=AE$1,1,0)</f>
        <v>0</v>
      </c>
      <c r="AF16" s="4" t="n">
        <f aca="false">IF($B16=AF$1,1,0)</f>
        <v>0</v>
      </c>
      <c r="AG16" s="4" t="n">
        <f aca="false">IF($B16=AG$1,1,0)</f>
        <v>0</v>
      </c>
      <c r="AH16" s="4" t="n">
        <f aca="false">IF($B16=AH$1,1,0)</f>
        <v>0</v>
      </c>
      <c r="AI16" s="4" t="n">
        <f aca="false">IF($B16=AI$1,1,0)</f>
        <v>0</v>
      </c>
      <c r="AJ16" s="4" t="n">
        <f aca="false">IF($B16=AJ$1,1,0)</f>
        <v>0</v>
      </c>
      <c r="AK16" s="4" t="n">
        <f aca="false">IF($B16=AK$1,1,0)</f>
        <v>0</v>
      </c>
      <c r="AL16" s="4" t="n">
        <f aca="false">IF($B16=AL$1,1,0)</f>
        <v>0</v>
      </c>
      <c r="AM16" s="4" t="n">
        <f aca="false">IF($B16=AM$1,1,0)</f>
        <v>0</v>
      </c>
      <c r="AN16" s="4" t="n">
        <f aca="false">IF($B16=AN$1,1,0)</f>
        <v>0</v>
      </c>
      <c r="AO16" s="4" t="n">
        <f aca="false">IF($B16=AO$1,1,0)</f>
        <v>0</v>
      </c>
      <c r="AP16" s="4" t="n">
        <f aca="false">IF($B16=AP$1,1,0)</f>
        <v>0</v>
      </c>
      <c r="AQ16" s="4" t="n">
        <f aca="false">IF($B16=AQ$1,1,0)</f>
        <v>0</v>
      </c>
      <c r="AR16" s="4" t="n">
        <f aca="false">IF($B16=AR$1,1,0)</f>
        <v>0</v>
      </c>
      <c r="AS16" s="4" t="n">
        <f aca="false">IF($B16=AS$1,1,0)</f>
        <v>0</v>
      </c>
      <c r="AT16" s="4" t="n">
        <f aca="false">IF($B16=AT$1,1,0)</f>
        <v>0</v>
      </c>
      <c r="AW16" s="3" t="s">
        <v>61</v>
      </c>
      <c r="AX16" s="4" t="n">
        <f aca="false">COUNTIF($BG$2:$BG$314,1)</f>
        <v>142</v>
      </c>
      <c r="BB16" s="4" t="n">
        <f aca="false">A16</f>
        <v>15</v>
      </c>
      <c r="BC16" s="7" t="n">
        <f aca="false">ABS($T16-$AX$2)+ABS($U16-$AY$2)+ABS($V16-$AZ$2)</f>
        <v>8344.66901408451</v>
      </c>
      <c r="BD16" s="7" t="n">
        <f aca="false">ABS($T16-$AX$3)+ABS($U16-$AY$3)+ABS($V16-$AZ$3)</f>
        <v>32170.9661016949</v>
      </c>
      <c r="BE16" s="7" t="n">
        <f aca="false">ABS($T16-$AX$4)+ABS($U16-$AY$4)+ABS($V16-$AZ$4)</f>
        <v>63301.6037735849</v>
      </c>
      <c r="BF16" s="7" t="n">
        <f aca="false">MIN(BC16:BE16)</f>
        <v>8344.66901408451</v>
      </c>
      <c r="BG16" s="4" t="n">
        <f aca="false">MATCH(BF16,BC16:BE16,0)</f>
        <v>1</v>
      </c>
      <c r="BH16" s="8" t="n">
        <v>1</v>
      </c>
      <c r="BI16" s="4" t="n">
        <f aca="false">IF(BG16=BH16,0,1)</f>
        <v>0</v>
      </c>
      <c r="BK16" s="8" t="n">
        <v>1</v>
      </c>
      <c r="BL16" s="8" t="n">
        <v>1</v>
      </c>
      <c r="BM16" s="8" t="n">
        <v>1</v>
      </c>
    </row>
    <row r="17" customFormat="false" ht="15" hidden="false" customHeight="false" outlineLevel="0" collapsed="false">
      <c r="A17" s="3" t="n">
        <v>16</v>
      </c>
      <c r="B17" s="3" t="s">
        <v>29</v>
      </c>
      <c r="C17" s="3" t="n">
        <v>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4</v>
      </c>
      <c r="I17" s="3" t="n">
        <v>4</v>
      </c>
      <c r="J17" s="3" t="n">
        <v>4</v>
      </c>
      <c r="K17" s="3" t="n">
        <v>5</v>
      </c>
      <c r="L17" s="3" t="n">
        <v>5</v>
      </c>
      <c r="M17" s="3" t="n">
        <v>5</v>
      </c>
      <c r="N17" s="3" t="n">
        <v>3</v>
      </c>
      <c r="O17" s="3" t="n">
        <v>3</v>
      </c>
      <c r="P17" s="3" t="n">
        <v>3</v>
      </c>
      <c r="Q17" s="3" t="n">
        <v>3</v>
      </c>
      <c r="R17" s="3" t="n">
        <v>3</v>
      </c>
      <c r="S17" s="3" t="n">
        <v>3</v>
      </c>
      <c r="T17" s="3" t="n">
        <v>1</v>
      </c>
      <c r="U17" s="3" t="n">
        <v>34</v>
      </c>
      <c r="V17" s="3" t="n">
        <v>17145</v>
      </c>
      <c r="W17" s="3" t="n">
        <v>2</v>
      </c>
      <c r="X17" s="3" t="n">
        <v>3</v>
      </c>
      <c r="Y17" s="3" t="n">
        <v>1</v>
      </c>
      <c r="Z17" s="3" t="n">
        <v>1</v>
      </c>
      <c r="AA17" s="4" t="n">
        <f aca="false">IF($B17=AA$1,1,0)</f>
        <v>0</v>
      </c>
      <c r="AB17" s="4" t="n">
        <f aca="false">IF($B17=AB$1,1,0)</f>
        <v>0</v>
      </c>
      <c r="AC17" s="4" t="n">
        <f aca="false">IF($B17=AC$1,1,0)</f>
        <v>0</v>
      </c>
      <c r="AD17" s="4" t="n">
        <f aca="false">IF($B17=AD$1,1,0)</f>
        <v>1</v>
      </c>
      <c r="AE17" s="4" t="n">
        <f aca="false">IF($B17=AE$1,1,0)</f>
        <v>0</v>
      </c>
      <c r="AF17" s="4" t="n">
        <f aca="false">IF($B17=AF$1,1,0)</f>
        <v>0</v>
      </c>
      <c r="AG17" s="4" t="n">
        <f aca="false">IF($B17=AG$1,1,0)</f>
        <v>0</v>
      </c>
      <c r="AH17" s="4" t="n">
        <f aca="false">IF($B17=AH$1,1,0)</f>
        <v>0</v>
      </c>
      <c r="AI17" s="4" t="n">
        <f aca="false">IF($B17=AI$1,1,0)</f>
        <v>0</v>
      </c>
      <c r="AJ17" s="4" t="n">
        <f aca="false">IF($B17=AJ$1,1,0)</f>
        <v>0</v>
      </c>
      <c r="AK17" s="4" t="n">
        <f aca="false">IF($B17=AK$1,1,0)</f>
        <v>0</v>
      </c>
      <c r="AL17" s="4" t="n">
        <f aca="false">IF($B17=AL$1,1,0)</f>
        <v>0</v>
      </c>
      <c r="AM17" s="4" t="n">
        <f aca="false">IF($B17=AM$1,1,0)</f>
        <v>0</v>
      </c>
      <c r="AN17" s="4" t="n">
        <f aca="false">IF($B17=AN$1,1,0)</f>
        <v>0</v>
      </c>
      <c r="AO17" s="4" t="n">
        <f aca="false">IF($B17=AO$1,1,0)</f>
        <v>0</v>
      </c>
      <c r="AP17" s="4" t="n">
        <f aca="false">IF($B17=AP$1,1,0)</f>
        <v>0</v>
      </c>
      <c r="AQ17" s="4" t="n">
        <f aca="false">IF($B17=AQ$1,1,0)</f>
        <v>0</v>
      </c>
      <c r="AR17" s="4" t="n">
        <f aca="false">IF($B17=AR$1,1,0)</f>
        <v>0</v>
      </c>
      <c r="AS17" s="4" t="n">
        <f aca="false">IF($B17=AS$1,1,0)</f>
        <v>0</v>
      </c>
      <c r="AT17" s="4" t="n">
        <f aca="false">IF($B17=AT$1,1,0)</f>
        <v>0</v>
      </c>
      <c r="AW17" s="3" t="s">
        <v>62</v>
      </c>
      <c r="AX17" s="4" t="n">
        <f aca="false">COUNTIF($BG$2:$BG$314,2)</f>
        <v>118</v>
      </c>
      <c r="BB17" s="4" t="n">
        <f aca="false">A17</f>
        <v>16</v>
      </c>
      <c r="BC17" s="7" t="n">
        <f aca="false">ABS($T17-$AX$2)+ABS($U17-$AY$2)+ABS($V17-$AZ$2)</f>
        <v>5694.71126760564</v>
      </c>
      <c r="BD17" s="7" t="n">
        <f aca="false">ABS($T17-$AX$3)+ABS($U17-$AY$3)+ABS($V17-$AZ$3)</f>
        <v>29526.3559322034</v>
      </c>
      <c r="BE17" s="7" t="n">
        <f aca="false">ABS($T17-$AX$4)+ABS($U17-$AY$4)+ABS($V17-$AZ$4)</f>
        <v>60658.1132075472</v>
      </c>
      <c r="BF17" s="7" t="n">
        <f aca="false">MIN(BC17:BE17)</f>
        <v>5694.71126760564</v>
      </c>
      <c r="BG17" s="4" t="n">
        <f aca="false">MATCH(BF17,BC17:BE17,0)</f>
        <v>1</v>
      </c>
      <c r="BH17" s="8" t="n">
        <v>1</v>
      </c>
      <c r="BI17" s="4" t="n">
        <f aca="false">IF(BG17=BH17,0,1)</f>
        <v>0</v>
      </c>
      <c r="BK17" s="8" t="n">
        <v>1</v>
      </c>
      <c r="BL17" s="8" t="n">
        <v>1</v>
      </c>
      <c r="BM17" s="8" t="n">
        <v>1</v>
      </c>
    </row>
    <row r="18" customFormat="false" ht="15" hidden="false" customHeight="false" outlineLevel="0" collapsed="false">
      <c r="A18" s="3" t="n">
        <v>17</v>
      </c>
      <c r="B18" s="3" t="s">
        <v>33</v>
      </c>
      <c r="C18" s="3" t="n">
        <v>1</v>
      </c>
      <c r="D18" s="3" t="n">
        <v>0</v>
      </c>
      <c r="E18" s="3" t="n">
        <v>0</v>
      </c>
      <c r="F18" s="3" t="n">
        <v>0</v>
      </c>
      <c r="G18" s="3" t="n">
        <v>2</v>
      </c>
      <c r="H18" s="3" t="n">
        <v>4</v>
      </c>
      <c r="I18" s="3" t="n">
        <v>4</v>
      </c>
      <c r="J18" s="3" t="n">
        <v>5</v>
      </c>
      <c r="K18" s="3" t="n">
        <v>4</v>
      </c>
      <c r="L18" s="3" t="n">
        <v>5</v>
      </c>
      <c r="M18" s="3" t="n">
        <v>4</v>
      </c>
      <c r="N18" s="3" t="n">
        <v>5</v>
      </c>
      <c r="O18" s="3" t="n">
        <v>3</v>
      </c>
      <c r="P18" s="3" t="n">
        <v>4</v>
      </c>
      <c r="Q18" s="3" t="n">
        <v>4</v>
      </c>
      <c r="R18" s="3" t="n">
        <v>4</v>
      </c>
      <c r="S18" s="3" t="n">
        <v>4</v>
      </c>
      <c r="T18" s="3" t="n">
        <v>1</v>
      </c>
      <c r="U18" s="3" t="n">
        <v>69</v>
      </c>
      <c r="V18" s="3" t="n">
        <v>34164</v>
      </c>
      <c r="W18" s="3" t="n">
        <v>3</v>
      </c>
      <c r="X18" s="3" t="n">
        <v>3</v>
      </c>
      <c r="Y18" s="3" t="n">
        <v>2</v>
      </c>
      <c r="Z18" s="3" t="n">
        <v>3</v>
      </c>
      <c r="AA18" s="4" t="n">
        <f aca="false">IF($B18=AA$1,1,0)</f>
        <v>0</v>
      </c>
      <c r="AB18" s="4" t="n">
        <f aca="false">IF($B18=AB$1,1,0)</f>
        <v>0</v>
      </c>
      <c r="AC18" s="4" t="n">
        <f aca="false">IF($B18=AC$1,1,0)</f>
        <v>0</v>
      </c>
      <c r="AD18" s="4" t="n">
        <f aca="false">IF($B18=AD$1,1,0)</f>
        <v>0</v>
      </c>
      <c r="AE18" s="4" t="n">
        <f aca="false">IF($B18=AE$1,1,0)</f>
        <v>0</v>
      </c>
      <c r="AF18" s="4" t="n">
        <f aca="false">IF($B18=AF$1,1,0)</f>
        <v>0</v>
      </c>
      <c r="AG18" s="4" t="n">
        <f aca="false">IF($B18=AG$1,1,0)</f>
        <v>0</v>
      </c>
      <c r="AH18" s="4" t="n">
        <f aca="false">IF($B18=AH$1,1,0)</f>
        <v>1</v>
      </c>
      <c r="AI18" s="4" t="n">
        <f aca="false">IF($B18=AI$1,1,0)</f>
        <v>0</v>
      </c>
      <c r="AJ18" s="4" t="n">
        <f aca="false">IF($B18=AJ$1,1,0)</f>
        <v>0</v>
      </c>
      <c r="AK18" s="4" t="n">
        <f aca="false">IF($B18=AK$1,1,0)</f>
        <v>0</v>
      </c>
      <c r="AL18" s="4" t="n">
        <f aca="false">IF($B18=AL$1,1,0)</f>
        <v>0</v>
      </c>
      <c r="AM18" s="4" t="n">
        <f aca="false">IF($B18=AM$1,1,0)</f>
        <v>0</v>
      </c>
      <c r="AN18" s="4" t="n">
        <f aca="false">IF($B18=AN$1,1,0)</f>
        <v>0</v>
      </c>
      <c r="AO18" s="4" t="n">
        <f aca="false">IF($B18=AO$1,1,0)</f>
        <v>0</v>
      </c>
      <c r="AP18" s="4" t="n">
        <f aca="false">IF($B18=AP$1,1,0)</f>
        <v>0</v>
      </c>
      <c r="AQ18" s="4" t="n">
        <f aca="false">IF($B18=AQ$1,1,0)</f>
        <v>0</v>
      </c>
      <c r="AR18" s="4" t="n">
        <f aca="false">IF($B18=AR$1,1,0)</f>
        <v>0</v>
      </c>
      <c r="AS18" s="4" t="n">
        <f aca="false">IF($B18=AS$1,1,0)</f>
        <v>0</v>
      </c>
      <c r="AT18" s="4" t="n">
        <f aca="false">IF($B18=AT$1,1,0)</f>
        <v>0</v>
      </c>
      <c r="AW18" s="3" t="s">
        <v>63</v>
      </c>
      <c r="AX18" s="4" t="n">
        <f aca="false">COUNTIF($BG$2:$BG$314,3)</f>
        <v>53</v>
      </c>
      <c r="BB18" s="4" t="n">
        <f aca="false">A18</f>
        <v>17</v>
      </c>
      <c r="BC18" s="7" t="n">
        <f aca="false">ABS($T18-$AX$2)+ABS($U18-$AY$2)+ABS($V18-$AZ$2)</f>
        <v>11360.8521126761</v>
      </c>
      <c r="BD18" s="7" t="n">
        <f aca="false">ABS($T18-$AX$3)+ABS($U18-$AY$3)+ABS($V18-$AZ$3)</f>
        <v>12527.593220339</v>
      </c>
      <c r="BE18" s="7" t="n">
        <f aca="false">ABS($T18-$AX$4)+ABS($U18-$AY$4)+ABS($V18-$AZ$4)</f>
        <v>43658.0754716981</v>
      </c>
      <c r="BF18" s="7" t="n">
        <f aca="false">MIN(BC18:BE18)</f>
        <v>11360.8521126761</v>
      </c>
      <c r="BG18" s="4" t="n">
        <f aca="false">MATCH(BF18,BC18:BE18,0)</f>
        <v>1</v>
      </c>
      <c r="BH18" s="8" t="n">
        <v>1</v>
      </c>
      <c r="BI18" s="4" t="n">
        <f aca="false">IF(BG18=BH18,0,1)</f>
        <v>0</v>
      </c>
      <c r="BK18" s="8" t="n">
        <v>2</v>
      </c>
      <c r="BL18" s="8" t="n">
        <v>2</v>
      </c>
      <c r="BM18" s="8" t="n">
        <v>1</v>
      </c>
    </row>
    <row r="19" customFormat="false" ht="15" hidden="false" customHeight="false" outlineLevel="0" collapsed="false">
      <c r="A19" s="3" t="n">
        <v>18</v>
      </c>
      <c r="B19" s="3" t="s">
        <v>29</v>
      </c>
      <c r="C19" s="3" t="n">
        <v>0</v>
      </c>
      <c r="D19" s="3" t="n">
        <v>0</v>
      </c>
      <c r="E19" s="3" t="n">
        <v>1</v>
      </c>
      <c r="F19" s="3" t="n">
        <v>0</v>
      </c>
      <c r="G19" s="3" t="n">
        <v>0</v>
      </c>
      <c r="H19" s="3" t="n">
        <v>4</v>
      </c>
      <c r="I19" s="3" t="n">
        <v>5</v>
      </c>
      <c r="J19" s="3" t="n">
        <v>5</v>
      </c>
      <c r="K19" s="3" t="n">
        <v>5</v>
      </c>
      <c r="L19" s="3" t="n">
        <v>5</v>
      </c>
      <c r="M19" s="3" t="n">
        <v>4</v>
      </c>
      <c r="N19" s="3" t="n">
        <v>4</v>
      </c>
      <c r="O19" s="3" t="n">
        <v>5</v>
      </c>
      <c r="P19" s="3" t="n">
        <v>5</v>
      </c>
      <c r="Q19" s="3" t="n">
        <v>5</v>
      </c>
      <c r="R19" s="3" t="n">
        <v>5</v>
      </c>
      <c r="S19" s="3" t="n">
        <v>3</v>
      </c>
      <c r="T19" s="3" t="n">
        <v>0</v>
      </c>
      <c r="U19" s="3" t="n">
        <v>54</v>
      </c>
      <c r="V19" s="3" t="n">
        <v>44372</v>
      </c>
      <c r="W19" s="3" t="n">
        <v>1</v>
      </c>
      <c r="X19" s="3" t="n">
        <v>4</v>
      </c>
      <c r="Y19" s="3" t="n">
        <v>1</v>
      </c>
      <c r="Z19" s="3" t="n">
        <v>1</v>
      </c>
      <c r="AA19" s="4" t="n">
        <f aca="false">IF($B19=AA$1,1,0)</f>
        <v>0</v>
      </c>
      <c r="AB19" s="4" t="n">
        <f aca="false">IF($B19=AB$1,1,0)</f>
        <v>0</v>
      </c>
      <c r="AC19" s="4" t="n">
        <f aca="false">IF($B19=AC$1,1,0)</f>
        <v>0</v>
      </c>
      <c r="AD19" s="4" t="n">
        <f aca="false">IF($B19=AD$1,1,0)</f>
        <v>1</v>
      </c>
      <c r="AE19" s="4" t="n">
        <f aca="false">IF($B19=AE$1,1,0)</f>
        <v>0</v>
      </c>
      <c r="AF19" s="4" t="n">
        <f aca="false">IF($B19=AF$1,1,0)</f>
        <v>0</v>
      </c>
      <c r="AG19" s="4" t="n">
        <f aca="false">IF($B19=AG$1,1,0)</f>
        <v>0</v>
      </c>
      <c r="AH19" s="4" t="n">
        <f aca="false">IF($B19=AH$1,1,0)</f>
        <v>0</v>
      </c>
      <c r="AI19" s="4" t="n">
        <f aca="false">IF($B19=AI$1,1,0)</f>
        <v>0</v>
      </c>
      <c r="AJ19" s="4" t="n">
        <f aca="false">IF($B19=AJ$1,1,0)</f>
        <v>0</v>
      </c>
      <c r="AK19" s="4" t="n">
        <f aca="false">IF($B19=AK$1,1,0)</f>
        <v>0</v>
      </c>
      <c r="AL19" s="4" t="n">
        <f aca="false">IF($B19=AL$1,1,0)</f>
        <v>0</v>
      </c>
      <c r="AM19" s="4" t="n">
        <f aca="false">IF($B19=AM$1,1,0)</f>
        <v>0</v>
      </c>
      <c r="AN19" s="4" t="n">
        <f aca="false">IF($B19=AN$1,1,0)</f>
        <v>0</v>
      </c>
      <c r="AO19" s="4" t="n">
        <f aca="false">IF($B19=AO$1,1,0)</f>
        <v>0</v>
      </c>
      <c r="AP19" s="4" t="n">
        <f aca="false">IF($B19=AP$1,1,0)</f>
        <v>0</v>
      </c>
      <c r="AQ19" s="4" t="n">
        <f aca="false">IF($B19=AQ$1,1,0)</f>
        <v>0</v>
      </c>
      <c r="AR19" s="4" t="n">
        <f aca="false">IF($B19=AR$1,1,0)</f>
        <v>0</v>
      </c>
      <c r="AS19" s="4" t="n">
        <f aca="false">IF($B19=AS$1,1,0)</f>
        <v>0</v>
      </c>
      <c r="AT19" s="4" t="n">
        <f aca="false">IF($B19=AT$1,1,0)</f>
        <v>0</v>
      </c>
      <c r="BB19" s="4" t="n">
        <f aca="false">A19</f>
        <v>18</v>
      </c>
      <c r="BC19" s="7" t="n">
        <f aca="false">ABS($T19-$AX$2)+ABS($U19-$AY$2)+ABS($V19-$AZ$2)</f>
        <v>21553.2887323944</v>
      </c>
      <c r="BD19" s="7" t="n">
        <f aca="false">ABS($T19-$AX$3)+ABS($U19-$AY$3)+ABS($V19-$AZ$3)</f>
        <v>2303.96610169492</v>
      </c>
      <c r="BE19" s="7" t="n">
        <f aca="false">ABS($T19-$AX$4)+ABS($U19-$AY$4)+ABS($V19-$AZ$4)</f>
        <v>33434.6037735849</v>
      </c>
      <c r="BF19" s="7" t="n">
        <f aca="false">MIN(BC19:BE19)</f>
        <v>2303.96610169492</v>
      </c>
      <c r="BG19" s="4" t="n">
        <f aca="false">MATCH(BF19,BC19:BE19,0)</f>
        <v>2</v>
      </c>
      <c r="BH19" s="8" t="n">
        <v>2</v>
      </c>
      <c r="BI19" s="4" t="n">
        <f aca="false">IF(BG19=BH19,0,1)</f>
        <v>0</v>
      </c>
      <c r="BK19" s="8" t="n">
        <v>2</v>
      </c>
      <c r="BL19" s="8" t="n">
        <v>2</v>
      </c>
      <c r="BM19" s="8" t="n">
        <v>2</v>
      </c>
    </row>
    <row r="20" customFormat="false" ht="15" hidden="false" customHeight="false" outlineLevel="0" collapsed="false">
      <c r="A20" s="3" t="n">
        <v>19</v>
      </c>
      <c r="B20" s="3" t="s">
        <v>26</v>
      </c>
      <c r="C20" s="3" t="n">
        <v>1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4</v>
      </c>
      <c r="I20" s="3" t="n">
        <v>4</v>
      </c>
      <c r="J20" s="3" t="n">
        <v>5</v>
      </c>
      <c r="K20" s="3" t="n">
        <v>4</v>
      </c>
      <c r="L20" s="3" t="n">
        <v>5</v>
      </c>
      <c r="M20" s="3" t="n">
        <v>5</v>
      </c>
      <c r="N20" s="3" t="n">
        <v>5</v>
      </c>
      <c r="O20" s="3" t="n">
        <v>5</v>
      </c>
      <c r="P20" s="3" t="n">
        <v>4</v>
      </c>
      <c r="Q20" s="3" t="n">
        <v>5</v>
      </c>
      <c r="R20" s="3" t="n">
        <v>5</v>
      </c>
      <c r="S20" s="3" t="n">
        <v>5</v>
      </c>
      <c r="T20" s="3" t="n">
        <v>0</v>
      </c>
      <c r="U20" s="3" t="n">
        <v>51</v>
      </c>
      <c r="V20" s="3" t="n">
        <v>23649</v>
      </c>
      <c r="W20" s="3" t="n">
        <v>2</v>
      </c>
      <c r="X20" s="3" t="n">
        <v>2</v>
      </c>
      <c r="Y20" s="3" t="n">
        <v>5</v>
      </c>
      <c r="Z20" s="3" t="n">
        <v>2</v>
      </c>
      <c r="AA20" s="4" t="n">
        <f aca="false">IF($B20=AA$1,1,0)</f>
        <v>1</v>
      </c>
      <c r="AB20" s="4" t="n">
        <f aca="false">IF($B20=AB$1,1,0)</f>
        <v>0</v>
      </c>
      <c r="AC20" s="4" t="n">
        <f aca="false">IF($B20=AC$1,1,0)</f>
        <v>0</v>
      </c>
      <c r="AD20" s="4" t="n">
        <f aca="false">IF($B20=AD$1,1,0)</f>
        <v>0</v>
      </c>
      <c r="AE20" s="4" t="n">
        <f aca="false">IF($B20=AE$1,1,0)</f>
        <v>0</v>
      </c>
      <c r="AF20" s="4" t="n">
        <f aca="false">IF($B20=AF$1,1,0)</f>
        <v>0</v>
      </c>
      <c r="AG20" s="4" t="n">
        <f aca="false">IF($B20=AG$1,1,0)</f>
        <v>0</v>
      </c>
      <c r="AH20" s="4" t="n">
        <f aca="false">IF($B20=AH$1,1,0)</f>
        <v>0</v>
      </c>
      <c r="AI20" s="4" t="n">
        <f aca="false">IF($B20=AI$1,1,0)</f>
        <v>0</v>
      </c>
      <c r="AJ20" s="4" t="n">
        <f aca="false">IF($B20=AJ$1,1,0)</f>
        <v>0</v>
      </c>
      <c r="AK20" s="4" t="n">
        <f aca="false">IF($B20=AK$1,1,0)</f>
        <v>0</v>
      </c>
      <c r="AL20" s="4" t="n">
        <f aca="false">IF($B20=AL$1,1,0)</f>
        <v>0</v>
      </c>
      <c r="AM20" s="4" t="n">
        <f aca="false">IF($B20=AM$1,1,0)</f>
        <v>0</v>
      </c>
      <c r="AN20" s="4" t="n">
        <f aca="false">IF($B20=AN$1,1,0)</f>
        <v>0</v>
      </c>
      <c r="AO20" s="4" t="n">
        <f aca="false">IF($B20=AO$1,1,0)</f>
        <v>0</v>
      </c>
      <c r="AP20" s="4" t="n">
        <f aca="false">IF($B20=AP$1,1,0)</f>
        <v>0</v>
      </c>
      <c r="AQ20" s="4" t="n">
        <f aca="false">IF($B20=AQ$1,1,0)</f>
        <v>0</v>
      </c>
      <c r="AR20" s="4" t="n">
        <f aca="false">IF($B20=AR$1,1,0)</f>
        <v>0</v>
      </c>
      <c r="AS20" s="4" t="n">
        <f aca="false">IF($B20=AS$1,1,0)</f>
        <v>0</v>
      </c>
      <c r="AT20" s="4" t="n">
        <f aca="false">IF($B20=AT$1,1,0)</f>
        <v>0</v>
      </c>
      <c r="AW20" s="9" t="s">
        <v>64</v>
      </c>
      <c r="BB20" s="4" t="n">
        <f aca="false">A20</f>
        <v>19</v>
      </c>
      <c r="BC20" s="7" t="n">
        <f aca="false">ABS($T20-$AX$2)+ABS($U20-$AY$2)+ABS($V20-$AZ$2)</f>
        <v>827.288732394365</v>
      </c>
      <c r="BD20" s="7" t="n">
        <f aca="false">ABS($T20-$AX$3)+ABS($U20-$AY$3)+ABS($V20-$AZ$3)</f>
        <v>23023.9661016949</v>
      </c>
      <c r="BE20" s="7" t="n">
        <f aca="false">ABS($T20-$AX$4)+ABS($U20-$AY$4)+ABS($V20-$AZ$4)</f>
        <v>54154.6037735849</v>
      </c>
      <c r="BF20" s="7" t="n">
        <f aca="false">MIN(BC20:BE20)</f>
        <v>827.288732394365</v>
      </c>
      <c r="BG20" s="4" t="n">
        <f aca="false">MATCH(BF20,BC20:BE20,0)</f>
        <v>1</v>
      </c>
      <c r="BH20" s="8" t="n">
        <v>1</v>
      </c>
      <c r="BI20" s="4" t="n">
        <f aca="false">IF(BG20=BH20,0,1)</f>
        <v>0</v>
      </c>
      <c r="BK20" s="8" t="n">
        <v>1</v>
      </c>
      <c r="BL20" s="8" t="n">
        <v>1</v>
      </c>
      <c r="BM20" s="8" t="n">
        <v>1</v>
      </c>
    </row>
    <row r="21" customFormat="false" ht="15" hidden="false" customHeight="false" outlineLevel="0" collapsed="false">
      <c r="A21" s="3" t="n">
        <v>20</v>
      </c>
      <c r="B21" s="3" t="s">
        <v>29</v>
      </c>
      <c r="C21" s="3" t="n">
        <v>1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5</v>
      </c>
      <c r="I21" s="3" t="n">
        <v>5</v>
      </c>
      <c r="J21" s="3" t="n">
        <v>5</v>
      </c>
      <c r="K21" s="3" t="n">
        <v>5</v>
      </c>
      <c r="L21" s="3" t="n">
        <v>5</v>
      </c>
      <c r="M21" s="3" t="n">
        <v>5</v>
      </c>
      <c r="N21" s="3" t="n">
        <v>5</v>
      </c>
      <c r="O21" s="3" t="n">
        <v>5</v>
      </c>
      <c r="P21" s="3" t="n">
        <v>2</v>
      </c>
      <c r="Q21" s="3" t="n">
        <v>5</v>
      </c>
      <c r="R21" s="3" t="n">
        <v>5</v>
      </c>
      <c r="S21" s="3" t="n">
        <v>5</v>
      </c>
      <c r="T21" s="3" t="n">
        <v>0</v>
      </c>
      <c r="U21" s="3" t="n">
        <v>35</v>
      </c>
      <c r="V21" s="3" t="n">
        <v>53772</v>
      </c>
      <c r="W21" s="3" t="n">
        <v>3</v>
      </c>
      <c r="X21" s="3" t="n">
        <v>2</v>
      </c>
      <c r="Y21" s="3" t="n">
        <v>2</v>
      </c>
      <c r="Z21" s="3" t="n">
        <v>2</v>
      </c>
      <c r="AA21" s="4" t="n">
        <f aca="false">IF($B21=AA$1,1,0)</f>
        <v>0</v>
      </c>
      <c r="AB21" s="4" t="n">
        <f aca="false">IF($B21=AB$1,1,0)</f>
        <v>0</v>
      </c>
      <c r="AC21" s="4" t="n">
        <f aca="false">IF($B21=AC$1,1,0)</f>
        <v>0</v>
      </c>
      <c r="AD21" s="4" t="n">
        <f aca="false">IF($B21=AD$1,1,0)</f>
        <v>1</v>
      </c>
      <c r="AE21" s="4" t="n">
        <f aca="false">IF($B21=AE$1,1,0)</f>
        <v>0</v>
      </c>
      <c r="AF21" s="4" t="n">
        <f aca="false">IF($B21=AF$1,1,0)</f>
        <v>0</v>
      </c>
      <c r="AG21" s="4" t="n">
        <f aca="false">IF($B21=AG$1,1,0)</f>
        <v>0</v>
      </c>
      <c r="AH21" s="4" t="n">
        <f aca="false">IF($B21=AH$1,1,0)</f>
        <v>0</v>
      </c>
      <c r="AI21" s="4" t="n">
        <f aca="false">IF($B21=AI$1,1,0)</f>
        <v>0</v>
      </c>
      <c r="AJ21" s="4" t="n">
        <f aca="false">IF($B21=AJ$1,1,0)</f>
        <v>0</v>
      </c>
      <c r="AK21" s="4" t="n">
        <f aca="false">IF($B21=AK$1,1,0)</f>
        <v>0</v>
      </c>
      <c r="AL21" s="4" t="n">
        <f aca="false">IF($B21=AL$1,1,0)</f>
        <v>0</v>
      </c>
      <c r="AM21" s="4" t="n">
        <f aca="false">IF($B21=AM$1,1,0)</f>
        <v>0</v>
      </c>
      <c r="AN21" s="4" t="n">
        <f aca="false">IF($B21=AN$1,1,0)</f>
        <v>0</v>
      </c>
      <c r="AO21" s="4" t="n">
        <f aca="false">IF($B21=AO$1,1,0)</f>
        <v>0</v>
      </c>
      <c r="AP21" s="4" t="n">
        <f aca="false">IF($B21=AP$1,1,0)</f>
        <v>0</v>
      </c>
      <c r="AQ21" s="4" t="n">
        <f aca="false">IF($B21=AQ$1,1,0)</f>
        <v>0</v>
      </c>
      <c r="AR21" s="4" t="n">
        <f aca="false">IF($B21=AR$1,1,0)</f>
        <v>0</v>
      </c>
      <c r="AS21" s="4" t="n">
        <f aca="false">IF($B21=AS$1,1,0)</f>
        <v>0</v>
      </c>
      <c r="AT21" s="4" t="n">
        <f aca="false">IF($B21=AT$1,1,0)</f>
        <v>0</v>
      </c>
      <c r="AW21" s="2" t="s">
        <v>65</v>
      </c>
      <c r="AX21" s="2" t="s">
        <v>19</v>
      </c>
      <c r="AY21" s="2" t="s">
        <v>20</v>
      </c>
      <c r="AZ21" s="2" t="s">
        <v>21</v>
      </c>
      <c r="BA21" s="2" t="s">
        <v>66</v>
      </c>
      <c r="BB21" s="4" t="n">
        <f aca="false">A21</f>
        <v>20</v>
      </c>
      <c r="BC21" s="7" t="n">
        <f aca="false">ABS($T21-$AX$2)+ABS($U21-$AY$2)+ABS($V21-$AZ$2)</f>
        <v>30941.7676056338</v>
      </c>
      <c r="BD21" s="7" t="n">
        <f aca="false">ABS($T21-$AX$3)+ABS($U21-$AY$3)+ABS($V21-$AZ$3)</f>
        <v>7115.40677966102</v>
      </c>
      <c r="BE21" s="7" t="n">
        <f aca="false">ABS($T21-$AX$4)+ABS($U21-$AY$4)+ABS($V21-$AZ$4)</f>
        <v>24029.641509434</v>
      </c>
      <c r="BF21" s="7" t="n">
        <f aca="false">MIN(BC21:BE21)</f>
        <v>7115.40677966102</v>
      </c>
      <c r="BG21" s="4" t="n">
        <f aca="false">MATCH(BF21,BC21:BE21,0)</f>
        <v>2</v>
      </c>
      <c r="BH21" s="8" t="n">
        <v>2</v>
      </c>
      <c r="BI21" s="4" t="n">
        <f aca="false">IF(BG21=BH21,0,1)</f>
        <v>0</v>
      </c>
      <c r="BK21" s="8" t="n">
        <v>2</v>
      </c>
      <c r="BL21" s="8" t="n">
        <v>2</v>
      </c>
      <c r="BM21" s="8" t="n">
        <v>2</v>
      </c>
    </row>
    <row r="22" customFormat="false" ht="15" hidden="false" customHeight="false" outlineLevel="0" collapsed="false">
      <c r="A22" s="3" t="n">
        <v>21</v>
      </c>
      <c r="B22" s="3" t="s">
        <v>29</v>
      </c>
      <c r="C22" s="3" t="n">
        <v>1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5</v>
      </c>
      <c r="I22" s="3" t="n">
        <v>5</v>
      </c>
      <c r="J22" s="3" t="n">
        <v>5</v>
      </c>
      <c r="K22" s="3" t="n">
        <v>5</v>
      </c>
      <c r="L22" s="3" t="n">
        <v>5</v>
      </c>
      <c r="M22" s="3" t="n">
        <v>5</v>
      </c>
      <c r="N22" s="3" t="n">
        <v>3</v>
      </c>
      <c r="O22" s="3" t="n">
        <v>3</v>
      </c>
      <c r="P22" s="3" t="n">
        <v>3</v>
      </c>
      <c r="Q22" s="3" t="n">
        <v>4</v>
      </c>
      <c r="R22" s="3" t="n">
        <v>4</v>
      </c>
      <c r="S22" s="3" t="n">
        <v>3</v>
      </c>
      <c r="T22" s="3" t="n">
        <v>0</v>
      </c>
      <c r="U22" s="3" t="n">
        <v>45</v>
      </c>
      <c r="V22" s="3" t="n">
        <v>16333</v>
      </c>
      <c r="W22" s="3" t="n">
        <v>2</v>
      </c>
      <c r="X22" s="3" t="n">
        <v>2</v>
      </c>
      <c r="Y22" s="3" t="n">
        <v>2</v>
      </c>
      <c r="Z22" s="3" t="n">
        <v>2</v>
      </c>
      <c r="AA22" s="4" t="n">
        <f aca="false">IF($B22=AA$1,1,0)</f>
        <v>0</v>
      </c>
      <c r="AB22" s="4" t="n">
        <f aca="false">IF($B22=AB$1,1,0)</f>
        <v>0</v>
      </c>
      <c r="AC22" s="4" t="n">
        <f aca="false">IF($B22=AC$1,1,0)</f>
        <v>0</v>
      </c>
      <c r="AD22" s="4" t="n">
        <f aca="false">IF($B22=AD$1,1,0)</f>
        <v>1</v>
      </c>
      <c r="AE22" s="4" t="n">
        <f aca="false">IF($B22=AE$1,1,0)</f>
        <v>0</v>
      </c>
      <c r="AF22" s="4" t="n">
        <f aca="false">IF($B22=AF$1,1,0)</f>
        <v>0</v>
      </c>
      <c r="AG22" s="4" t="n">
        <f aca="false">IF($B22=AG$1,1,0)</f>
        <v>0</v>
      </c>
      <c r="AH22" s="4" t="n">
        <f aca="false">IF($B22=AH$1,1,0)</f>
        <v>0</v>
      </c>
      <c r="AI22" s="4" t="n">
        <f aca="false">IF($B22=AI$1,1,0)</f>
        <v>0</v>
      </c>
      <c r="AJ22" s="4" t="n">
        <f aca="false">IF($B22=AJ$1,1,0)</f>
        <v>0</v>
      </c>
      <c r="AK22" s="4" t="n">
        <f aca="false">IF($B22=AK$1,1,0)</f>
        <v>0</v>
      </c>
      <c r="AL22" s="4" t="n">
        <f aca="false">IF($B22=AL$1,1,0)</f>
        <v>0</v>
      </c>
      <c r="AM22" s="4" t="n">
        <f aca="false">IF($B22=AM$1,1,0)</f>
        <v>0</v>
      </c>
      <c r="AN22" s="4" t="n">
        <f aca="false">IF($B22=AN$1,1,0)</f>
        <v>0</v>
      </c>
      <c r="AO22" s="4" t="n">
        <f aca="false">IF($B22=AO$1,1,0)</f>
        <v>0</v>
      </c>
      <c r="AP22" s="4" t="n">
        <f aca="false">IF($B22=AP$1,1,0)</f>
        <v>0</v>
      </c>
      <c r="AQ22" s="4" t="n">
        <f aca="false">IF($B22=AQ$1,1,0)</f>
        <v>0</v>
      </c>
      <c r="AR22" s="4" t="n">
        <f aca="false">IF($B22=AR$1,1,0)</f>
        <v>0</v>
      </c>
      <c r="AS22" s="4" t="n">
        <f aca="false">IF($B22=AS$1,1,0)</f>
        <v>0</v>
      </c>
      <c r="AT22" s="4" t="n">
        <f aca="false">IF($B22=AT$1,1,0)</f>
        <v>0</v>
      </c>
      <c r="AW22" s="3" t="s">
        <v>67</v>
      </c>
      <c r="AX22" s="12" t="n">
        <v>0</v>
      </c>
      <c r="AY22" s="12" t="n">
        <v>52</v>
      </c>
      <c r="AZ22" s="13" t="n">
        <v>20942</v>
      </c>
      <c r="BA22" s="8" t="n">
        <v>127</v>
      </c>
      <c r="BB22" s="4" t="n">
        <f aca="false">A22</f>
        <v>21</v>
      </c>
      <c r="BC22" s="7" t="n">
        <f aca="false">ABS($T22-$AX$2)+ABS($U22-$AY$2)+ABS($V22-$AZ$2)</f>
        <v>6507.66901408451</v>
      </c>
      <c r="BD22" s="7" t="n">
        <f aca="false">ABS($T22-$AX$3)+ABS($U22-$AY$3)+ABS($V22-$AZ$3)</f>
        <v>30333.9661016949</v>
      </c>
      <c r="BE22" s="7" t="n">
        <f aca="false">ABS($T22-$AX$4)+ABS($U22-$AY$4)+ABS($V22-$AZ$4)</f>
        <v>61464.6037735849</v>
      </c>
      <c r="BF22" s="7" t="n">
        <f aca="false">MIN(BC22:BE22)</f>
        <v>6507.66901408451</v>
      </c>
      <c r="BG22" s="4" t="n">
        <f aca="false">MATCH(BF22,BC22:BE22,0)</f>
        <v>1</v>
      </c>
      <c r="BH22" s="8" t="n">
        <v>1</v>
      </c>
      <c r="BI22" s="4" t="n">
        <f aca="false">IF(BG22=BH22,0,1)</f>
        <v>0</v>
      </c>
      <c r="BK22" s="8" t="n">
        <v>1</v>
      </c>
      <c r="BL22" s="8" t="n">
        <v>1</v>
      </c>
      <c r="BM22" s="8" t="n">
        <v>1</v>
      </c>
    </row>
    <row r="23" customFormat="false" ht="15" hidden="false" customHeight="false" outlineLevel="0" collapsed="false">
      <c r="A23" s="3" t="n">
        <v>22</v>
      </c>
      <c r="B23" s="3" t="s">
        <v>35</v>
      </c>
      <c r="C23" s="3" t="n">
        <v>1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5</v>
      </c>
      <c r="I23" s="3" t="n">
        <v>5</v>
      </c>
      <c r="J23" s="3" t="n">
        <v>5</v>
      </c>
      <c r="K23" s="3" t="n">
        <v>5</v>
      </c>
      <c r="L23" s="3" t="n">
        <v>5</v>
      </c>
      <c r="M23" s="3" t="n">
        <v>4</v>
      </c>
      <c r="N23" s="3" t="n">
        <v>5</v>
      </c>
      <c r="O23" s="3" t="n">
        <v>5</v>
      </c>
      <c r="P23" s="3" t="n">
        <v>2</v>
      </c>
      <c r="Q23" s="3" t="n">
        <v>5</v>
      </c>
      <c r="R23" s="3" t="n">
        <v>5</v>
      </c>
      <c r="S23" s="3" t="n">
        <v>5</v>
      </c>
      <c r="T23" s="3" t="n">
        <v>1</v>
      </c>
      <c r="U23" s="3" t="n">
        <v>45</v>
      </c>
      <c r="V23" s="3" t="n">
        <v>42612</v>
      </c>
      <c r="W23" s="3" t="n">
        <v>3</v>
      </c>
      <c r="X23" s="3" t="n">
        <v>3</v>
      </c>
      <c r="Y23" s="3" t="n">
        <v>1</v>
      </c>
      <c r="Z23" s="3" t="n">
        <v>1</v>
      </c>
      <c r="AA23" s="4" t="n">
        <f aca="false">IF($B23=AA$1,1,0)</f>
        <v>0</v>
      </c>
      <c r="AB23" s="4" t="n">
        <f aca="false">IF($B23=AB$1,1,0)</f>
        <v>0</v>
      </c>
      <c r="AC23" s="4" t="n">
        <f aca="false">IF($B23=AC$1,1,0)</f>
        <v>0</v>
      </c>
      <c r="AD23" s="4" t="n">
        <f aca="false">IF($B23=AD$1,1,0)</f>
        <v>0</v>
      </c>
      <c r="AE23" s="4" t="n">
        <f aca="false">IF($B23=AE$1,1,0)</f>
        <v>0</v>
      </c>
      <c r="AF23" s="4" t="n">
        <f aca="false">IF($B23=AF$1,1,0)</f>
        <v>0</v>
      </c>
      <c r="AG23" s="4" t="n">
        <f aca="false">IF($B23=AG$1,1,0)</f>
        <v>0</v>
      </c>
      <c r="AH23" s="4" t="n">
        <f aca="false">IF($B23=AH$1,1,0)</f>
        <v>0</v>
      </c>
      <c r="AI23" s="4" t="n">
        <f aca="false">IF($B23=AI$1,1,0)</f>
        <v>0</v>
      </c>
      <c r="AJ23" s="4" t="n">
        <f aca="false">IF($B23=AJ$1,1,0)</f>
        <v>1</v>
      </c>
      <c r="AK23" s="4" t="n">
        <f aca="false">IF($B23=AK$1,1,0)</f>
        <v>0</v>
      </c>
      <c r="AL23" s="4" t="n">
        <f aca="false">IF($B23=AL$1,1,0)</f>
        <v>0</v>
      </c>
      <c r="AM23" s="4" t="n">
        <f aca="false">IF($B23=AM$1,1,0)</f>
        <v>0</v>
      </c>
      <c r="AN23" s="4" t="n">
        <f aca="false">IF($B23=AN$1,1,0)</f>
        <v>0</v>
      </c>
      <c r="AO23" s="4" t="n">
        <f aca="false">IF($B23=AO$1,1,0)</f>
        <v>0</v>
      </c>
      <c r="AP23" s="4" t="n">
        <f aca="false">IF($B23=AP$1,1,0)</f>
        <v>0</v>
      </c>
      <c r="AQ23" s="4" t="n">
        <f aca="false">IF($B23=AQ$1,1,0)</f>
        <v>0</v>
      </c>
      <c r="AR23" s="4" t="n">
        <f aca="false">IF($B23=AR$1,1,0)</f>
        <v>0</v>
      </c>
      <c r="AS23" s="4" t="n">
        <f aca="false">IF($B23=AS$1,1,0)</f>
        <v>0</v>
      </c>
      <c r="AT23" s="4" t="n">
        <f aca="false">IF($B23=AT$1,1,0)</f>
        <v>0</v>
      </c>
      <c r="AW23" s="3" t="s">
        <v>68</v>
      </c>
      <c r="AX23" s="12" t="n">
        <v>0</v>
      </c>
      <c r="AY23" s="12" t="n">
        <v>37</v>
      </c>
      <c r="AZ23" s="13" t="n">
        <v>41052</v>
      </c>
      <c r="BA23" s="8" t="n">
        <v>137</v>
      </c>
      <c r="BB23" s="4" t="n">
        <f aca="false">A23</f>
        <v>22</v>
      </c>
      <c r="BC23" s="7" t="n">
        <f aca="false">ABS($T23-$AX$2)+ABS($U23-$AY$2)+ABS($V23-$AZ$2)</f>
        <v>19784.8521126761</v>
      </c>
      <c r="BD23" s="7" t="n">
        <f aca="false">ABS($T23-$AX$3)+ABS($U23-$AY$3)+ABS($V23-$AZ$3)</f>
        <v>4055.59322033899</v>
      </c>
      <c r="BE23" s="7" t="n">
        <f aca="false">ABS($T23-$AX$4)+ABS($U23-$AY$4)+ABS($V23-$AZ$4)</f>
        <v>35186.0754716981</v>
      </c>
      <c r="BF23" s="7" t="n">
        <f aca="false">MIN(BC23:BE23)</f>
        <v>4055.59322033899</v>
      </c>
      <c r="BG23" s="4" t="n">
        <f aca="false">MATCH(BF23,BC23:BE23,0)</f>
        <v>2</v>
      </c>
      <c r="BH23" s="8" t="n">
        <v>2</v>
      </c>
      <c r="BI23" s="4" t="n">
        <f aca="false">IF(BG23=BH23,0,1)</f>
        <v>0</v>
      </c>
      <c r="BK23" s="8" t="n">
        <v>2</v>
      </c>
      <c r="BL23" s="8" t="n">
        <v>2</v>
      </c>
      <c r="BM23" s="8" t="n">
        <v>2</v>
      </c>
    </row>
    <row r="24" customFormat="false" ht="15" hidden="false" customHeight="false" outlineLevel="0" collapsed="false">
      <c r="A24" s="3" t="n">
        <v>23</v>
      </c>
      <c r="B24" s="3" t="s">
        <v>29</v>
      </c>
      <c r="C24" s="3" t="n">
        <v>1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5</v>
      </c>
      <c r="I24" s="3" t="n">
        <v>4</v>
      </c>
      <c r="J24" s="3" t="n">
        <v>4</v>
      </c>
      <c r="K24" s="3" t="n">
        <v>5</v>
      </c>
      <c r="L24" s="3" t="n">
        <v>5</v>
      </c>
      <c r="M24" s="3" t="n">
        <v>4</v>
      </c>
      <c r="N24" s="3" t="n">
        <v>5</v>
      </c>
      <c r="O24" s="3" t="n">
        <v>5</v>
      </c>
      <c r="P24" s="3" t="n">
        <v>4</v>
      </c>
      <c r="Q24" s="3" t="n">
        <v>5</v>
      </c>
      <c r="R24" s="3" t="n">
        <v>5</v>
      </c>
      <c r="S24" s="3" t="n">
        <v>3</v>
      </c>
      <c r="T24" s="3" t="n">
        <v>0</v>
      </c>
      <c r="U24" s="3" t="n">
        <v>48</v>
      </c>
      <c r="V24" s="3" t="n">
        <v>23232</v>
      </c>
      <c r="W24" s="3" t="n">
        <v>2</v>
      </c>
      <c r="X24" s="3" t="n">
        <v>3</v>
      </c>
      <c r="Y24" s="3" t="n">
        <v>2</v>
      </c>
      <c r="Z24" s="3" t="n">
        <v>1</v>
      </c>
      <c r="AA24" s="4" t="n">
        <f aca="false">IF($B24=AA$1,1,0)</f>
        <v>0</v>
      </c>
      <c r="AB24" s="4" t="n">
        <f aca="false">IF($B24=AB$1,1,0)</f>
        <v>0</v>
      </c>
      <c r="AC24" s="4" t="n">
        <f aca="false">IF($B24=AC$1,1,0)</f>
        <v>0</v>
      </c>
      <c r="AD24" s="4" t="n">
        <f aca="false">IF($B24=AD$1,1,0)</f>
        <v>1</v>
      </c>
      <c r="AE24" s="4" t="n">
        <f aca="false">IF($B24=AE$1,1,0)</f>
        <v>0</v>
      </c>
      <c r="AF24" s="4" t="n">
        <f aca="false">IF($B24=AF$1,1,0)</f>
        <v>0</v>
      </c>
      <c r="AG24" s="4" t="n">
        <f aca="false">IF($B24=AG$1,1,0)</f>
        <v>0</v>
      </c>
      <c r="AH24" s="4" t="n">
        <f aca="false">IF($B24=AH$1,1,0)</f>
        <v>0</v>
      </c>
      <c r="AI24" s="4" t="n">
        <f aca="false">IF($B24=AI$1,1,0)</f>
        <v>0</v>
      </c>
      <c r="AJ24" s="4" t="n">
        <f aca="false">IF($B24=AJ$1,1,0)</f>
        <v>0</v>
      </c>
      <c r="AK24" s="4" t="n">
        <f aca="false">IF($B24=AK$1,1,0)</f>
        <v>0</v>
      </c>
      <c r="AL24" s="4" t="n">
        <f aca="false">IF($B24=AL$1,1,0)</f>
        <v>0</v>
      </c>
      <c r="AM24" s="4" t="n">
        <f aca="false">IF($B24=AM$1,1,0)</f>
        <v>0</v>
      </c>
      <c r="AN24" s="4" t="n">
        <f aca="false">IF($B24=AN$1,1,0)</f>
        <v>0</v>
      </c>
      <c r="AO24" s="4" t="n">
        <f aca="false">IF($B24=AO$1,1,0)</f>
        <v>0</v>
      </c>
      <c r="AP24" s="4" t="n">
        <f aca="false">IF($B24=AP$1,1,0)</f>
        <v>0</v>
      </c>
      <c r="AQ24" s="4" t="n">
        <f aca="false">IF($B24=AQ$1,1,0)</f>
        <v>0</v>
      </c>
      <c r="AR24" s="4" t="n">
        <f aca="false">IF($B24=AR$1,1,0)</f>
        <v>0</v>
      </c>
      <c r="AS24" s="4" t="n">
        <f aca="false">IF($B24=AS$1,1,0)</f>
        <v>0</v>
      </c>
      <c r="AT24" s="4" t="n">
        <f aca="false">IF($B24=AT$1,1,0)</f>
        <v>0</v>
      </c>
      <c r="AW24" s="3" t="s">
        <v>69</v>
      </c>
      <c r="AX24" s="12" t="n">
        <v>0</v>
      </c>
      <c r="AY24" s="12" t="n">
        <v>33</v>
      </c>
      <c r="AZ24" s="13" t="n">
        <v>86277</v>
      </c>
      <c r="BA24" s="8" t="n">
        <v>49</v>
      </c>
      <c r="BB24" s="4" t="n">
        <f aca="false">A24</f>
        <v>23</v>
      </c>
      <c r="BC24" s="7" t="n">
        <f aca="false">ABS($T24-$AX$2)+ABS($U24-$AY$2)+ABS($V24-$AZ$2)</f>
        <v>407.288732394364</v>
      </c>
      <c r="BD24" s="7" t="n">
        <f aca="false">ABS($T24-$AX$3)+ABS($U24-$AY$3)+ABS($V24-$AZ$3)</f>
        <v>23437.9661016949</v>
      </c>
      <c r="BE24" s="7" t="n">
        <f aca="false">ABS($T24-$AX$4)+ABS($U24-$AY$4)+ABS($V24-$AZ$4)</f>
        <v>54568.6037735849</v>
      </c>
      <c r="BF24" s="7" t="n">
        <f aca="false">MIN(BC24:BE24)</f>
        <v>407.288732394364</v>
      </c>
      <c r="BG24" s="4" t="n">
        <f aca="false">MATCH(BF24,BC24:BE24,0)</f>
        <v>1</v>
      </c>
      <c r="BH24" s="8" t="n">
        <v>1</v>
      </c>
      <c r="BI24" s="4" t="n">
        <f aca="false">IF(BG24=BH24,0,1)</f>
        <v>0</v>
      </c>
      <c r="BK24" s="8" t="n">
        <v>1</v>
      </c>
      <c r="BL24" s="8" t="n">
        <v>1</v>
      </c>
      <c r="BM24" s="8" t="n">
        <v>1</v>
      </c>
    </row>
    <row r="25" customFormat="false" ht="15" hidden="false" customHeight="false" outlineLevel="0" collapsed="false">
      <c r="A25" s="3" t="n">
        <v>24</v>
      </c>
      <c r="B25" s="3" t="s">
        <v>38</v>
      </c>
      <c r="C25" s="3" t="n">
        <v>1</v>
      </c>
      <c r="D25" s="3" t="n">
        <v>0</v>
      </c>
      <c r="E25" s="3" t="n">
        <v>0</v>
      </c>
      <c r="F25" s="3" t="n">
        <v>0</v>
      </c>
      <c r="G25" s="3" t="n">
        <v>1</v>
      </c>
      <c r="H25" s="3" t="n">
        <v>4</v>
      </c>
      <c r="I25" s="3" t="n">
        <v>4</v>
      </c>
      <c r="J25" s="3" t="n">
        <v>5</v>
      </c>
      <c r="K25" s="3" t="n">
        <v>5</v>
      </c>
      <c r="L25" s="3" t="n">
        <v>5</v>
      </c>
      <c r="M25" s="3" t="n">
        <v>4</v>
      </c>
      <c r="N25" s="3" t="n">
        <v>5</v>
      </c>
      <c r="O25" s="3" t="n">
        <v>5</v>
      </c>
      <c r="P25" s="3" t="n">
        <v>5</v>
      </c>
      <c r="Q25" s="3" t="n">
        <v>5</v>
      </c>
      <c r="R25" s="3" t="n">
        <v>5</v>
      </c>
      <c r="S25" s="3" t="n">
        <v>5</v>
      </c>
      <c r="T25" s="3" t="n">
        <v>0</v>
      </c>
      <c r="U25" s="3" t="n">
        <v>36</v>
      </c>
      <c r="V25" s="3" t="n">
        <v>38296</v>
      </c>
      <c r="W25" s="3" t="n">
        <v>1</v>
      </c>
      <c r="X25" s="3" t="n">
        <v>3</v>
      </c>
      <c r="Y25" s="3" t="n">
        <v>2</v>
      </c>
      <c r="Z25" s="3" t="n">
        <v>1</v>
      </c>
      <c r="AA25" s="4" t="n">
        <f aca="false">IF($B25=AA$1,1,0)</f>
        <v>0</v>
      </c>
      <c r="AB25" s="4" t="n">
        <f aca="false">IF($B25=AB$1,1,0)</f>
        <v>0</v>
      </c>
      <c r="AC25" s="4" t="n">
        <f aca="false">IF($B25=AC$1,1,0)</f>
        <v>0</v>
      </c>
      <c r="AD25" s="4" t="n">
        <f aca="false">IF($B25=AD$1,1,0)</f>
        <v>0</v>
      </c>
      <c r="AE25" s="4" t="n">
        <f aca="false">IF($B25=AE$1,1,0)</f>
        <v>0</v>
      </c>
      <c r="AF25" s="4" t="n">
        <f aca="false">IF($B25=AF$1,1,0)</f>
        <v>0</v>
      </c>
      <c r="AG25" s="4" t="n">
        <f aca="false">IF($B25=AG$1,1,0)</f>
        <v>0</v>
      </c>
      <c r="AH25" s="4" t="n">
        <f aca="false">IF($B25=AH$1,1,0)</f>
        <v>0</v>
      </c>
      <c r="AI25" s="4" t="n">
        <f aca="false">IF($B25=AI$1,1,0)</f>
        <v>0</v>
      </c>
      <c r="AJ25" s="4" t="n">
        <f aca="false">IF($B25=AJ$1,1,0)</f>
        <v>0</v>
      </c>
      <c r="AK25" s="4" t="n">
        <f aca="false">IF($B25=AK$1,1,0)</f>
        <v>0</v>
      </c>
      <c r="AL25" s="4" t="n">
        <f aca="false">IF($B25=AL$1,1,0)</f>
        <v>0</v>
      </c>
      <c r="AM25" s="4" t="n">
        <f aca="false">IF($B25=AM$1,1,0)</f>
        <v>1</v>
      </c>
      <c r="AN25" s="4" t="n">
        <f aca="false">IF($B25=AN$1,1,0)</f>
        <v>0</v>
      </c>
      <c r="AO25" s="4" t="n">
        <f aca="false">IF($B25=AO$1,1,0)</f>
        <v>0</v>
      </c>
      <c r="AP25" s="4" t="n">
        <f aca="false">IF($B25=AP$1,1,0)</f>
        <v>0</v>
      </c>
      <c r="AQ25" s="4" t="n">
        <f aca="false">IF($B25=AQ$1,1,0)</f>
        <v>0</v>
      </c>
      <c r="AR25" s="4" t="n">
        <f aca="false">IF($B25=AR$1,1,0)</f>
        <v>0</v>
      </c>
      <c r="AS25" s="4" t="n">
        <f aca="false">IF($B25=AS$1,1,0)</f>
        <v>0</v>
      </c>
      <c r="AT25" s="4" t="n">
        <f aca="false">IF($B25=AT$1,1,0)</f>
        <v>0</v>
      </c>
      <c r="AW25" s="3" t="s">
        <v>70</v>
      </c>
      <c r="AX25" s="12" t="n">
        <v>0.212598</v>
      </c>
      <c r="AY25" s="12" t="n">
        <v>36.937008</v>
      </c>
      <c r="AZ25" s="13" t="n">
        <v>21706.01</v>
      </c>
      <c r="BA25" s="8" t="n">
        <v>140</v>
      </c>
      <c r="BB25" s="4" t="n">
        <f aca="false">A25</f>
        <v>24</v>
      </c>
      <c r="BC25" s="7" t="n">
        <f aca="false">ABS($T25-$AX$2)+ABS($U25-$AY$2)+ABS($V25-$AZ$2)</f>
        <v>15464.7676056338</v>
      </c>
      <c r="BD25" s="7" t="n">
        <f aca="false">ABS($T25-$AX$3)+ABS($U25-$AY$3)+ABS($V25-$AZ$3)</f>
        <v>8372.72881355932</v>
      </c>
      <c r="BE25" s="7" t="n">
        <f aca="false">ABS($T25-$AX$4)+ABS($U25-$AY$4)+ABS($V25-$AZ$4)</f>
        <v>39504.641509434</v>
      </c>
      <c r="BF25" s="7" t="n">
        <f aca="false">MIN(BC25:BE25)</f>
        <v>8372.72881355932</v>
      </c>
      <c r="BG25" s="4" t="n">
        <f aca="false">MATCH(BF25,BC25:BE25,0)</f>
        <v>2</v>
      </c>
      <c r="BH25" s="8" t="n">
        <v>2</v>
      </c>
      <c r="BI25" s="4" t="n">
        <f aca="false">IF(BG25=BH25,0,1)</f>
        <v>0</v>
      </c>
      <c r="BK25" s="8" t="n">
        <v>2</v>
      </c>
      <c r="BL25" s="8" t="n">
        <v>2</v>
      </c>
      <c r="BM25" s="8" t="n">
        <v>2</v>
      </c>
    </row>
    <row r="26" customFormat="false" ht="15" hidden="false" customHeight="false" outlineLevel="0" collapsed="false">
      <c r="A26" s="3" t="n">
        <v>25</v>
      </c>
      <c r="B26" s="3" t="s">
        <v>29</v>
      </c>
      <c r="C26" s="3" t="n">
        <v>0</v>
      </c>
      <c r="D26" s="3" t="n">
        <v>0</v>
      </c>
      <c r="E26" s="3" t="n">
        <v>1</v>
      </c>
      <c r="F26" s="3" t="n">
        <v>0</v>
      </c>
      <c r="G26" s="3" t="n">
        <v>0</v>
      </c>
      <c r="H26" s="3" t="n">
        <v>5</v>
      </c>
      <c r="I26" s="3" t="n">
        <v>4</v>
      </c>
      <c r="J26" s="3" t="n">
        <v>5</v>
      </c>
      <c r="K26" s="3" t="n">
        <v>5</v>
      </c>
      <c r="L26" s="3" t="n">
        <v>5</v>
      </c>
      <c r="M26" s="3" t="n">
        <v>5</v>
      </c>
      <c r="N26" s="3" t="n">
        <v>4</v>
      </c>
      <c r="O26" s="3" t="n">
        <v>3</v>
      </c>
      <c r="P26" s="3" t="n">
        <v>4</v>
      </c>
      <c r="Q26" s="3" t="n">
        <v>4</v>
      </c>
      <c r="R26" s="3" t="n">
        <v>4</v>
      </c>
      <c r="S26" s="3" t="n">
        <v>3</v>
      </c>
      <c r="T26" s="3" t="n">
        <v>1</v>
      </c>
      <c r="U26" s="3" t="n">
        <v>33</v>
      </c>
      <c r="V26" s="3" t="n">
        <v>13572</v>
      </c>
      <c r="W26" s="3" t="n">
        <v>1</v>
      </c>
      <c r="X26" s="3" t="n">
        <v>1</v>
      </c>
      <c r="Y26" s="3" t="n">
        <v>2</v>
      </c>
      <c r="Z26" s="3" t="n">
        <v>2</v>
      </c>
      <c r="AA26" s="4" t="n">
        <f aca="false">IF($B26=AA$1,1,0)</f>
        <v>0</v>
      </c>
      <c r="AB26" s="4" t="n">
        <f aca="false">IF($B26=AB$1,1,0)</f>
        <v>0</v>
      </c>
      <c r="AC26" s="4" t="n">
        <f aca="false">IF($B26=AC$1,1,0)</f>
        <v>0</v>
      </c>
      <c r="AD26" s="4" t="n">
        <f aca="false">IF($B26=AD$1,1,0)</f>
        <v>1</v>
      </c>
      <c r="AE26" s="4" t="n">
        <f aca="false">IF($B26=AE$1,1,0)</f>
        <v>0</v>
      </c>
      <c r="AF26" s="4" t="n">
        <f aca="false">IF($B26=AF$1,1,0)</f>
        <v>0</v>
      </c>
      <c r="AG26" s="4" t="n">
        <f aca="false">IF($B26=AG$1,1,0)</f>
        <v>0</v>
      </c>
      <c r="AH26" s="4" t="n">
        <f aca="false">IF($B26=AH$1,1,0)</f>
        <v>0</v>
      </c>
      <c r="AI26" s="4" t="n">
        <f aca="false">IF($B26=AI$1,1,0)</f>
        <v>0</v>
      </c>
      <c r="AJ26" s="4" t="n">
        <f aca="false">IF($B26=AJ$1,1,0)</f>
        <v>0</v>
      </c>
      <c r="AK26" s="4" t="n">
        <f aca="false">IF($B26=AK$1,1,0)</f>
        <v>0</v>
      </c>
      <c r="AL26" s="4" t="n">
        <f aca="false">IF($B26=AL$1,1,0)</f>
        <v>0</v>
      </c>
      <c r="AM26" s="4" t="n">
        <f aca="false">IF($B26=AM$1,1,0)</f>
        <v>0</v>
      </c>
      <c r="AN26" s="4" t="n">
        <f aca="false">IF($B26=AN$1,1,0)</f>
        <v>0</v>
      </c>
      <c r="AO26" s="4" t="n">
        <f aca="false">IF($B26=AO$1,1,0)</f>
        <v>0</v>
      </c>
      <c r="AP26" s="4" t="n">
        <f aca="false">IF($B26=AP$1,1,0)</f>
        <v>0</v>
      </c>
      <c r="AQ26" s="4" t="n">
        <f aca="false">IF($B26=AQ$1,1,0)</f>
        <v>0</v>
      </c>
      <c r="AR26" s="4" t="n">
        <f aca="false">IF($B26=AR$1,1,0)</f>
        <v>0</v>
      </c>
      <c r="AS26" s="4" t="n">
        <f aca="false">IF($B26=AS$1,1,0)</f>
        <v>0</v>
      </c>
      <c r="AT26" s="4" t="n">
        <f aca="false">IF($B26=AT$1,1,0)</f>
        <v>0</v>
      </c>
      <c r="AW26" s="3" t="s">
        <v>71</v>
      </c>
      <c r="AX26" s="12" t="n">
        <v>0.189781</v>
      </c>
      <c r="AY26" s="12" t="n">
        <v>42.518248</v>
      </c>
      <c r="AZ26" s="13" t="n">
        <v>45574.12</v>
      </c>
      <c r="BA26" s="8" t="n">
        <v>120</v>
      </c>
      <c r="BB26" s="4" t="n">
        <f aca="false">A26</f>
        <v>25</v>
      </c>
      <c r="BC26" s="7" t="n">
        <f aca="false">ABS($T26-$AX$2)+ABS($U26-$AY$2)+ABS($V26-$AZ$2)</f>
        <v>9268.71126760564</v>
      </c>
      <c r="BD26" s="7" t="n">
        <f aca="false">ABS($T26-$AX$3)+ABS($U26-$AY$3)+ABS($V26-$AZ$3)</f>
        <v>33100.3559322034</v>
      </c>
      <c r="BE26" s="7" t="n">
        <f aca="false">ABS($T26-$AX$4)+ABS($U26-$AY$4)+ABS($V26-$AZ$4)</f>
        <v>64232.1132075472</v>
      </c>
      <c r="BF26" s="7" t="n">
        <f aca="false">MIN(BC26:BE26)</f>
        <v>9268.71126760564</v>
      </c>
      <c r="BG26" s="4" t="n">
        <f aca="false">MATCH(BF26,BC26:BE26,0)</f>
        <v>1</v>
      </c>
      <c r="BH26" s="8" t="n">
        <v>1</v>
      </c>
      <c r="BI26" s="4" t="n">
        <f aca="false">IF(BG26=BH26,0,1)</f>
        <v>0</v>
      </c>
      <c r="BK26" s="8" t="n">
        <v>1</v>
      </c>
      <c r="BL26" s="8" t="n">
        <v>1</v>
      </c>
      <c r="BM26" s="8" t="n">
        <v>1</v>
      </c>
    </row>
    <row r="27" customFormat="false" ht="15" hidden="false" customHeight="false" outlineLevel="0" collapsed="false">
      <c r="A27" s="3" t="n">
        <v>26</v>
      </c>
      <c r="B27" s="3" t="s">
        <v>29</v>
      </c>
      <c r="C27" s="3" t="n">
        <v>1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5</v>
      </c>
      <c r="I27" s="3" t="n">
        <v>5</v>
      </c>
      <c r="J27" s="3" t="n">
        <v>5</v>
      </c>
      <c r="K27" s="3" t="n">
        <v>5</v>
      </c>
      <c r="L27" s="3" t="n">
        <v>5</v>
      </c>
      <c r="M27" s="3" t="n">
        <v>4</v>
      </c>
      <c r="N27" s="3" t="n">
        <v>4</v>
      </c>
      <c r="O27" s="3" t="n">
        <v>3</v>
      </c>
      <c r="P27" s="3" t="n">
        <v>3</v>
      </c>
      <c r="Q27" s="3" t="n">
        <v>4</v>
      </c>
      <c r="R27" s="3" t="n">
        <v>4</v>
      </c>
      <c r="S27" s="3" t="n">
        <v>4</v>
      </c>
      <c r="T27" s="3" t="n">
        <v>1</v>
      </c>
      <c r="U27" s="3" t="n">
        <v>32</v>
      </c>
      <c r="V27" s="3" t="n">
        <v>47226</v>
      </c>
      <c r="W27" s="3" t="n">
        <v>2</v>
      </c>
      <c r="X27" s="3" t="n">
        <v>4</v>
      </c>
      <c r="Y27" s="3" t="n">
        <v>2</v>
      </c>
      <c r="Z27" s="3" t="n">
        <v>2</v>
      </c>
      <c r="AA27" s="4" t="n">
        <f aca="false">IF($B27=AA$1,1,0)</f>
        <v>0</v>
      </c>
      <c r="AB27" s="4" t="n">
        <f aca="false">IF($B27=AB$1,1,0)</f>
        <v>0</v>
      </c>
      <c r="AC27" s="4" t="n">
        <f aca="false">IF($B27=AC$1,1,0)</f>
        <v>0</v>
      </c>
      <c r="AD27" s="4" t="n">
        <f aca="false">IF($B27=AD$1,1,0)</f>
        <v>1</v>
      </c>
      <c r="AE27" s="4" t="n">
        <f aca="false">IF($B27=AE$1,1,0)</f>
        <v>0</v>
      </c>
      <c r="AF27" s="4" t="n">
        <f aca="false">IF($B27=AF$1,1,0)</f>
        <v>0</v>
      </c>
      <c r="AG27" s="4" t="n">
        <f aca="false">IF($B27=AG$1,1,0)</f>
        <v>0</v>
      </c>
      <c r="AH27" s="4" t="n">
        <f aca="false">IF($B27=AH$1,1,0)</f>
        <v>0</v>
      </c>
      <c r="AI27" s="4" t="n">
        <f aca="false">IF($B27=AI$1,1,0)</f>
        <v>0</v>
      </c>
      <c r="AJ27" s="4" t="n">
        <f aca="false">IF($B27=AJ$1,1,0)</f>
        <v>0</v>
      </c>
      <c r="AK27" s="4" t="n">
        <f aca="false">IF($B27=AK$1,1,0)</f>
        <v>0</v>
      </c>
      <c r="AL27" s="4" t="n">
        <f aca="false">IF($B27=AL$1,1,0)</f>
        <v>0</v>
      </c>
      <c r="AM27" s="4" t="n">
        <f aca="false">IF($B27=AM$1,1,0)</f>
        <v>0</v>
      </c>
      <c r="AN27" s="4" t="n">
        <f aca="false">IF($B27=AN$1,1,0)</f>
        <v>0</v>
      </c>
      <c r="AO27" s="4" t="n">
        <f aca="false">IF($B27=AO$1,1,0)</f>
        <v>0</v>
      </c>
      <c r="AP27" s="4" t="n">
        <f aca="false">IF($B27=AP$1,1,0)</f>
        <v>0</v>
      </c>
      <c r="AQ27" s="4" t="n">
        <f aca="false">IF($B27=AQ$1,1,0)</f>
        <v>0</v>
      </c>
      <c r="AR27" s="4" t="n">
        <f aca="false">IF($B27=AR$1,1,0)</f>
        <v>0</v>
      </c>
      <c r="AS27" s="4" t="n">
        <f aca="false">IF($B27=AS$1,1,0)</f>
        <v>0</v>
      </c>
      <c r="AT27" s="4" t="n">
        <f aca="false">IF($B27=AT$1,1,0)</f>
        <v>0</v>
      </c>
      <c r="AW27" s="3" t="s">
        <v>72</v>
      </c>
      <c r="AX27" s="12" t="n">
        <v>0.285714</v>
      </c>
      <c r="AY27" s="12" t="n">
        <v>42.755102</v>
      </c>
      <c r="AZ27" s="13" t="n">
        <v>79010.02</v>
      </c>
      <c r="BA27" s="8" t="n">
        <v>53</v>
      </c>
      <c r="BB27" s="4" t="n">
        <f aca="false">A27</f>
        <v>26</v>
      </c>
      <c r="BC27" s="7" t="n">
        <f aca="false">ABS($T27-$AX$2)+ABS($U27-$AY$2)+ABS($V27-$AZ$2)</f>
        <v>24399.3309859155</v>
      </c>
      <c r="BD27" s="7" t="n">
        <f aca="false">ABS($T27-$AX$3)+ABS($U27-$AY$3)+ABS($V27-$AZ$3)</f>
        <v>573.033898305083</v>
      </c>
      <c r="BE27" s="7" t="n">
        <f aca="false">ABS($T27-$AX$4)+ABS($U27-$AY$4)+ABS($V27-$AZ$4)</f>
        <v>30579.1132075472</v>
      </c>
      <c r="BF27" s="7" t="n">
        <f aca="false">MIN(BC27:BE27)</f>
        <v>573.033898305083</v>
      </c>
      <c r="BG27" s="4" t="n">
        <f aca="false">MATCH(BF27,BC27:BE27,0)</f>
        <v>2</v>
      </c>
      <c r="BH27" s="8" t="n">
        <v>2</v>
      </c>
      <c r="BI27" s="4" t="n">
        <f aca="false">IF(BG27=BH27,0,1)</f>
        <v>0</v>
      </c>
      <c r="BK27" s="8" t="n">
        <v>2</v>
      </c>
      <c r="BL27" s="8" t="n">
        <v>2</v>
      </c>
      <c r="BM27" s="8" t="n">
        <v>2</v>
      </c>
    </row>
    <row r="28" customFormat="false" ht="15" hidden="false" customHeight="false" outlineLevel="0" collapsed="false">
      <c r="A28" s="3" t="n">
        <v>27</v>
      </c>
      <c r="B28" s="3" t="s">
        <v>38</v>
      </c>
      <c r="C28" s="3" t="n">
        <v>1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5</v>
      </c>
      <c r="I28" s="3" t="n">
        <v>4</v>
      </c>
      <c r="J28" s="3" t="n">
        <v>5</v>
      </c>
      <c r="K28" s="3" t="n">
        <v>4</v>
      </c>
      <c r="L28" s="3" t="n">
        <v>5</v>
      </c>
      <c r="M28" s="3" t="n">
        <v>4</v>
      </c>
      <c r="N28" s="3" t="n">
        <v>5</v>
      </c>
      <c r="O28" s="3" t="n">
        <v>3</v>
      </c>
      <c r="P28" s="3" t="n">
        <v>2</v>
      </c>
      <c r="Q28" s="3" t="n">
        <v>4</v>
      </c>
      <c r="R28" s="3" t="n">
        <v>3</v>
      </c>
      <c r="S28" s="3" t="n">
        <v>3</v>
      </c>
      <c r="T28" s="3" t="n">
        <v>0</v>
      </c>
      <c r="U28" s="3" t="n">
        <v>38</v>
      </c>
      <c r="V28" s="3" t="n">
        <v>50294</v>
      </c>
      <c r="W28" s="3" t="n">
        <v>1</v>
      </c>
      <c r="X28" s="3" t="n">
        <v>4</v>
      </c>
      <c r="Y28" s="3" t="n">
        <v>2</v>
      </c>
      <c r="Z28" s="3" t="n">
        <v>1</v>
      </c>
      <c r="AA28" s="4" t="n">
        <f aca="false">IF($B28=AA$1,1,0)</f>
        <v>0</v>
      </c>
      <c r="AB28" s="4" t="n">
        <f aca="false">IF($B28=AB$1,1,0)</f>
        <v>0</v>
      </c>
      <c r="AC28" s="4" t="n">
        <f aca="false">IF($B28=AC$1,1,0)</f>
        <v>0</v>
      </c>
      <c r="AD28" s="4" t="n">
        <f aca="false">IF($B28=AD$1,1,0)</f>
        <v>0</v>
      </c>
      <c r="AE28" s="4" t="n">
        <f aca="false">IF($B28=AE$1,1,0)</f>
        <v>0</v>
      </c>
      <c r="AF28" s="4" t="n">
        <f aca="false">IF($B28=AF$1,1,0)</f>
        <v>0</v>
      </c>
      <c r="AG28" s="4" t="n">
        <f aca="false">IF($B28=AG$1,1,0)</f>
        <v>0</v>
      </c>
      <c r="AH28" s="4" t="n">
        <f aca="false">IF($B28=AH$1,1,0)</f>
        <v>0</v>
      </c>
      <c r="AI28" s="4" t="n">
        <f aca="false">IF($B28=AI$1,1,0)</f>
        <v>0</v>
      </c>
      <c r="AJ28" s="4" t="n">
        <f aca="false">IF($B28=AJ$1,1,0)</f>
        <v>0</v>
      </c>
      <c r="AK28" s="4" t="n">
        <f aca="false">IF($B28=AK$1,1,0)</f>
        <v>0</v>
      </c>
      <c r="AL28" s="4" t="n">
        <f aca="false">IF($B28=AL$1,1,0)</f>
        <v>0</v>
      </c>
      <c r="AM28" s="4" t="n">
        <f aca="false">IF($B28=AM$1,1,0)</f>
        <v>1</v>
      </c>
      <c r="AN28" s="4" t="n">
        <f aca="false">IF($B28=AN$1,1,0)</f>
        <v>0</v>
      </c>
      <c r="AO28" s="4" t="n">
        <f aca="false">IF($B28=AO$1,1,0)</f>
        <v>0</v>
      </c>
      <c r="AP28" s="4" t="n">
        <f aca="false">IF($B28=AP$1,1,0)</f>
        <v>0</v>
      </c>
      <c r="AQ28" s="4" t="n">
        <f aca="false">IF($B28=AQ$1,1,0)</f>
        <v>0</v>
      </c>
      <c r="AR28" s="4" t="n">
        <f aca="false">IF($B28=AR$1,1,0)</f>
        <v>0</v>
      </c>
      <c r="AS28" s="4" t="n">
        <f aca="false">IF($B28=AS$1,1,0)</f>
        <v>0</v>
      </c>
      <c r="AT28" s="4" t="n">
        <f aca="false">IF($B28=AT$1,1,0)</f>
        <v>0</v>
      </c>
      <c r="AW28" s="3" t="s">
        <v>73</v>
      </c>
      <c r="AX28" s="12" t="n">
        <v>0.207143</v>
      </c>
      <c r="AY28" s="12" t="n">
        <v>38.307143</v>
      </c>
      <c r="AZ28" s="13" t="n">
        <v>22672.34</v>
      </c>
      <c r="BA28" s="8" t="n">
        <v>142</v>
      </c>
      <c r="BB28" s="4" t="n">
        <f aca="false">A28</f>
        <v>27</v>
      </c>
      <c r="BC28" s="7" t="n">
        <f aca="false">ABS($T28-$AX$2)+ABS($U28-$AY$2)+ABS($V28-$AZ$2)</f>
        <v>27460.7676056338</v>
      </c>
      <c r="BD28" s="7" t="n">
        <f aca="false">ABS($T28-$AX$3)+ABS($U28-$AY$3)+ABS($V28-$AZ$3)</f>
        <v>3634.40677966102</v>
      </c>
      <c r="BE28" s="7" t="n">
        <f aca="false">ABS($T28-$AX$4)+ABS($U28-$AY$4)+ABS($V28-$AZ$4)</f>
        <v>27504.641509434</v>
      </c>
      <c r="BF28" s="7" t="n">
        <f aca="false">MIN(BC28:BE28)</f>
        <v>3634.40677966102</v>
      </c>
      <c r="BG28" s="4" t="n">
        <f aca="false">MATCH(BF28,BC28:BE28,0)</f>
        <v>2</v>
      </c>
      <c r="BH28" s="8" t="n">
        <v>2</v>
      </c>
      <c r="BI28" s="4" t="n">
        <f aca="false">IF(BG28=BH28,0,1)</f>
        <v>0</v>
      </c>
      <c r="BK28" s="8" t="n">
        <v>2</v>
      </c>
      <c r="BL28" s="8" t="n">
        <v>2</v>
      </c>
      <c r="BM28" s="8" t="n">
        <v>2</v>
      </c>
    </row>
    <row r="29" customFormat="false" ht="15" hidden="false" customHeight="false" outlineLevel="0" collapsed="false">
      <c r="A29" s="3" t="n">
        <v>28</v>
      </c>
      <c r="B29" s="3" t="s">
        <v>37</v>
      </c>
      <c r="C29" s="3" t="n">
        <v>1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5</v>
      </c>
      <c r="I29" s="3" t="n">
        <v>5</v>
      </c>
      <c r="J29" s="3" t="n">
        <v>5</v>
      </c>
      <c r="K29" s="3" t="n">
        <v>5</v>
      </c>
      <c r="L29" s="3" t="n">
        <v>5</v>
      </c>
      <c r="M29" s="3" t="n">
        <v>5</v>
      </c>
      <c r="N29" s="3" t="n">
        <v>2</v>
      </c>
      <c r="O29" s="3" t="n">
        <v>3</v>
      </c>
      <c r="P29" s="3" t="n">
        <v>3</v>
      </c>
      <c r="Q29" s="3" t="n">
        <v>4</v>
      </c>
      <c r="R29" s="3" t="n">
        <v>4</v>
      </c>
      <c r="S29" s="3" t="n">
        <v>3</v>
      </c>
      <c r="T29" s="3" t="n">
        <v>0</v>
      </c>
      <c r="U29" s="3" t="n">
        <v>35</v>
      </c>
      <c r="V29" s="3" t="n">
        <v>69465</v>
      </c>
      <c r="W29" s="3" t="n">
        <v>1</v>
      </c>
      <c r="X29" s="3" t="n">
        <v>2</v>
      </c>
      <c r="Y29" s="3" t="n">
        <v>2</v>
      </c>
      <c r="Z29" s="3" t="n">
        <v>2</v>
      </c>
      <c r="AA29" s="4" t="n">
        <f aca="false">IF($B29=AA$1,1,0)</f>
        <v>0</v>
      </c>
      <c r="AB29" s="4" t="n">
        <f aca="false">IF($B29=AB$1,1,0)</f>
        <v>0</v>
      </c>
      <c r="AC29" s="4" t="n">
        <f aca="false">IF($B29=AC$1,1,0)</f>
        <v>0</v>
      </c>
      <c r="AD29" s="4" t="n">
        <f aca="false">IF($B29=AD$1,1,0)</f>
        <v>0</v>
      </c>
      <c r="AE29" s="4" t="n">
        <f aca="false">IF($B29=AE$1,1,0)</f>
        <v>0</v>
      </c>
      <c r="AF29" s="4" t="n">
        <f aca="false">IF($B29=AF$1,1,0)</f>
        <v>0</v>
      </c>
      <c r="AG29" s="4" t="n">
        <f aca="false">IF($B29=AG$1,1,0)</f>
        <v>0</v>
      </c>
      <c r="AH29" s="4" t="n">
        <f aca="false">IF($B29=AH$1,1,0)</f>
        <v>0</v>
      </c>
      <c r="AI29" s="4" t="n">
        <f aca="false">IF($B29=AI$1,1,0)</f>
        <v>0</v>
      </c>
      <c r="AJ29" s="4" t="n">
        <f aca="false">IF($B29=AJ$1,1,0)</f>
        <v>0</v>
      </c>
      <c r="AK29" s="4" t="n">
        <f aca="false">IF($B29=AK$1,1,0)</f>
        <v>0</v>
      </c>
      <c r="AL29" s="4" t="n">
        <f aca="false">IF($B29=AL$1,1,0)</f>
        <v>1</v>
      </c>
      <c r="AM29" s="4" t="n">
        <f aca="false">IF($B29=AM$1,1,0)</f>
        <v>0</v>
      </c>
      <c r="AN29" s="4" t="n">
        <f aca="false">IF($B29=AN$1,1,0)</f>
        <v>0</v>
      </c>
      <c r="AO29" s="4" t="n">
        <f aca="false">IF($B29=AO$1,1,0)</f>
        <v>0</v>
      </c>
      <c r="AP29" s="4" t="n">
        <f aca="false">IF($B29=AP$1,1,0)</f>
        <v>0</v>
      </c>
      <c r="AQ29" s="4" t="n">
        <f aca="false">IF($B29=AQ$1,1,0)</f>
        <v>0</v>
      </c>
      <c r="AR29" s="4" t="n">
        <f aca="false">IF($B29=AR$1,1,0)</f>
        <v>0</v>
      </c>
      <c r="AS29" s="4" t="n">
        <f aca="false">IF($B29=AS$1,1,0)</f>
        <v>0</v>
      </c>
      <c r="AT29" s="4" t="n">
        <f aca="false">IF($B29=AT$1,1,0)</f>
        <v>0</v>
      </c>
      <c r="AW29" s="3" t="s">
        <v>74</v>
      </c>
      <c r="AX29" s="12" t="n">
        <v>0.2</v>
      </c>
      <c r="AY29" s="12" t="n">
        <v>41.841667</v>
      </c>
      <c r="AZ29" s="13" t="n">
        <v>46454.84</v>
      </c>
      <c r="BA29" s="8" t="n">
        <v>118</v>
      </c>
      <c r="BB29" s="4" t="n">
        <f aca="false">A29</f>
        <v>28</v>
      </c>
      <c r="BC29" s="7" t="n">
        <f aca="false">ABS($T29-$AX$2)+ABS($U29-$AY$2)+ABS($V29-$AZ$2)</f>
        <v>46634.7676056338</v>
      </c>
      <c r="BD29" s="7" t="n">
        <f aca="false">ABS($T29-$AX$3)+ABS($U29-$AY$3)+ABS($V29-$AZ$3)</f>
        <v>22808.406779661</v>
      </c>
      <c r="BE29" s="7" t="n">
        <f aca="false">ABS($T29-$AX$4)+ABS($U29-$AY$4)+ABS($V29-$AZ$4)</f>
        <v>8336.64150943397</v>
      </c>
      <c r="BF29" s="7" t="n">
        <f aca="false">MIN(BC29:BE29)</f>
        <v>8336.64150943397</v>
      </c>
      <c r="BG29" s="4" t="n">
        <f aca="false">MATCH(BF29,BC29:BE29,0)</f>
        <v>3</v>
      </c>
      <c r="BH29" s="8" t="n">
        <v>3</v>
      </c>
      <c r="BI29" s="4" t="n">
        <f aca="false">IF(BG29=BH29,0,1)</f>
        <v>0</v>
      </c>
      <c r="BK29" s="8" t="n">
        <v>3</v>
      </c>
      <c r="BL29" s="8" t="n">
        <v>3</v>
      </c>
      <c r="BM29" s="8" t="n">
        <v>3</v>
      </c>
    </row>
    <row r="30" customFormat="false" ht="15" hidden="false" customHeight="false" outlineLevel="0" collapsed="false">
      <c r="A30" s="3" t="n">
        <v>29</v>
      </c>
      <c r="B30" s="3" t="s">
        <v>29</v>
      </c>
      <c r="C30" s="3" t="n">
        <v>1</v>
      </c>
      <c r="D30" s="3" t="n">
        <v>0</v>
      </c>
      <c r="E30" s="3" t="n">
        <v>0</v>
      </c>
      <c r="F30" s="3" t="n">
        <v>0</v>
      </c>
      <c r="G30" s="3" t="n">
        <v>3</v>
      </c>
      <c r="H30" s="3" t="n">
        <v>5</v>
      </c>
      <c r="I30" s="3" t="n">
        <v>5</v>
      </c>
      <c r="J30" s="3" t="n">
        <v>5</v>
      </c>
      <c r="K30" s="3" t="n">
        <v>5</v>
      </c>
      <c r="L30" s="3" t="n">
        <v>5</v>
      </c>
      <c r="M30" s="3" t="n">
        <v>5</v>
      </c>
      <c r="N30" s="3" t="n">
        <v>4</v>
      </c>
      <c r="O30" s="3" t="n">
        <v>4</v>
      </c>
      <c r="P30" s="3" t="n">
        <v>4</v>
      </c>
      <c r="Q30" s="3" t="n">
        <v>4</v>
      </c>
      <c r="R30" s="3" t="n">
        <v>4</v>
      </c>
      <c r="S30" s="3" t="n">
        <v>4</v>
      </c>
      <c r="T30" s="3" t="n">
        <v>0</v>
      </c>
      <c r="U30" s="3" t="n">
        <v>46</v>
      </c>
      <c r="V30" s="3" t="n">
        <v>36060</v>
      </c>
      <c r="W30" s="3" t="n">
        <v>1</v>
      </c>
      <c r="X30" s="3" t="n">
        <v>4</v>
      </c>
      <c r="Y30" s="3" t="n">
        <v>2</v>
      </c>
      <c r="Z30" s="3" t="n">
        <v>2</v>
      </c>
      <c r="AA30" s="4" t="n">
        <f aca="false">IF($B30=AA$1,1,0)</f>
        <v>0</v>
      </c>
      <c r="AB30" s="4" t="n">
        <f aca="false">IF($B30=AB$1,1,0)</f>
        <v>0</v>
      </c>
      <c r="AC30" s="4" t="n">
        <f aca="false">IF($B30=AC$1,1,0)</f>
        <v>0</v>
      </c>
      <c r="AD30" s="4" t="n">
        <f aca="false">IF($B30=AD$1,1,0)</f>
        <v>1</v>
      </c>
      <c r="AE30" s="4" t="n">
        <f aca="false">IF($B30=AE$1,1,0)</f>
        <v>0</v>
      </c>
      <c r="AF30" s="4" t="n">
        <f aca="false">IF($B30=AF$1,1,0)</f>
        <v>0</v>
      </c>
      <c r="AG30" s="4" t="n">
        <f aca="false">IF($B30=AG$1,1,0)</f>
        <v>0</v>
      </c>
      <c r="AH30" s="4" t="n">
        <f aca="false">IF($B30=AH$1,1,0)</f>
        <v>0</v>
      </c>
      <c r="AI30" s="4" t="n">
        <f aca="false">IF($B30=AI$1,1,0)</f>
        <v>0</v>
      </c>
      <c r="AJ30" s="4" t="n">
        <f aca="false">IF($B30=AJ$1,1,0)</f>
        <v>0</v>
      </c>
      <c r="AK30" s="4" t="n">
        <f aca="false">IF($B30=AK$1,1,0)</f>
        <v>0</v>
      </c>
      <c r="AL30" s="4" t="n">
        <f aca="false">IF($B30=AL$1,1,0)</f>
        <v>0</v>
      </c>
      <c r="AM30" s="4" t="n">
        <f aca="false">IF($B30=AM$1,1,0)</f>
        <v>0</v>
      </c>
      <c r="AN30" s="4" t="n">
        <f aca="false">IF($B30=AN$1,1,0)</f>
        <v>0</v>
      </c>
      <c r="AO30" s="4" t="n">
        <f aca="false">IF($B30=AO$1,1,0)</f>
        <v>0</v>
      </c>
      <c r="AP30" s="4" t="n">
        <f aca="false">IF($B30=AP$1,1,0)</f>
        <v>0</v>
      </c>
      <c r="AQ30" s="4" t="n">
        <f aca="false">IF($B30=AQ$1,1,0)</f>
        <v>0</v>
      </c>
      <c r="AR30" s="4" t="n">
        <f aca="false">IF($B30=AR$1,1,0)</f>
        <v>0</v>
      </c>
      <c r="AS30" s="4" t="n">
        <f aca="false">IF($B30=AS$1,1,0)</f>
        <v>0</v>
      </c>
      <c r="AT30" s="4" t="n">
        <f aca="false">IF($B30=AT$1,1,0)</f>
        <v>0</v>
      </c>
      <c r="AW30" s="3" t="s">
        <v>75</v>
      </c>
      <c r="AX30" s="12" t="n">
        <v>0.264151</v>
      </c>
      <c r="AY30" s="12" t="n">
        <v>42.018868</v>
      </c>
      <c r="AZ30" s="13" t="n">
        <v>77794.36</v>
      </c>
      <c r="BA30" s="8" t="n">
        <v>53</v>
      </c>
      <c r="BB30" s="4" t="n">
        <f aca="false">A30</f>
        <v>29</v>
      </c>
      <c r="BC30" s="7" t="n">
        <f aca="false">ABS($T30-$AX$2)+ABS($U30-$AY$2)+ABS($V30-$AZ$2)</f>
        <v>13233.2887323944</v>
      </c>
      <c r="BD30" s="7" t="n">
        <f aca="false">ABS($T30-$AX$3)+ABS($U30-$AY$3)+ABS($V30-$AZ$3)</f>
        <v>10607.9661016949</v>
      </c>
      <c r="BE30" s="7" t="n">
        <f aca="false">ABS($T30-$AX$4)+ABS($U30-$AY$4)+ABS($V30-$AZ$4)</f>
        <v>41738.6037735849</v>
      </c>
      <c r="BF30" s="7" t="n">
        <f aca="false">MIN(BC30:BE30)</f>
        <v>10607.9661016949</v>
      </c>
      <c r="BG30" s="4" t="n">
        <f aca="false">MATCH(BF30,BC30:BE30,0)</f>
        <v>2</v>
      </c>
      <c r="BH30" s="8" t="n">
        <v>2</v>
      </c>
      <c r="BI30" s="4" t="n">
        <f aca="false">IF(BG30=BH30,0,1)</f>
        <v>0</v>
      </c>
      <c r="BK30" s="8" t="n">
        <v>2</v>
      </c>
      <c r="BL30" s="8" t="n">
        <v>2</v>
      </c>
      <c r="BM30" s="8" t="n">
        <v>2</v>
      </c>
    </row>
    <row r="31" customFormat="false" ht="15" hidden="false" customHeight="false" outlineLevel="0" collapsed="false">
      <c r="A31" s="3" t="n">
        <v>30</v>
      </c>
      <c r="B31" s="3" t="s">
        <v>33</v>
      </c>
      <c r="C31" s="3" t="n">
        <v>0</v>
      </c>
      <c r="D31" s="3" t="n">
        <v>0</v>
      </c>
      <c r="E31" s="3" t="n">
        <v>1</v>
      </c>
      <c r="F31" s="3" t="n">
        <v>0</v>
      </c>
      <c r="G31" s="3" t="n">
        <v>0</v>
      </c>
      <c r="H31" s="3" t="n">
        <v>4</v>
      </c>
      <c r="I31" s="3" t="n">
        <v>4</v>
      </c>
      <c r="J31" s="3" t="n">
        <v>5</v>
      </c>
      <c r="K31" s="3" t="n">
        <v>5</v>
      </c>
      <c r="L31" s="3" t="n">
        <v>5</v>
      </c>
      <c r="M31" s="3" t="n">
        <v>4</v>
      </c>
      <c r="N31" s="3" t="n">
        <v>4</v>
      </c>
      <c r="O31" s="3" t="n">
        <v>4</v>
      </c>
      <c r="P31" s="3" t="n">
        <v>2</v>
      </c>
      <c r="Q31" s="3" t="n">
        <v>4</v>
      </c>
      <c r="R31" s="3" t="n">
        <v>4</v>
      </c>
      <c r="S31" s="3" t="n">
        <v>3</v>
      </c>
      <c r="T31" s="3" t="n">
        <v>0</v>
      </c>
      <c r="U31" s="3" t="n">
        <v>54</v>
      </c>
      <c r="V31" s="3" t="n">
        <v>19970</v>
      </c>
      <c r="W31" s="3" t="n">
        <v>2</v>
      </c>
      <c r="X31" s="3" t="n">
        <v>3</v>
      </c>
      <c r="Y31" s="3" t="n">
        <v>2</v>
      </c>
      <c r="Z31" s="3" t="n">
        <v>1</v>
      </c>
      <c r="AA31" s="4" t="n">
        <f aca="false">IF($B31=AA$1,1,0)</f>
        <v>0</v>
      </c>
      <c r="AB31" s="4" t="n">
        <f aca="false">IF($B31=AB$1,1,0)</f>
        <v>0</v>
      </c>
      <c r="AC31" s="4" t="n">
        <f aca="false">IF($B31=AC$1,1,0)</f>
        <v>0</v>
      </c>
      <c r="AD31" s="4" t="n">
        <f aca="false">IF($B31=AD$1,1,0)</f>
        <v>0</v>
      </c>
      <c r="AE31" s="4" t="n">
        <f aca="false">IF($B31=AE$1,1,0)</f>
        <v>0</v>
      </c>
      <c r="AF31" s="4" t="n">
        <f aca="false">IF($B31=AF$1,1,0)</f>
        <v>0</v>
      </c>
      <c r="AG31" s="4" t="n">
        <f aca="false">IF($B31=AG$1,1,0)</f>
        <v>0</v>
      </c>
      <c r="AH31" s="4" t="n">
        <f aca="false">IF($B31=AH$1,1,0)</f>
        <v>1</v>
      </c>
      <c r="AI31" s="4" t="n">
        <f aca="false">IF($B31=AI$1,1,0)</f>
        <v>0</v>
      </c>
      <c r="AJ31" s="4" t="n">
        <f aca="false">IF($B31=AJ$1,1,0)</f>
        <v>0</v>
      </c>
      <c r="AK31" s="4" t="n">
        <f aca="false">IF($B31=AK$1,1,0)</f>
        <v>0</v>
      </c>
      <c r="AL31" s="4" t="n">
        <f aca="false">IF($B31=AL$1,1,0)</f>
        <v>0</v>
      </c>
      <c r="AM31" s="4" t="n">
        <f aca="false">IF($B31=AM$1,1,0)</f>
        <v>0</v>
      </c>
      <c r="AN31" s="4" t="n">
        <f aca="false">IF($B31=AN$1,1,0)</f>
        <v>0</v>
      </c>
      <c r="AO31" s="4" t="n">
        <f aca="false">IF($B31=AO$1,1,0)</f>
        <v>0</v>
      </c>
      <c r="AP31" s="4" t="n">
        <f aca="false">IF($B31=AP$1,1,0)</f>
        <v>0</v>
      </c>
      <c r="AQ31" s="4" t="n">
        <f aca="false">IF($B31=AQ$1,1,0)</f>
        <v>0</v>
      </c>
      <c r="AR31" s="4" t="n">
        <f aca="false">IF($B31=AR$1,1,0)</f>
        <v>0</v>
      </c>
      <c r="AS31" s="4" t="n">
        <f aca="false">IF($B31=AS$1,1,0)</f>
        <v>0</v>
      </c>
      <c r="AT31" s="4" t="n">
        <f aca="false">IF($B31=AT$1,1,0)</f>
        <v>0</v>
      </c>
      <c r="AW31" s="3" t="s">
        <v>76</v>
      </c>
      <c r="AX31" s="12" t="n">
        <v>0.21831</v>
      </c>
      <c r="AY31" s="12" t="n">
        <v>38.739437</v>
      </c>
      <c r="AZ31" s="13" t="n">
        <v>22834.19</v>
      </c>
      <c r="BA31" s="8" t="n">
        <v>142</v>
      </c>
      <c r="BB31" s="4" t="n">
        <f aca="false">A31</f>
        <v>30</v>
      </c>
      <c r="BC31" s="7" t="n">
        <f aca="false">ABS($T31-$AX$2)+ABS($U31-$AY$2)+ABS($V31-$AZ$2)</f>
        <v>2879.66901408451</v>
      </c>
      <c r="BD31" s="7" t="n">
        <f aca="false">ABS($T31-$AX$3)+ABS($U31-$AY$3)+ABS($V31-$AZ$3)</f>
        <v>26705.9661016949</v>
      </c>
      <c r="BE31" s="7" t="n">
        <f aca="false">ABS($T31-$AX$4)+ABS($U31-$AY$4)+ABS($V31-$AZ$4)</f>
        <v>57836.6037735849</v>
      </c>
      <c r="BF31" s="7" t="n">
        <f aca="false">MIN(BC31:BE31)</f>
        <v>2879.66901408451</v>
      </c>
      <c r="BG31" s="4" t="n">
        <f aca="false">MATCH(BF31,BC31:BE31,0)</f>
        <v>1</v>
      </c>
      <c r="BH31" s="8" t="n">
        <v>1</v>
      </c>
      <c r="BI31" s="4" t="n">
        <f aca="false">IF(BG31=BH31,0,1)</f>
        <v>0</v>
      </c>
      <c r="BK31" s="8" t="n">
        <v>1</v>
      </c>
      <c r="BL31" s="8" t="n">
        <v>1</v>
      </c>
      <c r="BM31" s="8" t="n">
        <v>1</v>
      </c>
    </row>
    <row r="32" customFormat="false" ht="15" hidden="false" customHeight="false" outlineLevel="0" collapsed="false">
      <c r="A32" s="3" t="n">
        <v>31</v>
      </c>
      <c r="B32" s="3" t="s">
        <v>33</v>
      </c>
      <c r="C32" s="3" t="n">
        <v>1</v>
      </c>
      <c r="D32" s="3" t="n">
        <v>0</v>
      </c>
      <c r="E32" s="3" t="n">
        <v>0</v>
      </c>
      <c r="F32" s="3" t="n">
        <v>0</v>
      </c>
      <c r="G32" s="3" t="n">
        <v>3</v>
      </c>
      <c r="H32" s="3" t="n">
        <v>5</v>
      </c>
      <c r="I32" s="3" t="n">
        <v>3</v>
      </c>
      <c r="J32" s="3" t="n">
        <v>4</v>
      </c>
      <c r="K32" s="3" t="n">
        <v>5</v>
      </c>
      <c r="L32" s="3" t="n">
        <v>5</v>
      </c>
      <c r="M32" s="3" t="n">
        <v>4</v>
      </c>
      <c r="N32" s="3" t="n">
        <v>3</v>
      </c>
      <c r="O32" s="3" t="n">
        <v>3</v>
      </c>
      <c r="P32" s="3" t="n">
        <v>4</v>
      </c>
      <c r="Q32" s="3" t="n">
        <v>5</v>
      </c>
      <c r="R32" s="3" t="n">
        <v>5</v>
      </c>
      <c r="S32" s="3" t="n">
        <v>3</v>
      </c>
      <c r="T32" s="3" t="n">
        <v>0</v>
      </c>
      <c r="U32" s="3" t="n">
        <v>58</v>
      </c>
      <c r="V32" s="3" t="n">
        <v>51927</v>
      </c>
      <c r="W32" s="3" t="n">
        <v>2</v>
      </c>
      <c r="X32" s="3" t="n">
        <v>4</v>
      </c>
      <c r="Y32" s="3" t="n">
        <v>1</v>
      </c>
      <c r="Z32" s="3" t="n">
        <v>1</v>
      </c>
      <c r="AA32" s="4" t="n">
        <f aca="false">IF($B32=AA$1,1,0)</f>
        <v>0</v>
      </c>
      <c r="AB32" s="4" t="n">
        <f aca="false">IF($B32=AB$1,1,0)</f>
        <v>0</v>
      </c>
      <c r="AC32" s="4" t="n">
        <f aca="false">IF($B32=AC$1,1,0)</f>
        <v>0</v>
      </c>
      <c r="AD32" s="4" t="n">
        <f aca="false">IF($B32=AD$1,1,0)</f>
        <v>0</v>
      </c>
      <c r="AE32" s="4" t="n">
        <f aca="false">IF($B32=AE$1,1,0)</f>
        <v>0</v>
      </c>
      <c r="AF32" s="4" t="n">
        <f aca="false">IF($B32=AF$1,1,0)</f>
        <v>0</v>
      </c>
      <c r="AG32" s="4" t="n">
        <f aca="false">IF($B32=AG$1,1,0)</f>
        <v>0</v>
      </c>
      <c r="AH32" s="4" t="n">
        <f aca="false">IF($B32=AH$1,1,0)</f>
        <v>1</v>
      </c>
      <c r="AI32" s="4" t="n">
        <f aca="false">IF($B32=AI$1,1,0)</f>
        <v>0</v>
      </c>
      <c r="AJ32" s="4" t="n">
        <f aca="false">IF($B32=AJ$1,1,0)</f>
        <v>0</v>
      </c>
      <c r="AK32" s="4" t="n">
        <f aca="false">IF($B32=AK$1,1,0)</f>
        <v>0</v>
      </c>
      <c r="AL32" s="4" t="n">
        <f aca="false">IF($B32=AL$1,1,0)</f>
        <v>0</v>
      </c>
      <c r="AM32" s="4" t="n">
        <f aca="false">IF($B32=AM$1,1,0)</f>
        <v>0</v>
      </c>
      <c r="AN32" s="4" t="n">
        <f aca="false">IF($B32=AN$1,1,0)</f>
        <v>0</v>
      </c>
      <c r="AO32" s="4" t="n">
        <f aca="false">IF($B32=AO$1,1,0)</f>
        <v>0</v>
      </c>
      <c r="AP32" s="4" t="n">
        <f aca="false">IF($B32=AP$1,1,0)</f>
        <v>0</v>
      </c>
      <c r="AQ32" s="4" t="n">
        <f aca="false">IF($B32=AQ$1,1,0)</f>
        <v>0</v>
      </c>
      <c r="AR32" s="4" t="n">
        <f aca="false">IF($B32=AR$1,1,0)</f>
        <v>0</v>
      </c>
      <c r="AS32" s="4" t="n">
        <f aca="false">IF($B32=AS$1,1,0)</f>
        <v>0</v>
      </c>
      <c r="AT32" s="4" t="n">
        <f aca="false">IF($B32=AT$1,1,0)</f>
        <v>0</v>
      </c>
      <c r="AW32" s="3" t="s">
        <v>77</v>
      </c>
      <c r="AX32" s="12" t="n">
        <v>0.186441</v>
      </c>
      <c r="AY32" s="12" t="n">
        <v>41.381356</v>
      </c>
      <c r="AZ32" s="13" t="n">
        <v>46663.16</v>
      </c>
      <c r="BA32" s="8" t="n">
        <v>118</v>
      </c>
      <c r="BB32" s="4" t="n">
        <f aca="false">A32</f>
        <v>31</v>
      </c>
      <c r="BC32" s="7" t="n">
        <f aca="false">ABS($T32-$AX$2)+ABS($U32-$AY$2)+ABS($V32-$AZ$2)</f>
        <v>29112.2887323944</v>
      </c>
      <c r="BD32" s="7" t="n">
        <f aca="false">ABS($T32-$AX$3)+ABS($U32-$AY$3)+ABS($V32-$AZ$3)</f>
        <v>5280.64406779661</v>
      </c>
      <c r="BE32" s="7" t="n">
        <f aca="false">ABS($T32-$AX$4)+ABS($U32-$AY$4)+ABS($V32-$AZ$4)</f>
        <v>25883.6037735849</v>
      </c>
      <c r="BF32" s="7" t="n">
        <f aca="false">MIN(BC32:BE32)</f>
        <v>5280.64406779661</v>
      </c>
      <c r="BG32" s="4" t="n">
        <f aca="false">MATCH(BF32,BC32:BE32,0)</f>
        <v>2</v>
      </c>
      <c r="BH32" s="8" t="n">
        <v>2</v>
      </c>
      <c r="BI32" s="4" t="n">
        <f aca="false">IF(BG32=BH32,0,1)</f>
        <v>0</v>
      </c>
      <c r="BK32" s="8" t="n">
        <v>2</v>
      </c>
      <c r="BL32" s="8" t="n">
        <v>2</v>
      </c>
      <c r="BM32" s="8" t="n">
        <v>2</v>
      </c>
    </row>
    <row r="33" customFormat="false" ht="15" hidden="false" customHeight="false" outlineLevel="0" collapsed="false">
      <c r="A33" s="3" t="n">
        <v>32</v>
      </c>
      <c r="B33" s="3" t="s">
        <v>29</v>
      </c>
      <c r="C33" s="3" t="n">
        <v>1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5</v>
      </c>
      <c r="I33" s="3" t="n">
        <v>4</v>
      </c>
      <c r="J33" s="3" t="n">
        <v>4</v>
      </c>
      <c r="K33" s="3" t="n">
        <v>3</v>
      </c>
      <c r="L33" s="3" t="n">
        <v>4</v>
      </c>
      <c r="M33" s="3" t="n">
        <v>2</v>
      </c>
      <c r="N33" s="3" t="n">
        <v>5</v>
      </c>
      <c r="O33" s="3" t="n">
        <v>3</v>
      </c>
      <c r="P33" s="3" t="n">
        <v>4</v>
      </c>
      <c r="Q33" s="3" t="n">
        <v>4</v>
      </c>
      <c r="R33" s="3" t="n">
        <v>4</v>
      </c>
      <c r="S33" s="3" t="n">
        <v>3</v>
      </c>
      <c r="T33" s="3" t="n">
        <v>0</v>
      </c>
      <c r="U33" s="3" t="n">
        <v>69</v>
      </c>
      <c r="V33" s="3" t="n">
        <v>83778</v>
      </c>
      <c r="W33" s="3" t="n">
        <v>3</v>
      </c>
      <c r="X33" s="3" t="n">
        <v>4</v>
      </c>
      <c r="Y33" s="3" t="n">
        <v>2</v>
      </c>
      <c r="Z33" s="3" t="n">
        <v>2</v>
      </c>
      <c r="AA33" s="4" t="n">
        <f aca="false">IF($B33=AA$1,1,0)</f>
        <v>0</v>
      </c>
      <c r="AB33" s="4" t="n">
        <f aca="false">IF($B33=AB$1,1,0)</f>
        <v>0</v>
      </c>
      <c r="AC33" s="4" t="n">
        <f aca="false">IF($B33=AC$1,1,0)</f>
        <v>0</v>
      </c>
      <c r="AD33" s="4" t="n">
        <f aca="false">IF($B33=AD$1,1,0)</f>
        <v>1</v>
      </c>
      <c r="AE33" s="4" t="n">
        <f aca="false">IF($B33=AE$1,1,0)</f>
        <v>0</v>
      </c>
      <c r="AF33" s="4" t="n">
        <f aca="false">IF($B33=AF$1,1,0)</f>
        <v>0</v>
      </c>
      <c r="AG33" s="4" t="n">
        <f aca="false">IF($B33=AG$1,1,0)</f>
        <v>0</v>
      </c>
      <c r="AH33" s="4" t="n">
        <f aca="false">IF($B33=AH$1,1,0)</f>
        <v>0</v>
      </c>
      <c r="AI33" s="4" t="n">
        <f aca="false">IF($B33=AI$1,1,0)</f>
        <v>0</v>
      </c>
      <c r="AJ33" s="4" t="n">
        <f aca="false">IF($B33=AJ$1,1,0)</f>
        <v>0</v>
      </c>
      <c r="AK33" s="4" t="n">
        <f aca="false">IF($B33=AK$1,1,0)</f>
        <v>0</v>
      </c>
      <c r="AL33" s="4" t="n">
        <f aca="false">IF($B33=AL$1,1,0)</f>
        <v>0</v>
      </c>
      <c r="AM33" s="4" t="n">
        <f aca="false">IF($B33=AM$1,1,0)</f>
        <v>0</v>
      </c>
      <c r="AN33" s="4" t="n">
        <f aca="false">IF($B33=AN$1,1,0)</f>
        <v>0</v>
      </c>
      <c r="AO33" s="4" t="n">
        <f aca="false">IF($B33=AO$1,1,0)</f>
        <v>0</v>
      </c>
      <c r="AP33" s="4" t="n">
        <f aca="false">IF($B33=AP$1,1,0)</f>
        <v>0</v>
      </c>
      <c r="AQ33" s="4" t="n">
        <f aca="false">IF($B33=AQ$1,1,0)</f>
        <v>0</v>
      </c>
      <c r="AR33" s="4" t="n">
        <f aca="false">IF($B33=AR$1,1,0)</f>
        <v>0</v>
      </c>
      <c r="AS33" s="4" t="n">
        <f aca="false">IF($B33=AS$1,1,0)</f>
        <v>0</v>
      </c>
      <c r="AT33" s="4" t="n">
        <f aca="false">IF($B33=AT$1,1,0)</f>
        <v>0</v>
      </c>
      <c r="AW33" s="3" t="s">
        <v>78</v>
      </c>
      <c r="AX33" s="12" t="n">
        <v>0.264151</v>
      </c>
      <c r="AY33" s="12" t="n">
        <v>42.018868</v>
      </c>
      <c r="AZ33" s="13" t="n">
        <v>77794.36</v>
      </c>
      <c r="BA33" s="8" t="n">
        <v>53</v>
      </c>
      <c r="BB33" s="4" t="n">
        <f aca="false">A33</f>
        <v>32</v>
      </c>
      <c r="BC33" s="7" t="n">
        <f aca="false">ABS($T33-$AX$2)+ABS($U33-$AY$2)+ABS($V33-$AZ$2)</f>
        <v>60974.2887323944</v>
      </c>
      <c r="BD33" s="7" t="n">
        <f aca="false">ABS($T33-$AX$3)+ABS($U33-$AY$3)+ABS($V33-$AZ$3)</f>
        <v>37142.6440677966</v>
      </c>
      <c r="BE33" s="7" t="n">
        <f aca="false">ABS($T33-$AX$4)+ABS($U33-$AY$4)+ABS($V33-$AZ$4)</f>
        <v>6010.88679245283</v>
      </c>
      <c r="BF33" s="7" t="n">
        <f aca="false">MIN(BC33:BE33)</f>
        <v>6010.88679245283</v>
      </c>
      <c r="BG33" s="4" t="n">
        <f aca="false">MATCH(BF33,BC33:BE33,0)</f>
        <v>3</v>
      </c>
      <c r="BH33" s="8" t="n">
        <v>3</v>
      </c>
      <c r="BI33" s="4" t="n">
        <f aca="false">IF(BG33=BH33,0,1)</f>
        <v>0</v>
      </c>
      <c r="BK33" s="8" t="n">
        <v>3</v>
      </c>
      <c r="BL33" s="8" t="n">
        <v>3</v>
      </c>
      <c r="BM33" s="8" t="n">
        <v>3</v>
      </c>
    </row>
    <row r="34" customFormat="false" ht="15" hidden="false" customHeight="false" outlineLevel="0" collapsed="false">
      <c r="A34" s="3" t="n">
        <v>33</v>
      </c>
      <c r="B34" s="3" t="s">
        <v>38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6</v>
      </c>
      <c r="H34" s="3" t="n">
        <v>4</v>
      </c>
      <c r="I34" s="3" t="n">
        <v>4</v>
      </c>
      <c r="J34" s="3" t="n">
        <v>5</v>
      </c>
      <c r="K34" s="3" t="n">
        <v>4</v>
      </c>
      <c r="L34" s="3" t="n">
        <v>5</v>
      </c>
      <c r="M34" s="3" t="n">
        <v>4</v>
      </c>
      <c r="N34" s="3" t="n">
        <v>3</v>
      </c>
      <c r="O34" s="3" t="n">
        <v>4</v>
      </c>
      <c r="P34" s="3" t="n">
        <v>3</v>
      </c>
      <c r="Q34" s="3" t="n">
        <v>4</v>
      </c>
      <c r="R34" s="3" t="n">
        <v>4</v>
      </c>
      <c r="S34" s="3" t="n">
        <v>3</v>
      </c>
      <c r="T34" s="3" t="n">
        <v>0</v>
      </c>
      <c r="U34" s="3" t="n">
        <v>47</v>
      </c>
      <c r="V34" s="3" t="n">
        <v>62550</v>
      </c>
      <c r="W34" s="3" t="n">
        <v>1</v>
      </c>
      <c r="X34" s="3" t="n">
        <v>4</v>
      </c>
      <c r="Y34" s="3" t="n">
        <v>2</v>
      </c>
      <c r="Z34" s="3" t="n">
        <v>2</v>
      </c>
      <c r="AA34" s="4" t="n">
        <f aca="false">IF($B34=AA$1,1,0)</f>
        <v>0</v>
      </c>
      <c r="AB34" s="4" t="n">
        <f aca="false">IF($B34=AB$1,1,0)</f>
        <v>0</v>
      </c>
      <c r="AC34" s="4" t="n">
        <f aca="false">IF($B34=AC$1,1,0)</f>
        <v>0</v>
      </c>
      <c r="AD34" s="4" t="n">
        <f aca="false">IF($B34=AD$1,1,0)</f>
        <v>0</v>
      </c>
      <c r="AE34" s="4" t="n">
        <f aca="false">IF($B34=AE$1,1,0)</f>
        <v>0</v>
      </c>
      <c r="AF34" s="4" t="n">
        <f aca="false">IF($B34=AF$1,1,0)</f>
        <v>0</v>
      </c>
      <c r="AG34" s="4" t="n">
        <f aca="false">IF($B34=AG$1,1,0)</f>
        <v>0</v>
      </c>
      <c r="AH34" s="4" t="n">
        <f aca="false">IF($B34=AH$1,1,0)</f>
        <v>0</v>
      </c>
      <c r="AI34" s="4" t="n">
        <f aca="false">IF($B34=AI$1,1,0)</f>
        <v>0</v>
      </c>
      <c r="AJ34" s="4" t="n">
        <f aca="false">IF($B34=AJ$1,1,0)</f>
        <v>0</v>
      </c>
      <c r="AK34" s="4" t="n">
        <f aca="false">IF($B34=AK$1,1,0)</f>
        <v>0</v>
      </c>
      <c r="AL34" s="4" t="n">
        <f aca="false">IF($B34=AL$1,1,0)</f>
        <v>0</v>
      </c>
      <c r="AM34" s="4" t="n">
        <f aca="false">IF($B34=AM$1,1,0)</f>
        <v>1</v>
      </c>
      <c r="AN34" s="4" t="n">
        <f aca="false">IF($B34=AN$1,1,0)</f>
        <v>0</v>
      </c>
      <c r="AO34" s="4" t="n">
        <f aca="false">IF($B34=AO$1,1,0)</f>
        <v>0</v>
      </c>
      <c r="AP34" s="4" t="n">
        <f aca="false">IF($B34=AP$1,1,0)</f>
        <v>0</v>
      </c>
      <c r="AQ34" s="4" t="n">
        <f aca="false">IF($B34=AQ$1,1,0)</f>
        <v>0</v>
      </c>
      <c r="AR34" s="4" t="n">
        <f aca="false">IF($B34=AR$1,1,0)</f>
        <v>0</v>
      </c>
      <c r="AS34" s="4" t="n">
        <f aca="false">IF($B34=AS$1,1,0)</f>
        <v>0</v>
      </c>
      <c r="AT34" s="4" t="n">
        <f aca="false">IF($B34=AT$1,1,0)</f>
        <v>0</v>
      </c>
      <c r="AW34" s="3" t="s">
        <v>79</v>
      </c>
      <c r="BB34" s="4" t="n">
        <f aca="false">A34</f>
        <v>33</v>
      </c>
      <c r="BC34" s="7" t="n">
        <f aca="false">ABS($T34-$AX$2)+ABS($U34-$AY$2)+ABS($V34-$AZ$2)</f>
        <v>39724.2887323944</v>
      </c>
      <c r="BD34" s="7" t="n">
        <f aca="false">ABS($T34-$AX$3)+ABS($U34-$AY$3)+ABS($V34-$AZ$3)</f>
        <v>15892.6440677966</v>
      </c>
      <c r="BE34" s="7" t="n">
        <f aca="false">ABS($T34-$AX$4)+ABS($U34-$AY$4)+ABS($V34-$AZ$4)</f>
        <v>15249.6037735849</v>
      </c>
      <c r="BF34" s="7" t="n">
        <f aca="false">MIN(BC34:BE34)</f>
        <v>15249.6037735849</v>
      </c>
      <c r="BG34" s="4" t="n">
        <f aca="false">MATCH(BF34,BC34:BE34,0)</f>
        <v>3</v>
      </c>
      <c r="BH34" s="8" t="n">
        <v>3</v>
      </c>
      <c r="BI34" s="4" t="n">
        <f aca="false">IF(BG34=BH34,0,1)</f>
        <v>0</v>
      </c>
      <c r="BK34" s="8" t="n">
        <v>2</v>
      </c>
      <c r="BL34" s="8" t="n">
        <v>3</v>
      </c>
      <c r="BM34" s="8" t="n">
        <v>3</v>
      </c>
    </row>
    <row r="35" customFormat="false" ht="15" hidden="false" customHeight="false" outlineLevel="0" collapsed="false">
      <c r="A35" s="3" t="n">
        <v>34</v>
      </c>
      <c r="B35" s="3" t="s">
        <v>30</v>
      </c>
      <c r="C35" s="3" t="n">
        <v>1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5</v>
      </c>
      <c r="I35" s="3" t="n">
        <v>4</v>
      </c>
      <c r="J35" s="3" t="n">
        <v>5</v>
      </c>
      <c r="K35" s="3" t="n">
        <v>3</v>
      </c>
      <c r="L35" s="3" t="n">
        <v>5</v>
      </c>
      <c r="M35" s="3" t="n">
        <v>4</v>
      </c>
      <c r="N35" s="3" t="n">
        <v>3</v>
      </c>
      <c r="O35" s="3" t="n">
        <v>3</v>
      </c>
      <c r="P35" s="3" t="n">
        <v>3</v>
      </c>
      <c r="Q35" s="3" t="n">
        <v>6</v>
      </c>
      <c r="R35" s="3" t="n">
        <v>4</v>
      </c>
      <c r="S35" s="3" t="n">
        <v>3</v>
      </c>
      <c r="T35" s="3" t="n">
        <v>0</v>
      </c>
      <c r="U35" s="3" t="n">
        <v>21</v>
      </c>
      <c r="V35" s="3" t="n">
        <v>25375</v>
      </c>
      <c r="W35" s="3" t="n">
        <v>2</v>
      </c>
      <c r="X35" s="3" t="n">
        <v>3</v>
      </c>
      <c r="Y35" s="3" t="n">
        <v>2</v>
      </c>
      <c r="Z35" s="3" t="n">
        <v>3</v>
      </c>
      <c r="AA35" s="4" t="n">
        <f aca="false">IF($B35=AA$1,1,0)</f>
        <v>0</v>
      </c>
      <c r="AB35" s="4" t="n">
        <f aca="false">IF($B35=AB$1,1,0)</f>
        <v>0</v>
      </c>
      <c r="AC35" s="4" t="n">
        <f aca="false">IF($B35=AC$1,1,0)</f>
        <v>0</v>
      </c>
      <c r="AD35" s="4" t="n">
        <f aca="false">IF($B35=AD$1,1,0)</f>
        <v>0</v>
      </c>
      <c r="AE35" s="4" t="n">
        <f aca="false">IF($B35=AE$1,1,0)</f>
        <v>1</v>
      </c>
      <c r="AF35" s="4" t="n">
        <f aca="false">IF($B35=AF$1,1,0)</f>
        <v>0</v>
      </c>
      <c r="AG35" s="4" t="n">
        <f aca="false">IF($B35=AG$1,1,0)</f>
        <v>0</v>
      </c>
      <c r="AH35" s="4" t="n">
        <f aca="false">IF($B35=AH$1,1,0)</f>
        <v>0</v>
      </c>
      <c r="AI35" s="4" t="n">
        <f aca="false">IF($B35=AI$1,1,0)</f>
        <v>0</v>
      </c>
      <c r="AJ35" s="4" t="n">
        <f aca="false">IF($B35=AJ$1,1,0)</f>
        <v>0</v>
      </c>
      <c r="AK35" s="4" t="n">
        <f aca="false">IF($B35=AK$1,1,0)</f>
        <v>0</v>
      </c>
      <c r="AL35" s="4" t="n">
        <f aca="false">IF($B35=AL$1,1,0)</f>
        <v>0</v>
      </c>
      <c r="AM35" s="4" t="n">
        <f aca="false">IF($B35=AM$1,1,0)</f>
        <v>0</v>
      </c>
      <c r="AN35" s="4" t="n">
        <f aca="false">IF($B35=AN$1,1,0)</f>
        <v>0</v>
      </c>
      <c r="AO35" s="4" t="n">
        <f aca="false">IF($B35=AO$1,1,0)</f>
        <v>0</v>
      </c>
      <c r="AP35" s="4" t="n">
        <f aca="false">IF($B35=AP$1,1,0)</f>
        <v>0</v>
      </c>
      <c r="AQ35" s="4" t="n">
        <f aca="false">IF($B35=AQ$1,1,0)</f>
        <v>0</v>
      </c>
      <c r="AR35" s="4" t="n">
        <f aca="false">IF($B35=AR$1,1,0)</f>
        <v>0</v>
      </c>
      <c r="AS35" s="4" t="n">
        <f aca="false">IF($B35=AS$1,1,0)</f>
        <v>0</v>
      </c>
      <c r="AT35" s="4" t="n">
        <f aca="false">IF($B35=AT$1,1,0)</f>
        <v>0</v>
      </c>
      <c r="AW35" s="3" t="s">
        <v>80</v>
      </c>
      <c r="BB35" s="4" t="n">
        <f aca="false">A35</f>
        <v>34</v>
      </c>
      <c r="BC35" s="7" t="n">
        <f aca="false">ABS($T35-$AX$2)+ABS($U35-$AY$2)+ABS($V35-$AZ$2)</f>
        <v>2558.7676056338</v>
      </c>
      <c r="BD35" s="7" t="n">
        <f aca="false">ABS($T35-$AX$3)+ABS($U35-$AY$3)+ABS($V35-$AZ$3)</f>
        <v>21308.7288135593</v>
      </c>
      <c r="BE35" s="7" t="n">
        <f aca="false">ABS($T35-$AX$4)+ABS($U35-$AY$4)+ABS($V35-$AZ$4)</f>
        <v>52440.641509434</v>
      </c>
      <c r="BF35" s="7" t="n">
        <f aca="false">MIN(BC35:BE35)</f>
        <v>2558.7676056338</v>
      </c>
      <c r="BG35" s="4" t="n">
        <f aca="false">MATCH(BF35,BC35:BE35,0)</f>
        <v>1</v>
      </c>
      <c r="BH35" s="8" t="n">
        <v>1</v>
      </c>
      <c r="BI35" s="4" t="n">
        <f aca="false">IF(BG35=BH35,0,1)</f>
        <v>0</v>
      </c>
      <c r="BK35" s="8" t="n">
        <v>1</v>
      </c>
      <c r="BL35" s="8" t="n">
        <v>1</v>
      </c>
      <c r="BM35" s="8" t="n">
        <v>1</v>
      </c>
    </row>
    <row r="36" customFormat="false" ht="15" hidden="false" customHeight="false" outlineLevel="0" collapsed="false">
      <c r="A36" s="3" t="n">
        <v>35</v>
      </c>
      <c r="B36" s="3" t="s">
        <v>30</v>
      </c>
      <c r="C36" s="3" t="n">
        <v>0</v>
      </c>
      <c r="D36" s="3" t="n">
        <v>0</v>
      </c>
      <c r="E36" s="3" t="n">
        <v>1</v>
      </c>
      <c r="F36" s="3" t="n">
        <v>0</v>
      </c>
      <c r="G36" s="3" t="n">
        <v>0</v>
      </c>
      <c r="H36" s="3" t="n">
        <v>5</v>
      </c>
      <c r="I36" s="3" t="n">
        <v>2</v>
      </c>
      <c r="J36" s="3" t="n">
        <v>5</v>
      </c>
      <c r="K36" s="3" t="n">
        <v>5</v>
      </c>
      <c r="L36" s="3" t="n">
        <v>5</v>
      </c>
      <c r="M36" s="3" t="n">
        <v>1</v>
      </c>
      <c r="N36" s="3" t="n">
        <v>5</v>
      </c>
      <c r="O36" s="3" t="n">
        <v>2</v>
      </c>
      <c r="P36" s="3" t="n">
        <v>1</v>
      </c>
      <c r="Q36" s="3" t="n">
        <v>5</v>
      </c>
      <c r="R36" s="3" t="n">
        <v>5</v>
      </c>
      <c r="S36" s="3" t="n">
        <v>3</v>
      </c>
      <c r="T36" s="3" t="n">
        <v>0</v>
      </c>
      <c r="U36" s="3" t="n">
        <v>30</v>
      </c>
      <c r="V36" s="3" t="n">
        <v>41362</v>
      </c>
      <c r="W36" s="3" t="n">
        <v>1</v>
      </c>
      <c r="X36" s="3" t="n">
        <v>4</v>
      </c>
      <c r="Y36" s="3" t="n">
        <v>4</v>
      </c>
      <c r="Z36" s="3" t="n">
        <v>1</v>
      </c>
      <c r="AA36" s="4" t="n">
        <f aca="false">IF($B36=AA$1,1,0)</f>
        <v>0</v>
      </c>
      <c r="AB36" s="4" t="n">
        <f aca="false">IF($B36=AB$1,1,0)</f>
        <v>0</v>
      </c>
      <c r="AC36" s="4" t="n">
        <f aca="false">IF($B36=AC$1,1,0)</f>
        <v>0</v>
      </c>
      <c r="AD36" s="4" t="n">
        <f aca="false">IF($B36=AD$1,1,0)</f>
        <v>0</v>
      </c>
      <c r="AE36" s="4" t="n">
        <f aca="false">IF($B36=AE$1,1,0)</f>
        <v>1</v>
      </c>
      <c r="AF36" s="4" t="n">
        <f aca="false">IF($B36=AF$1,1,0)</f>
        <v>0</v>
      </c>
      <c r="AG36" s="4" t="n">
        <f aca="false">IF($B36=AG$1,1,0)</f>
        <v>0</v>
      </c>
      <c r="AH36" s="4" t="n">
        <f aca="false">IF($B36=AH$1,1,0)</f>
        <v>0</v>
      </c>
      <c r="AI36" s="4" t="n">
        <f aca="false">IF($B36=AI$1,1,0)</f>
        <v>0</v>
      </c>
      <c r="AJ36" s="4" t="n">
        <f aca="false">IF($B36=AJ$1,1,0)</f>
        <v>0</v>
      </c>
      <c r="AK36" s="4" t="n">
        <f aca="false">IF($B36=AK$1,1,0)</f>
        <v>0</v>
      </c>
      <c r="AL36" s="4" t="n">
        <f aca="false">IF($B36=AL$1,1,0)</f>
        <v>0</v>
      </c>
      <c r="AM36" s="4" t="n">
        <f aca="false">IF($B36=AM$1,1,0)</f>
        <v>0</v>
      </c>
      <c r="AN36" s="4" t="n">
        <f aca="false">IF($B36=AN$1,1,0)</f>
        <v>0</v>
      </c>
      <c r="AO36" s="4" t="n">
        <f aca="false">IF($B36=AO$1,1,0)</f>
        <v>0</v>
      </c>
      <c r="AP36" s="4" t="n">
        <f aca="false">IF($B36=AP$1,1,0)</f>
        <v>0</v>
      </c>
      <c r="AQ36" s="4" t="n">
        <f aca="false">IF($B36=AQ$1,1,0)</f>
        <v>0</v>
      </c>
      <c r="AR36" s="4" t="n">
        <f aca="false">IF($B36=AR$1,1,0)</f>
        <v>0</v>
      </c>
      <c r="AS36" s="4" t="n">
        <f aca="false">IF($B36=AS$1,1,0)</f>
        <v>0</v>
      </c>
      <c r="AT36" s="4" t="n">
        <f aca="false">IF($B36=AT$1,1,0)</f>
        <v>0</v>
      </c>
      <c r="BB36" s="4" t="n">
        <f aca="false">A36</f>
        <v>35</v>
      </c>
      <c r="BC36" s="7" t="n">
        <f aca="false">ABS($T36-$AX$2)+ABS($U36-$AY$2)+ABS($V36-$AZ$2)</f>
        <v>18536.7676056338</v>
      </c>
      <c r="BD36" s="7" t="n">
        <f aca="false">ABS($T36-$AX$3)+ABS($U36-$AY$3)+ABS($V36-$AZ$3)</f>
        <v>5312.72881355932</v>
      </c>
      <c r="BE36" s="7" t="n">
        <f aca="false">ABS($T36-$AX$4)+ABS($U36-$AY$4)+ABS($V36-$AZ$4)</f>
        <v>36444.641509434</v>
      </c>
      <c r="BF36" s="7" t="n">
        <f aca="false">MIN(BC36:BE36)</f>
        <v>5312.72881355932</v>
      </c>
      <c r="BG36" s="4" t="n">
        <f aca="false">MATCH(BF36,BC36:BE36,0)</f>
        <v>2</v>
      </c>
      <c r="BH36" s="8" t="n">
        <v>2</v>
      </c>
      <c r="BI36" s="4" t="n">
        <f aca="false">IF(BG36=BH36,0,1)</f>
        <v>0</v>
      </c>
      <c r="BK36" s="8" t="n">
        <v>2</v>
      </c>
      <c r="BL36" s="8" t="n">
        <v>2</v>
      </c>
      <c r="BM36" s="8" t="n">
        <v>2</v>
      </c>
    </row>
    <row r="37" customFormat="false" ht="15" hidden="false" customHeight="false" outlineLevel="0" collapsed="false">
      <c r="A37" s="3" t="n">
        <v>36</v>
      </c>
      <c r="B37" s="3" t="s">
        <v>33</v>
      </c>
      <c r="C37" s="3" t="n">
        <v>0</v>
      </c>
      <c r="D37" s="3" t="n">
        <v>0</v>
      </c>
      <c r="E37" s="3" t="n">
        <v>1</v>
      </c>
      <c r="F37" s="3" t="n">
        <v>0</v>
      </c>
      <c r="G37" s="3" t="n">
        <v>0</v>
      </c>
      <c r="H37" s="3" t="n">
        <v>5</v>
      </c>
      <c r="I37" s="3" t="n">
        <v>5</v>
      </c>
      <c r="J37" s="3" t="n">
        <v>5</v>
      </c>
      <c r="K37" s="3" t="n">
        <v>5</v>
      </c>
      <c r="L37" s="3" t="n">
        <v>5</v>
      </c>
      <c r="M37" s="3" t="n">
        <v>5</v>
      </c>
      <c r="N37" s="3" t="n">
        <v>5</v>
      </c>
      <c r="O37" s="3" t="n">
        <v>5</v>
      </c>
      <c r="P37" s="3" t="n">
        <v>5</v>
      </c>
      <c r="Q37" s="3" t="n">
        <v>5</v>
      </c>
      <c r="R37" s="3" t="n">
        <v>5</v>
      </c>
      <c r="S37" s="3" t="n">
        <v>5</v>
      </c>
      <c r="T37" s="3" t="n">
        <v>0</v>
      </c>
      <c r="U37" s="3" t="n">
        <v>48</v>
      </c>
      <c r="V37" s="3" t="n">
        <v>27646</v>
      </c>
      <c r="W37" s="3" t="n">
        <v>1</v>
      </c>
      <c r="X37" s="3" t="n">
        <v>4</v>
      </c>
      <c r="Y37" s="3" t="n">
        <v>1</v>
      </c>
      <c r="Z37" s="3" t="n">
        <v>1</v>
      </c>
      <c r="AA37" s="4" t="n">
        <f aca="false">IF($B37=AA$1,1,0)</f>
        <v>0</v>
      </c>
      <c r="AB37" s="4" t="n">
        <f aca="false">IF($B37=AB$1,1,0)</f>
        <v>0</v>
      </c>
      <c r="AC37" s="4" t="n">
        <f aca="false">IF($B37=AC$1,1,0)</f>
        <v>0</v>
      </c>
      <c r="AD37" s="4" t="n">
        <f aca="false">IF($B37=AD$1,1,0)</f>
        <v>0</v>
      </c>
      <c r="AE37" s="4" t="n">
        <f aca="false">IF($B37=AE$1,1,0)</f>
        <v>0</v>
      </c>
      <c r="AF37" s="4" t="n">
        <f aca="false">IF($B37=AF$1,1,0)</f>
        <v>0</v>
      </c>
      <c r="AG37" s="4" t="n">
        <f aca="false">IF($B37=AG$1,1,0)</f>
        <v>0</v>
      </c>
      <c r="AH37" s="4" t="n">
        <f aca="false">IF($B37=AH$1,1,0)</f>
        <v>1</v>
      </c>
      <c r="AI37" s="4" t="n">
        <f aca="false">IF($B37=AI$1,1,0)</f>
        <v>0</v>
      </c>
      <c r="AJ37" s="4" t="n">
        <f aca="false">IF($B37=AJ$1,1,0)</f>
        <v>0</v>
      </c>
      <c r="AK37" s="4" t="n">
        <f aca="false">IF($B37=AK$1,1,0)</f>
        <v>0</v>
      </c>
      <c r="AL37" s="4" t="n">
        <f aca="false">IF($B37=AL$1,1,0)</f>
        <v>0</v>
      </c>
      <c r="AM37" s="4" t="n">
        <f aca="false">IF($B37=AM$1,1,0)</f>
        <v>0</v>
      </c>
      <c r="AN37" s="4" t="n">
        <f aca="false">IF($B37=AN$1,1,0)</f>
        <v>0</v>
      </c>
      <c r="AO37" s="4" t="n">
        <f aca="false">IF($B37=AO$1,1,0)</f>
        <v>0</v>
      </c>
      <c r="AP37" s="4" t="n">
        <f aca="false">IF($B37=AP$1,1,0)</f>
        <v>0</v>
      </c>
      <c r="AQ37" s="4" t="n">
        <f aca="false">IF($B37=AQ$1,1,0)</f>
        <v>0</v>
      </c>
      <c r="AR37" s="4" t="n">
        <f aca="false">IF($B37=AR$1,1,0)</f>
        <v>0</v>
      </c>
      <c r="AS37" s="4" t="n">
        <f aca="false">IF($B37=AS$1,1,0)</f>
        <v>0</v>
      </c>
      <c r="AT37" s="4" t="n">
        <f aca="false">IF($B37=AT$1,1,0)</f>
        <v>0</v>
      </c>
      <c r="BB37" s="4" t="n">
        <f aca="false">A37</f>
        <v>36</v>
      </c>
      <c r="BC37" s="7" t="n">
        <f aca="false">ABS($T37-$AX$2)+ABS($U37-$AY$2)+ABS($V37-$AZ$2)</f>
        <v>4821.28873239436</v>
      </c>
      <c r="BD37" s="7" t="n">
        <f aca="false">ABS($T37-$AX$3)+ABS($U37-$AY$3)+ABS($V37-$AZ$3)</f>
        <v>19023.9661016949</v>
      </c>
      <c r="BE37" s="7" t="n">
        <f aca="false">ABS($T37-$AX$4)+ABS($U37-$AY$4)+ABS($V37-$AZ$4)</f>
        <v>50154.6037735849</v>
      </c>
      <c r="BF37" s="7" t="n">
        <f aca="false">MIN(BC37:BE37)</f>
        <v>4821.28873239436</v>
      </c>
      <c r="BG37" s="4" t="n">
        <f aca="false">MATCH(BF37,BC37:BE37,0)</f>
        <v>1</v>
      </c>
      <c r="BH37" s="8" t="n">
        <v>1</v>
      </c>
      <c r="BI37" s="4" t="n">
        <f aca="false">IF(BG37=BH37,0,1)</f>
        <v>0</v>
      </c>
      <c r="BK37" s="8" t="n">
        <v>1</v>
      </c>
      <c r="BL37" s="8" t="n">
        <v>1</v>
      </c>
      <c r="BM37" s="8" t="n">
        <v>1</v>
      </c>
    </row>
    <row r="38" customFormat="false" ht="15" hidden="false" customHeight="false" outlineLevel="0" collapsed="false">
      <c r="A38" s="3" t="n">
        <v>37</v>
      </c>
      <c r="B38" s="3" t="s">
        <v>29</v>
      </c>
      <c r="C38" s="3" t="n">
        <v>1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4</v>
      </c>
      <c r="I38" s="3" t="n">
        <v>4</v>
      </c>
      <c r="J38" s="3" t="n">
        <v>4</v>
      </c>
      <c r="K38" s="3" t="n">
        <v>4</v>
      </c>
      <c r="L38" s="3" t="n">
        <v>5</v>
      </c>
      <c r="M38" s="3" t="n">
        <v>4</v>
      </c>
      <c r="N38" s="3" t="n">
        <v>4</v>
      </c>
      <c r="O38" s="3" t="n">
        <v>3</v>
      </c>
      <c r="P38" s="3" t="n">
        <v>3</v>
      </c>
      <c r="Q38" s="3" t="n">
        <v>4</v>
      </c>
      <c r="R38" s="3" t="n">
        <v>4</v>
      </c>
      <c r="S38" s="3" t="n">
        <v>3</v>
      </c>
      <c r="T38" s="3" t="n">
        <v>0</v>
      </c>
      <c r="U38" s="3" t="n">
        <v>32</v>
      </c>
      <c r="V38" s="3" t="n">
        <v>86649</v>
      </c>
      <c r="W38" s="3" t="n">
        <v>2</v>
      </c>
      <c r="X38" s="3" t="n">
        <v>3</v>
      </c>
      <c r="Y38" s="3" t="n">
        <v>3</v>
      </c>
      <c r="Z38" s="3" t="n">
        <v>3</v>
      </c>
      <c r="AA38" s="4" t="n">
        <f aca="false">IF($B38=AA$1,1,0)</f>
        <v>0</v>
      </c>
      <c r="AB38" s="4" t="n">
        <f aca="false">IF($B38=AB$1,1,0)</f>
        <v>0</v>
      </c>
      <c r="AC38" s="4" t="n">
        <f aca="false">IF($B38=AC$1,1,0)</f>
        <v>0</v>
      </c>
      <c r="AD38" s="4" t="n">
        <f aca="false">IF($B38=AD$1,1,0)</f>
        <v>1</v>
      </c>
      <c r="AE38" s="4" t="n">
        <f aca="false">IF($B38=AE$1,1,0)</f>
        <v>0</v>
      </c>
      <c r="AF38" s="4" t="n">
        <f aca="false">IF($B38=AF$1,1,0)</f>
        <v>0</v>
      </c>
      <c r="AG38" s="4" t="n">
        <f aca="false">IF($B38=AG$1,1,0)</f>
        <v>0</v>
      </c>
      <c r="AH38" s="4" t="n">
        <f aca="false">IF($B38=AH$1,1,0)</f>
        <v>0</v>
      </c>
      <c r="AI38" s="4" t="n">
        <f aca="false">IF($B38=AI$1,1,0)</f>
        <v>0</v>
      </c>
      <c r="AJ38" s="4" t="n">
        <f aca="false">IF($B38=AJ$1,1,0)</f>
        <v>0</v>
      </c>
      <c r="AK38" s="4" t="n">
        <f aca="false">IF($B38=AK$1,1,0)</f>
        <v>0</v>
      </c>
      <c r="AL38" s="4" t="n">
        <f aca="false">IF($B38=AL$1,1,0)</f>
        <v>0</v>
      </c>
      <c r="AM38" s="4" t="n">
        <f aca="false">IF($B38=AM$1,1,0)</f>
        <v>0</v>
      </c>
      <c r="AN38" s="4" t="n">
        <f aca="false">IF($B38=AN$1,1,0)</f>
        <v>0</v>
      </c>
      <c r="AO38" s="4" t="n">
        <f aca="false">IF($B38=AO$1,1,0)</f>
        <v>0</v>
      </c>
      <c r="AP38" s="4" t="n">
        <f aca="false">IF($B38=AP$1,1,0)</f>
        <v>0</v>
      </c>
      <c r="AQ38" s="4" t="n">
        <f aca="false">IF($B38=AQ$1,1,0)</f>
        <v>0</v>
      </c>
      <c r="AR38" s="4" t="n">
        <f aca="false">IF($B38=AR$1,1,0)</f>
        <v>0</v>
      </c>
      <c r="AS38" s="4" t="n">
        <f aca="false">IF($B38=AS$1,1,0)</f>
        <v>0</v>
      </c>
      <c r="AT38" s="4" t="n">
        <f aca="false">IF($B38=AT$1,1,0)</f>
        <v>0</v>
      </c>
      <c r="BB38" s="4" t="n">
        <f aca="false">A38</f>
        <v>37</v>
      </c>
      <c r="BC38" s="7" t="n">
        <f aca="false">ABS($T38-$AX$2)+ABS($U38-$AY$2)+ABS($V38-$AZ$2)</f>
        <v>63821.7676056338</v>
      </c>
      <c r="BD38" s="7" t="n">
        <f aca="false">ABS($T38-$AX$3)+ABS($U38-$AY$3)+ABS($V38-$AZ$3)</f>
        <v>39995.406779661</v>
      </c>
      <c r="BE38" s="7" t="n">
        <f aca="false">ABS($T38-$AX$4)+ABS($U38-$AY$4)+ABS($V38-$AZ$4)</f>
        <v>8864.92452830189</v>
      </c>
      <c r="BF38" s="7" t="n">
        <f aca="false">MIN(BC38:BE38)</f>
        <v>8864.92452830189</v>
      </c>
      <c r="BG38" s="4" t="n">
        <f aca="false">MATCH(BF38,BC38:BE38,0)</f>
        <v>3</v>
      </c>
      <c r="BH38" s="8" t="n">
        <v>3</v>
      </c>
      <c r="BI38" s="4" t="n">
        <f aca="false">IF(BG38=BH38,0,1)</f>
        <v>0</v>
      </c>
      <c r="BK38" s="8" t="n">
        <v>3</v>
      </c>
      <c r="BL38" s="8" t="n">
        <v>3</v>
      </c>
      <c r="BM38" s="8" t="n">
        <v>3</v>
      </c>
    </row>
    <row r="39" customFormat="false" ht="15" hidden="false" customHeight="false" outlineLevel="0" collapsed="false">
      <c r="A39" s="3" t="n">
        <v>38</v>
      </c>
      <c r="B39" s="3" t="s">
        <v>32</v>
      </c>
      <c r="C39" s="3" t="n">
        <v>0</v>
      </c>
      <c r="D39" s="3" t="n">
        <v>0</v>
      </c>
      <c r="E39" s="3" t="n">
        <v>1</v>
      </c>
      <c r="F39" s="3" t="n">
        <v>0</v>
      </c>
      <c r="G39" s="3" t="n">
        <v>0</v>
      </c>
      <c r="H39" s="3" t="n">
        <v>5</v>
      </c>
      <c r="I39" s="3" t="n">
        <v>5</v>
      </c>
      <c r="J39" s="3" t="n">
        <v>5</v>
      </c>
      <c r="K39" s="3" t="n">
        <v>5</v>
      </c>
      <c r="L39" s="3" t="n">
        <v>5</v>
      </c>
      <c r="M39" s="3" t="n">
        <v>5</v>
      </c>
      <c r="N39" s="3" t="n">
        <v>5</v>
      </c>
      <c r="O39" s="3" t="n">
        <v>5</v>
      </c>
      <c r="P39" s="3" t="n">
        <v>4</v>
      </c>
      <c r="Q39" s="3" t="n">
        <v>4</v>
      </c>
      <c r="R39" s="3" t="n">
        <v>5</v>
      </c>
      <c r="S39" s="3" t="n">
        <v>3</v>
      </c>
      <c r="T39" s="3" t="n">
        <v>0</v>
      </c>
      <c r="U39" s="3" t="n">
        <v>49</v>
      </c>
      <c r="V39" s="3" t="n">
        <v>89022</v>
      </c>
      <c r="W39" s="3" t="n">
        <v>1</v>
      </c>
      <c r="X39" s="3" t="n">
        <v>4</v>
      </c>
      <c r="Y39" s="3" t="n">
        <v>1</v>
      </c>
      <c r="Z39" s="3" t="n">
        <v>1</v>
      </c>
      <c r="AA39" s="4" t="n">
        <f aca="false">IF($B39=AA$1,1,0)</f>
        <v>0</v>
      </c>
      <c r="AB39" s="4" t="n">
        <f aca="false">IF($B39=AB$1,1,0)</f>
        <v>0</v>
      </c>
      <c r="AC39" s="4" t="n">
        <f aca="false">IF($B39=AC$1,1,0)</f>
        <v>0</v>
      </c>
      <c r="AD39" s="4" t="n">
        <f aca="false">IF($B39=AD$1,1,0)</f>
        <v>0</v>
      </c>
      <c r="AE39" s="4" t="n">
        <f aca="false">IF($B39=AE$1,1,0)</f>
        <v>0</v>
      </c>
      <c r="AF39" s="4" t="n">
        <f aca="false">IF($B39=AF$1,1,0)</f>
        <v>0</v>
      </c>
      <c r="AG39" s="4" t="n">
        <f aca="false">IF($B39=AG$1,1,0)</f>
        <v>1</v>
      </c>
      <c r="AH39" s="4" t="n">
        <f aca="false">IF($B39=AH$1,1,0)</f>
        <v>0</v>
      </c>
      <c r="AI39" s="4" t="n">
        <f aca="false">IF($B39=AI$1,1,0)</f>
        <v>0</v>
      </c>
      <c r="AJ39" s="4" t="n">
        <f aca="false">IF($B39=AJ$1,1,0)</f>
        <v>0</v>
      </c>
      <c r="AK39" s="4" t="n">
        <f aca="false">IF($B39=AK$1,1,0)</f>
        <v>0</v>
      </c>
      <c r="AL39" s="4" t="n">
        <f aca="false">IF($B39=AL$1,1,0)</f>
        <v>0</v>
      </c>
      <c r="AM39" s="4" t="n">
        <f aca="false">IF($B39=AM$1,1,0)</f>
        <v>0</v>
      </c>
      <c r="AN39" s="4" t="n">
        <f aca="false">IF($B39=AN$1,1,0)</f>
        <v>0</v>
      </c>
      <c r="AO39" s="4" t="n">
        <f aca="false">IF($B39=AO$1,1,0)</f>
        <v>0</v>
      </c>
      <c r="AP39" s="4" t="n">
        <f aca="false">IF($B39=AP$1,1,0)</f>
        <v>0</v>
      </c>
      <c r="AQ39" s="4" t="n">
        <f aca="false">IF($B39=AQ$1,1,0)</f>
        <v>0</v>
      </c>
      <c r="AR39" s="4" t="n">
        <f aca="false">IF($B39=AR$1,1,0)</f>
        <v>0</v>
      </c>
      <c r="AS39" s="4" t="n">
        <f aca="false">IF($B39=AS$1,1,0)</f>
        <v>0</v>
      </c>
      <c r="AT39" s="4" t="n">
        <f aca="false">IF($B39=AT$1,1,0)</f>
        <v>0</v>
      </c>
      <c r="BB39" s="4" t="n">
        <f aca="false">A39</f>
        <v>38</v>
      </c>
      <c r="BC39" s="7" t="n">
        <f aca="false">ABS($T39-$AX$2)+ABS($U39-$AY$2)+ABS($V39-$AZ$2)</f>
        <v>66198.2887323944</v>
      </c>
      <c r="BD39" s="7" t="n">
        <f aca="false">ABS($T39-$AX$3)+ABS($U39-$AY$3)+ABS($V39-$AZ$3)</f>
        <v>42366.6440677966</v>
      </c>
      <c r="BE39" s="7" t="n">
        <f aca="false">ABS($T39-$AX$4)+ABS($U39-$AY$4)+ABS($V39-$AZ$4)</f>
        <v>11234.8867924528</v>
      </c>
      <c r="BF39" s="7" t="n">
        <f aca="false">MIN(BC39:BE39)</f>
        <v>11234.8867924528</v>
      </c>
      <c r="BG39" s="4" t="n">
        <f aca="false">MATCH(BF39,BC39:BE39,0)</f>
        <v>3</v>
      </c>
      <c r="BH39" s="8" t="n">
        <v>3</v>
      </c>
      <c r="BI39" s="4" t="n">
        <f aca="false">IF(BG39=BH39,0,1)</f>
        <v>0</v>
      </c>
      <c r="BK39" s="8" t="n">
        <v>3</v>
      </c>
      <c r="BL39" s="8" t="n">
        <v>3</v>
      </c>
      <c r="BM39" s="8" t="n">
        <v>3</v>
      </c>
    </row>
    <row r="40" customFormat="false" ht="15" hidden="false" customHeight="false" outlineLevel="0" collapsed="false">
      <c r="A40" s="3" t="n">
        <v>39</v>
      </c>
      <c r="B40" s="3" t="s">
        <v>29</v>
      </c>
      <c r="C40" s="3" t="n">
        <v>0</v>
      </c>
      <c r="D40" s="3" t="n">
        <v>1</v>
      </c>
      <c r="E40" s="3" t="n">
        <v>0</v>
      </c>
      <c r="F40" s="3" t="n">
        <v>0</v>
      </c>
      <c r="G40" s="3" t="n">
        <v>4</v>
      </c>
      <c r="H40" s="3" t="n">
        <v>4</v>
      </c>
      <c r="I40" s="3" t="n">
        <v>5</v>
      </c>
      <c r="J40" s="3" t="n">
        <v>4</v>
      </c>
      <c r="K40" s="3" t="n">
        <v>5</v>
      </c>
      <c r="L40" s="3" t="n">
        <v>4</v>
      </c>
      <c r="M40" s="3" t="n">
        <v>3</v>
      </c>
      <c r="N40" s="3" t="n">
        <v>3</v>
      </c>
      <c r="O40" s="3" t="n">
        <v>4</v>
      </c>
      <c r="P40" s="3" t="n">
        <v>2</v>
      </c>
      <c r="Q40" s="3" t="n">
        <v>4</v>
      </c>
      <c r="R40" s="3" t="n">
        <v>4</v>
      </c>
      <c r="S40" s="3" t="n">
        <v>3</v>
      </c>
      <c r="T40" s="3" t="n">
        <v>0</v>
      </c>
      <c r="U40" s="3" t="n">
        <v>50</v>
      </c>
      <c r="V40" s="3" t="n">
        <v>26040</v>
      </c>
      <c r="W40" s="3" t="n">
        <v>1</v>
      </c>
      <c r="X40" s="3" t="n">
        <v>2</v>
      </c>
      <c r="Y40" s="3" t="n">
        <v>1</v>
      </c>
      <c r="Z40" s="3" t="n">
        <v>1</v>
      </c>
      <c r="AA40" s="4" t="n">
        <f aca="false">IF($B40=AA$1,1,0)</f>
        <v>0</v>
      </c>
      <c r="AB40" s="4" t="n">
        <f aca="false">IF($B40=AB$1,1,0)</f>
        <v>0</v>
      </c>
      <c r="AC40" s="4" t="n">
        <f aca="false">IF($B40=AC$1,1,0)</f>
        <v>0</v>
      </c>
      <c r="AD40" s="4" t="n">
        <f aca="false">IF($B40=AD$1,1,0)</f>
        <v>1</v>
      </c>
      <c r="AE40" s="4" t="n">
        <f aca="false">IF($B40=AE$1,1,0)</f>
        <v>0</v>
      </c>
      <c r="AF40" s="4" t="n">
        <f aca="false">IF($B40=AF$1,1,0)</f>
        <v>0</v>
      </c>
      <c r="AG40" s="4" t="n">
        <f aca="false">IF($B40=AG$1,1,0)</f>
        <v>0</v>
      </c>
      <c r="AH40" s="4" t="n">
        <f aca="false">IF($B40=AH$1,1,0)</f>
        <v>0</v>
      </c>
      <c r="AI40" s="4" t="n">
        <f aca="false">IF($B40=AI$1,1,0)</f>
        <v>0</v>
      </c>
      <c r="AJ40" s="4" t="n">
        <f aca="false">IF($B40=AJ$1,1,0)</f>
        <v>0</v>
      </c>
      <c r="AK40" s="4" t="n">
        <f aca="false">IF($B40=AK$1,1,0)</f>
        <v>0</v>
      </c>
      <c r="AL40" s="4" t="n">
        <f aca="false">IF($B40=AL$1,1,0)</f>
        <v>0</v>
      </c>
      <c r="AM40" s="4" t="n">
        <f aca="false">IF($B40=AM$1,1,0)</f>
        <v>0</v>
      </c>
      <c r="AN40" s="4" t="n">
        <f aca="false">IF($B40=AN$1,1,0)</f>
        <v>0</v>
      </c>
      <c r="AO40" s="4" t="n">
        <f aca="false">IF($B40=AO$1,1,0)</f>
        <v>0</v>
      </c>
      <c r="AP40" s="4" t="n">
        <f aca="false">IF($B40=AP$1,1,0)</f>
        <v>0</v>
      </c>
      <c r="AQ40" s="4" t="n">
        <f aca="false">IF($B40=AQ$1,1,0)</f>
        <v>0</v>
      </c>
      <c r="AR40" s="4" t="n">
        <f aca="false">IF($B40=AR$1,1,0)</f>
        <v>0</v>
      </c>
      <c r="AS40" s="4" t="n">
        <f aca="false">IF($B40=AS$1,1,0)</f>
        <v>0</v>
      </c>
      <c r="AT40" s="4" t="n">
        <f aca="false">IF($B40=AT$1,1,0)</f>
        <v>0</v>
      </c>
      <c r="BB40" s="4" t="n">
        <f aca="false">A40</f>
        <v>39</v>
      </c>
      <c r="BC40" s="7" t="n">
        <f aca="false">ABS($T40-$AX$2)+ABS($U40-$AY$2)+ABS($V40-$AZ$2)</f>
        <v>3217.28873239436</v>
      </c>
      <c r="BD40" s="7" t="n">
        <f aca="false">ABS($T40-$AX$3)+ABS($U40-$AY$3)+ABS($V40-$AZ$3)</f>
        <v>20631.9661016949</v>
      </c>
      <c r="BE40" s="7" t="n">
        <f aca="false">ABS($T40-$AX$4)+ABS($U40-$AY$4)+ABS($V40-$AZ$4)</f>
        <v>51762.6037735849</v>
      </c>
      <c r="BF40" s="7" t="n">
        <f aca="false">MIN(BC40:BE40)</f>
        <v>3217.28873239436</v>
      </c>
      <c r="BG40" s="4" t="n">
        <f aca="false">MATCH(BF40,BC40:BE40,0)</f>
        <v>1</v>
      </c>
      <c r="BH40" s="8" t="n">
        <v>1</v>
      </c>
      <c r="BI40" s="4" t="n">
        <f aca="false">IF(BG40=BH40,0,1)</f>
        <v>0</v>
      </c>
      <c r="BK40" s="8" t="n">
        <v>1</v>
      </c>
      <c r="BL40" s="8" t="n">
        <v>1</v>
      </c>
      <c r="BM40" s="8" t="n">
        <v>1</v>
      </c>
    </row>
    <row r="41" customFormat="false" ht="15" hidden="false" customHeight="false" outlineLevel="0" collapsed="false">
      <c r="A41" s="3" t="n">
        <v>40</v>
      </c>
      <c r="B41" s="3" t="s">
        <v>33</v>
      </c>
      <c r="C41" s="3" t="n">
        <v>0</v>
      </c>
      <c r="D41" s="3" t="n">
        <v>0</v>
      </c>
      <c r="E41" s="3" t="n">
        <v>1</v>
      </c>
      <c r="F41" s="3" t="n">
        <v>0</v>
      </c>
      <c r="G41" s="3" t="n">
        <v>0</v>
      </c>
      <c r="H41" s="3" t="n">
        <v>4</v>
      </c>
      <c r="I41" s="3" t="n">
        <v>4</v>
      </c>
      <c r="J41" s="3" t="n">
        <v>4</v>
      </c>
      <c r="K41" s="3" t="n">
        <v>3</v>
      </c>
      <c r="L41" s="3" t="n">
        <v>5</v>
      </c>
      <c r="M41" s="3" t="n">
        <v>4</v>
      </c>
      <c r="N41" s="3" t="n">
        <v>3</v>
      </c>
      <c r="O41" s="3" t="n">
        <v>3</v>
      </c>
      <c r="P41" s="3" t="n">
        <v>4</v>
      </c>
      <c r="Q41" s="3" t="n">
        <v>4</v>
      </c>
      <c r="R41" s="3" t="n">
        <v>4</v>
      </c>
      <c r="S41" s="3" t="n">
        <v>3</v>
      </c>
      <c r="T41" s="3" t="n">
        <v>1</v>
      </c>
      <c r="U41" s="3" t="n">
        <v>50</v>
      </c>
      <c r="V41" s="3" t="n">
        <v>42254</v>
      </c>
      <c r="W41" s="3" t="n">
        <v>3</v>
      </c>
      <c r="X41" s="3" t="n">
        <v>2</v>
      </c>
      <c r="Y41" s="3" t="n">
        <v>4</v>
      </c>
      <c r="Z41" s="3" t="n">
        <v>3</v>
      </c>
      <c r="AA41" s="4" t="n">
        <f aca="false">IF($B41=AA$1,1,0)</f>
        <v>0</v>
      </c>
      <c r="AB41" s="4" t="n">
        <f aca="false">IF($B41=AB$1,1,0)</f>
        <v>0</v>
      </c>
      <c r="AC41" s="4" t="n">
        <f aca="false">IF($B41=AC$1,1,0)</f>
        <v>0</v>
      </c>
      <c r="AD41" s="4" t="n">
        <f aca="false">IF($B41=AD$1,1,0)</f>
        <v>0</v>
      </c>
      <c r="AE41" s="4" t="n">
        <f aca="false">IF($B41=AE$1,1,0)</f>
        <v>0</v>
      </c>
      <c r="AF41" s="4" t="n">
        <f aca="false">IF($B41=AF$1,1,0)</f>
        <v>0</v>
      </c>
      <c r="AG41" s="4" t="n">
        <f aca="false">IF($B41=AG$1,1,0)</f>
        <v>0</v>
      </c>
      <c r="AH41" s="4" t="n">
        <f aca="false">IF($B41=AH$1,1,0)</f>
        <v>1</v>
      </c>
      <c r="AI41" s="4" t="n">
        <f aca="false">IF($B41=AI$1,1,0)</f>
        <v>0</v>
      </c>
      <c r="AJ41" s="4" t="n">
        <f aca="false">IF($B41=AJ$1,1,0)</f>
        <v>0</v>
      </c>
      <c r="AK41" s="4" t="n">
        <f aca="false">IF($B41=AK$1,1,0)</f>
        <v>0</v>
      </c>
      <c r="AL41" s="4" t="n">
        <f aca="false">IF($B41=AL$1,1,0)</f>
        <v>0</v>
      </c>
      <c r="AM41" s="4" t="n">
        <f aca="false">IF($B41=AM$1,1,0)</f>
        <v>0</v>
      </c>
      <c r="AN41" s="4" t="n">
        <f aca="false">IF($B41=AN$1,1,0)</f>
        <v>0</v>
      </c>
      <c r="AO41" s="4" t="n">
        <f aca="false">IF($B41=AO$1,1,0)</f>
        <v>0</v>
      </c>
      <c r="AP41" s="4" t="n">
        <f aca="false">IF($B41=AP$1,1,0)</f>
        <v>0</v>
      </c>
      <c r="AQ41" s="4" t="n">
        <f aca="false">IF($B41=AQ$1,1,0)</f>
        <v>0</v>
      </c>
      <c r="AR41" s="4" t="n">
        <f aca="false">IF($B41=AR$1,1,0)</f>
        <v>0</v>
      </c>
      <c r="AS41" s="4" t="n">
        <f aca="false">IF($B41=AS$1,1,0)</f>
        <v>0</v>
      </c>
      <c r="AT41" s="4" t="n">
        <f aca="false">IF($B41=AT$1,1,0)</f>
        <v>0</v>
      </c>
      <c r="BB41" s="4" t="n">
        <f aca="false">A41</f>
        <v>40</v>
      </c>
      <c r="BC41" s="7" t="n">
        <f aca="false">ABS($T41-$AX$2)+ABS($U41-$AY$2)+ABS($V41-$AZ$2)</f>
        <v>19431.8521126761</v>
      </c>
      <c r="BD41" s="7" t="n">
        <f aca="false">ABS($T41-$AX$3)+ABS($U41-$AY$3)+ABS($V41-$AZ$3)</f>
        <v>4418.59322033899</v>
      </c>
      <c r="BE41" s="7" t="n">
        <f aca="false">ABS($T41-$AX$4)+ABS($U41-$AY$4)+ABS($V41-$AZ$4)</f>
        <v>35549.0754716981</v>
      </c>
      <c r="BF41" s="7" t="n">
        <f aca="false">MIN(BC41:BE41)</f>
        <v>4418.59322033899</v>
      </c>
      <c r="BG41" s="4" t="n">
        <f aca="false">MATCH(BF41,BC41:BE41,0)</f>
        <v>2</v>
      </c>
      <c r="BH41" s="8" t="n">
        <v>2</v>
      </c>
      <c r="BI41" s="4" t="n">
        <f aca="false">IF(BG41=BH41,0,1)</f>
        <v>0</v>
      </c>
      <c r="BK41" s="8" t="n">
        <v>2</v>
      </c>
      <c r="BL41" s="8" t="n">
        <v>2</v>
      </c>
      <c r="BM41" s="8" t="n">
        <v>2</v>
      </c>
    </row>
    <row r="42" customFormat="false" ht="15" hidden="false" customHeight="false" outlineLevel="0" collapsed="false">
      <c r="A42" s="3" t="n">
        <v>41</v>
      </c>
      <c r="B42" s="3" t="s">
        <v>33</v>
      </c>
      <c r="C42" s="3" t="n">
        <v>0</v>
      </c>
      <c r="D42" s="3" t="n">
        <v>0</v>
      </c>
      <c r="E42" s="3" t="n">
        <v>1</v>
      </c>
      <c r="F42" s="3" t="n">
        <v>0</v>
      </c>
      <c r="G42" s="3" t="n">
        <v>0</v>
      </c>
      <c r="H42" s="3" t="n">
        <v>5</v>
      </c>
      <c r="I42" s="3" t="n">
        <v>5</v>
      </c>
      <c r="J42" s="3" t="n">
        <v>5</v>
      </c>
      <c r="K42" s="3" t="n">
        <v>5</v>
      </c>
      <c r="L42" s="3" t="n">
        <v>5</v>
      </c>
      <c r="M42" s="3" t="n">
        <v>5</v>
      </c>
      <c r="N42" s="3" t="n">
        <v>5</v>
      </c>
      <c r="O42" s="3" t="n">
        <v>4</v>
      </c>
      <c r="P42" s="3" t="n">
        <v>5</v>
      </c>
      <c r="Q42" s="3" t="n">
        <v>5</v>
      </c>
      <c r="R42" s="3" t="n">
        <v>5</v>
      </c>
      <c r="S42" s="3" t="n">
        <v>5</v>
      </c>
      <c r="T42" s="3" t="n">
        <v>0</v>
      </c>
      <c r="U42" s="3" t="n">
        <v>29</v>
      </c>
      <c r="V42" s="3" t="n">
        <v>43869</v>
      </c>
      <c r="W42" s="3" t="n">
        <v>1</v>
      </c>
      <c r="X42" s="3" t="n">
        <v>3</v>
      </c>
      <c r="Y42" s="3" t="n">
        <v>2</v>
      </c>
      <c r="Z42" s="3" t="n">
        <v>1</v>
      </c>
      <c r="AA42" s="4" t="n">
        <f aca="false">IF($B42=AA$1,1,0)</f>
        <v>0</v>
      </c>
      <c r="AB42" s="4" t="n">
        <f aca="false">IF($B42=AB$1,1,0)</f>
        <v>0</v>
      </c>
      <c r="AC42" s="4" t="n">
        <f aca="false">IF($B42=AC$1,1,0)</f>
        <v>0</v>
      </c>
      <c r="AD42" s="4" t="n">
        <f aca="false">IF($B42=AD$1,1,0)</f>
        <v>0</v>
      </c>
      <c r="AE42" s="4" t="n">
        <f aca="false">IF($B42=AE$1,1,0)</f>
        <v>0</v>
      </c>
      <c r="AF42" s="4" t="n">
        <f aca="false">IF($B42=AF$1,1,0)</f>
        <v>0</v>
      </c>
      <c r="AG42" s="4" t="n">
        <f aca="false">IF($B42=AG$1,1,0)</f>
        <v>0</v>
      </c>
      <c r="AH42" s="4" t="n">
        <f aca="false">IF($B42=AH$1,1,0)</f>
        <v>1</v>
      </c>
      <c r="AI42" s="4" t="n">
        <f aca="false">IF($B42=AI$1,1,0)</f>
        <v>0</v>
      </c>
      <c r="AJ42" s="4" t="n">
        <f aca="false">IF($B42=AJ$1,1,0)</f>
        <v>0</v>
      </c>
      <c r="AK42" s="4" t="n">
        <f aca="false">IF($B42=AK$1,1,0)</f>
        <v>0</v>
      </c>
      <c r="AL42" s="4" t="n">
        <f aca="false">IF($B42=AL$1,1,0)</f>
        <v>0</v>
      </c>
      <c r="AM42" s="4" t="n">
        <f aca="false">IF($B42=AM$1,1,0)</f>
        <v>0</v>
      </c>
      <c r="AN42" s="4" t="n">
        <f aca="false">IF($B42=AN$1,1,0)</f>
        <v>0</v>
      </c>
      <c r="AO42" s="4" t="n">
        <f aca="false">IF($B42=AO$1,1,0)</f>
        <v>0</v>
      </c>
      <c r="AP42" s="4" t="n">
        <f aca="false">IF($B42=AP$1,1,0)</f>
        <v>0</v>
      </c>
      <c r="AQ42" s="4" t="n">
        <f aca="false">IF($B42=AQ$1,1,0)</f>
        <v>0</v>
      </c>
      <c r="AR42" s="4" t="n">
        <f aca="false">IF($B42=AR$1,1,0)</f>
        <v>0</v>
      </c>
      <c r="AS42" s="4" t="n">
        <f aca="false">IF($B42=AS$1,1,0)</f>
        <v>0</v>
      </c>
      <c r="AT42" s="4" t="n">
        <f aca="false">IF($B42=AT$1,1,0)</f>
        <v>0</v>
      </c>
      <c r="BB42" s="4" t="n">
        <f aca="false">A42</f>
        <v>41</v>
      </c>
      <c r="BC42" s="7" t="n">
        <f aca="false">ABS($T42-$AX$2)+ABS($U42-$AY$2)+ABS($V42-$AZ$2)</f>
        <v>21044.7676056338</v>
      </c>
      <c r="BD42" s="7" t="n">
        <f aca="false">ABS($T42-$AX$3)+ABS($U42-$AY$3)+ABS($V42-$AZ$3)</f>
        <v>2806.72881355932</v>
      </c>
      <c r="BE42" s="7" t="n">
        <f aca="false">ABS($T42-$AX$4)+ABS($U42-$AY$4)+ABS($V42-$AZ$4)</f>
        <v>33938.641509434</v>
      </c>
      <c r="BF42" s="7" t="n">
        <f aca="false">MIN(BC42:BE42)</f>
        <v>2806.72881355932</v>
      </c>
      <c r="BG42" s="4" t="n">
        <f aca="false">MATCH(BF42,BC42:BE42,0)</f>
        <v>2</v>
      </c>
      <c r="BH42" s="8" t="n">
        <v>2</v>
      </c>
      <c r="BI42" s="4" t="n">
        <f aca="false">IF(BG42=BH42,0,1)</f>
        <v>0</v>
      </c>
      <c r="BK42" s="8" t="n">
        <v>2</v>
      </c>
      <c r="BL42" s="8" t="n">
        <v>2</v>
      </c>
      <c r="BM42" s="8" t="n">
        <v>2</v>
      </c>
    </row>
    <row r="43" customFormat="false" ht="15" hidden="false" customHeight="false" outlineLevel="0" collapsed="false">
      <c r="A43" s="3" t="n">
        <v>42</v>
      </c>
      <c r="B43" s="3" t="s">
        <v>29</v>
      </c>
      <c r="C43" s="3" t="n">
        <v>0</v>
      </c>
      <c r="D43" s="3" t="n">
        <v>0</v>
      </c>
      <c r="E43" s="3" t="n">
        <v>1</v>
      </c>
      <c r="F43" s="3" t="n">
        <v>0</v>
      </c>
      <c r="G43" s="3" t="n">
        <v>0</v>
      </c>
      <c r="H43" s="3" t="n">
        <v>4</v>
      </c>
      <c r="I43" s="3" t="n">
        <v>5</v>
      </c>
      <c r="J43" s="3" t="n">
        <v>5</v>
      </c>
      <c r="K43" s="3" t="n">
        <v>5</v>
      </c>
      <c r="L43" s="3" t="n">
        <v>5</v>
      </c>
      <c r="M43" s="3" t="n">
        <v>4</v>
      </c>
      <c r="N43" s="3" t="n">
        <v>4</v>
      </c>
      <c r="O43" s="3" t="n">
        <v>4</v>
      </c>
      <c r="P43" s="3" t="n">
        <v>3</v>
      </c>
      <c r="Q43" s="3" t="n">
        <v>4</v>
      </c>
      <c r="R43" s="3" t="n">
        <v>4</v>
      </c>
      <c r="S43" s="3" t="n">
        <v>3</v>
      </c>
      <c r="T43" s="3" t="n">
        <v>0</v>
      </c>
      <c r="U43" s="3" t="n">
        <v>49</v>
      </c>
      <c r="V43" s="3" t="n">
        <v>49774</v>
      </c>
      <c r="W43" s="3" t="n">
        <v>3</v>
      </c>
      <c r="X43" s="3" t="n">
        <v>2</v>
      </c>
      <c r="Y43" s="3" t="n">
        <v>2</v>
      </c>
      <c r="Z43" s="3" t="n">
        <v>1</v>
      </c>
      <c r="AA43" s="4" t="n">
        <f aca="false">IF($B43=AA$1,1,0)</f>
        <v>0</v>
      </c>
      <c r="AB43" s="4" t="n">
        <f aca="false">IF($B43=AB$1,1,0)</f>
        <v>0</v>
      </c>
      <c r="AC43" s="4" t="n">
        <f aca="false">IF($B43=AC$1,1,0)</f>
        <v>0</v>
      </c>
      <c r="AD43" s="4" t="n">
        <f aca="false">IF($B43=AD$1,1,0)</f>
        <v>1</v>
      </c>
      <c r="AE43" s="4" t="n">
        <f aca="false">IF($B43=AE$1,1,0)</f>
        <v>0</v>
      </c>
      <c r="AF43" s="4" t="n">
        <f aca="false">IF($B43=AF$1,1,0)</f>
        <v>0</v>
      </c>
      <c r="AG43" s="4" t="n">
        <f aca="false">IF($B43=AG$1,1,0)</f>
        <v>0</v>
      </c>
      <c r="AH43" s="4" t="n">
        <f aca="false">IF($B43=AH$1,1,0)</f>
        <v>0</v>
      </c>
      <c r="AI43" s="4" t="n">
        <f aca="false">IF($B43=AI$1,1,0)</f>
        <v>0</v>
      </c>
      <c r="AJ43" s="4" t="n">
        <f aca="false">IF($B43=AJ$1,1,0)</f>
        <v>0</v>
      </c>
      <c r="AK43" s="4" t="n">
        <f aca="false">IF($B43=AK$1,1,0)</f>
        <v>0</v>
      </c>
      <c r="AL43" s="4" t="n">
        <f aca="false">IF($B43=AL$1,1,0)</f>
        <v>0</v>
      </c>
      <c r="AM43" s="4" t="n">
        <f aca="false">IF($B43=AM$1,1,0)</f>
        <v>0</v>
      </c>
      <c r="AN43" s="4" t="n">
        <f aca="false">IF($B43=AN$1,1,0)</f>
        <v>0</v>
      </c>
      <c r="AO43" s="4" t="n">
        <f aca="false">IF($B43=AO$1,1,0)</f>
        <v>0</v>
      </c>
      <c r="AP43" s="4" t="n">
        <f aca="false">IF($B43=AP$1,1,0)</f>
        <v>0</v>
      </c>
      <c r="AQ43" s="4" t="n">
        <f aca="false">IF($B43=AQ$1,1,0)</f>
        <v>0</v>
      </c>
      <c r="AR43" s="4" t="n">
        <f aca="false">IF($B43=AR$1,1,0)</f>
        <v>0</v>
      </c>
      <c r="AS43" s="4" t="n">
        <f aca="false">IF($B43=AS$1,1,0)</f>
        <v>0</v>
      </c>
      <c r="AT43" s="4" t="n">
        <f aca="false">IF($B43=AT$1,1,0)</f>
        <v>0</v>
      </c>
      <c r="BB43" s="4" t="n">
        <f aca="false">A43</f>
        <v>42</v>
      </c>
      <c r="BC43" s="7" t="n">
        <f aca="false">ABS($T43-$AX$2)+ABS($U43-$AY$2)+ABS($V43-$AZ$2)</f>
        <v>26950.2887323944</v>
      </c>
      <c r="BD43" s="7" t="n">
        <f aca="false">ABS($T43-$AX$3)+ABS($U43-$AY$3)+ABS($V43-$AZ$3)</f>
        <v>3118.64406779661</v>
      </c>
      <c r="BE43" s="7" t="n">
        <f aca="false">ABS($T43-$AX$4)+ABS($U43-$AY$4)+ABS($V43-$AZ$4)</f>
        <v>28027.6037735849</v>
      </c>
      <c r="BF43" s="7" t="n">
        <f aca="false">MIN(BC43:BE43)</f>
        <v>3118.64406779661</v>
      </c>
      <c r="BG43" s="4" t="n">
        <f aca="false">MATCH(BF43,BC43:BE43,0)</f>
        <v>2</v>
      </c>
      <c r="BH43" s="8" t="n">
        <v>2</v>
      </c>
      <c r="BI43" s="4" t="n">
        <f aca="false">IF(BG43=BH43,0,1)</f>
        <v>0</v>
      </c>
      <c r="BK43" s="8" t="n">
        <v>2</v>
      </c>
      <c r="BL43" s="8" t="n">
        <v>2</v>
      </c>
      <c r="BM43" s="8" t="n">
        <v>2</v>
      </c>
    </row>
    <row r="44" customFormat="false" ht="15" hidden="false" customHeight="false" outlineLevel="0" collapsed="false">
      <c r="A44" s="3" t="n">
        <v>43</v>
      </c>
      <c r="B44" s="3" t="s">
        <v>29</v>
      </c>
      <c r="C44" s="3" t="n">
        <v>1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4</v>
      </c>
      <c r="I44" s="3" t="n">
        <v>4</v>
      </c>
      <c r="J44" s="3" t="n">
        <v>5</v>
      </c>
      <c r="K44" s="3" t="n">
        <v>5</v>
      </c>
      <c r="L44" s="3" t="n">
        <v>5</v>
      </c>
      <c r="M44" s="3" t="n">
        <v>4</v>
      </c>
      <c r="N44" s="3" t="n">
        <v>4</v>
      </c>
      <c r="O44" s="3" t="n">
        <v>4</v>
      </c>
      <c r="P44" s="3" t="n">
        <v>4</v>
      </c>
      <c r="Q44" s="3" t="n">
        <v>5</v>
      </c>
      <c r="R44" s="3" t="n">
        <v>5</v>
      </c>
      <c r="S44" s="3" t="n">
        <v>4</v>
      </c>
      <c r="T44" s="3" t="n">
        <v>0</v>
      </c>
      <c r="U44" s="3" t="n">
        <v>48</v>
      </c>
      <c r="V44" s="3" t="n">
        <v>40464</v>
      </c>
      <c r="W44" s="3" t="n">
        <v>2</v>
      </c>
      <c r="X44" s="3" t="n">
        <v>3</v>
      </c>
      <c r="Y44" s="3" t="n">
        <v>1</v>
      </c>
      <c r="Z44" s="3" t="n">
        <v>1</v>
      </c>
      <c r="AA44" s="4" t="n">
        <f aca="false">IF($B44=AA$1,1,0)</f>
        <v>0</v>
      </c>
      <c r="AB44" s="4" t="n">
        <f aca="false">IF($B44=AB$1,1,0)</f>
        <v>0</v>
      </c>
      <c r="AC44" s="4" t="n">
        <f aca="false">IF($B44=AC$1,1,0)</f>
        <v>0</v>
      </c>
      <c r="AD44" s="4" t="n">
        <f aca="false">IF($B44=AD$1,1,0)</f>
        <v>1</v>
      </c>
      <c r="AE44" s="4" t="n">
        <f aca="false">IF($B44=AE$1,1,0)</f>
        <v>0</v>
      </c>
      <c r="AF44" s="4" t="n">
        <f aca="false">IF($B44=AF$1,1,0)</f>
        <v>0</v>
      </c>
      <c r="AG44" s="4" t="n">
        <f aca="false">IF($B44=AG$1,1,0)</f>
        <v>0</v>
      </c>
      <c r="AH44" s="4" t="n">
        <f aca="false">IF($B44=AH$1,1,0)</f>
        <v>0</v>
      </c>
      <c r="AI44" s="4" t="n">
        <f aca="false">IF($B44=AI$1,1,0)</f>
        <v>0</v>
      </c>
      <c r="AJ44" s="4" t="n">
        <f aca="false">IF($B44=AJ$1,1,0)</f>
        <v>0</v>
      </c>
      <c r="AK44" s="4" t="n">
        <f aca="false">IF($B44=AK$1,1,0)</f>
        <v>0</v>
      </c>
      <c r="AL44" s="4" t="n">
        <f aca="false">IF($B44=AL$1,1,0)</f>
        <v>0</v>
      </c>
      <c r="AM44" s="4" t="n">
        <f aca="false">IF($B44=AM$1,1,0)</f>
        <v>0</v>
      </c>
      <c r="AN44" s="4" t="n">
        <f aca="false">IF($B44=AN$1,1,0)</f>
        <v>0</v>
      </c>
      <c r="AO44" s="4" t="n">
        <f aca="false">IF($B44=AO$1,1,0)</f>
        <v>0</v>
      </c>
      <c r="AP44" s="4" t="n">
        <f aca="false">IF($B44=AP$1,1,0)</f>
        <v>0</v>
      </c>
      <c r="AQ44" s="4" t="n">
        <f aca="false">IF($B44=AQ$1,1,0)</f>
        <v>0</v>
      </c>
      <c r="AR44" s="4" t="n">
        <f aca="false">IF($B44=AR$1,1,0)</f>
        <v>0</v>
      </c>
      <c r="AS44" s="4" t="n">
        <f aca="false">IF($B44=AS$1,1,0)</f>
        <v>0</v>
      </c>
      <c r="AT44" s="4" t="n">
        <f aca="false">IF($B44=AT$1,1,0)</f>
        <v>0</v>
      </c>
      <c r="BB44" s="4" t="n">
        <f aca="false">A44</f>
        <v>43</v>
      </c>
      <c r="BC44" s="7" t="n">
        <f aca="false">ABS($T44-$AX$2)+ABS($U44-$AY$2)+ABS($V44-$AZ$2)</f>
        <v>17639.2887323944</v>
      </c>
      <c r="BD44" s="7" t="n">
        <f aca="false">ABS($T44-$AX$3)+ABS($U44-$AY$3)+ABS($V44-$AZ$3)</f>
        <v>6205.96610169492</v>
      </c>
      <c r="BE44" s="7" t="n">
        <f aca="false">ABS($T44-$AX$4)+ABS($U44-$AY$4)+ABS($V44-$AZ$4)</f>
        <v>37336.6037735849</v>
      </c>
      <c r="BF44" s="7" t="n">
        <f aca="false">MIN(BC44:BE44)</f>
        <v>6205.96610169492</v>
      </c>
      <c r="BG44" s="4" t="n">
        <f aca="false">MATCH(BF44,BC44:BE44,0)</f>
        <v>2</v>
      </c>
      <c r="BH44" s="8" t="n">
        <v>2</v>
      </c>
      <c r="BI44" s="4" t="n">
        <f aca="false">IF(BG44=BH44,0,1)</f>
        <v>0</v>
      </c>
      <c r="BK44" s="8" t="n">
        <v>2</v>
      </c>
      <c r="BL44" s="8" t="n">
        <v>2</v>
      </c>
      <c r="BM44" s="8" t="n">
        <v>2</v>
      </c>
    </row>
    <row r="45" customFormat="false" ht="15" hidden="false" customHeight="false" outlineLevel="0" collapsed="false">
      <c r="A45" s="3" t="n">
        <v>44</v>
      </c>
      <c r="B45" s="3" t="s">
        <v>39</v>
      </c>
      <c r="C45" s="3" t="n">
        <v>1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5</v>
      </c>
      <c r="I45" s="3" t="n">
        <v>5</v>
      </c>
      <c r="J45" s="3" t="n">
        <v>5</v>
      </c>
      <c r="K45" s="3" t="n">
        <v>5</v>
      </c>
      <c r="L45" s="3" t="n">
        <v>5</v>
      </c>
      <c r="M45" s="3" t="n">
        <v>4</v>
      </c>
      <c r="N45" s="3" t="n">
        <v>2</v>
      </c>
      <c r="O45" s="3" t="n">
        <v>2</v>
      </c>
      <c r="P45" s="3" t="n">
        <v>3</v>
      </c>
      <c r="Q45" s="3" t="n">
        <v>5</v>
      </c>
      <c r="R45" s="3" t="n">
        <v>4</v>
      </c>
      <c r="S45" s="3" t="n">
        <v>3</v>
      </c>
      <c r="T45" s="3" t="n">
        <v>0</v>
      </c>
      <c r="U45" s="3" t="n">
        <v>49</v>
      </c>
      <c r="V45" s="3" t="n">
        <v>39729</v>
      </c>
      <c r="W45" s="3" t="n">
        <v>2</v>
      </c>
      <c r="X45" s="3" t="n">
        <v>3</v>
      </c>
      <c r="Y45" s="3" t="n">
        <v>1</v>
      </c>
      <c r="Z45" s="3" t="n">
        <v>2</v>
      </c>
      <c r="AA45" s="4" t="n">
        <f aca="false">IF($B45=AA$1,1,0)</f>
        <v>0</v>
      </c>
      <c r="AB45" s="4" t="n">
        <f aca="false">IF($B45=AB$1,1,0)</f>
        <v>0</v>
      </c>
      <c r="AC45" s="4" t="n">
        <f aca="false">IF($B45=AC$1,1,0)</f>
        <v>0</v>
      </c>
      <c r="AD45" s="4" t="n">
        <f aca="false">IF($B45=AD$1,1,0)</f>
        <v>0</v>
      </c>
      <c r="AE45" s="4" t="n">
        <f aca="false">IF($B45=AE$1,1,0)</f>
        <v>0</v>
      </c>
      <c r="AF45" s="4" t="n">
        <f aca="false">IF($B45=AF$1,1,0)</f>
        <v>0</v>
      </c>
      <c r="AG45" s="4" t="n">
        <f aca="false">IF($B45=AG$1,1,0)</f>
        <v>0</v>
      </c>
      <c r="AH45" s="4" t="n">
        <f aca="false">IF($B45=AH$1,1,0)</f>
        <v>0</v>
      </c>
      <c r="AI45" s="4" t="n">
        <f aca="false">IF($B45=AI$1,1,0)</f>
        <v>0</v>
      </c>
      <c r="AJ45" s="4" t="n">
        <f aca="false">IF($B45=AJ$1,1,0)</f>
        <v>0</v>
      </c>
      <c r="AK45" s="4" t="n">
        <f aca="false">IF($B45=AK$1,1,0)</f>
        <v>0</v>
      </c>
      <c r="AL45" s="4" t="n">
        <f aca="false">IF($B45=AL$1,1,0)</f>
        <v>0</v>
      </c>
      <c r="AM45" s="4" t="n">
        <f aca="false">IF($B45=AM$1,1,0)</f>
        <v>0</v>
      </c>
      <c r="AN45" s="4" t="n">
        <f aca="false">IF($B45=AN$1,1,0)</f>
        <v>1</v>
      </c>
      <c r="AO45" s="4" t="n">
        <f aca="false">IF($B45=AO$1,1,0)</f>
        <v>0</v>
      </c>
      <c r="AP45" s="4" t="n">
        <f aca="false">IF($B45=AP$1,1,0)</f>
        <v>0</v>
      </c>
      <c r="AQ45" s="4" t="n">
        <f aca="false">IF($B45=AQ$1,1,0)</f>
        <v>0</v>
      </c>
      <c r="AR45" s="4" t="n">
        <f aca="false">IF($B45=AR$1,1,0)</f>
        <v>0</v>
      </c>
      <c r="AS45" s="4" t="n">
        <f aca="false">IF($B45=AS$1,1,0)</f>
        <v>0</v>
      </c>
      <c r="AT45" s="4" t="n">
        <f aca="false">IF($B45=AT$1,1,0)</f>
        <v>0</v>
      </c>
      <c r="BB45" s="4" t="n">
        <f aca="false">A45</f>
        <v>44</v>
      </c>
      <c r="BC45" s="7" t="n">
        <f aca="false">ABS($T45-$AX$2)+ABS($U45-$AY$2)+ABS($V45-$AZ$2)</f>
        <v>16905.2887323944</v>
      </c>
      <c r="BD45" s="7" t="n">
        <f aca="false">ABS($T45-$AX$3)+ABS($U45-$AY$3)+ABS($V45-$AZ$3)</f>
        <v>6941.96610169492</v>
      </c>
      <c r="BE45" s="7" t="n">
        <f aca="false">ABS($T45-$AX$4)+ABS($U45-$AY$4)+ABS($V45-$AZ$4)</f>
        <v>38072.6037735849</v>
      </c>
      <c r="BF45" s="7" t="n">
        <f aca="false">MIN(BC45:BE45)</f>
        <v>6941.96610169492</v>
      </c>
      <c r="BG45" s="4" t="n">
        <f aca="false">MATCH(BF45,BC45:BE45,0)</f>
        <v>2</v>
      </c>
      <c r="BH45" s="8" t="n">
        <v>2</v>
      </c>
      <c r="BI45" s="4" t="n">
        <f aca="false">IF(BG45=BH45,0,1)</f>
        <v>0</v>
      </c>
      <c r="BK45" s="8" t="n">
        <v>2</v>
      </c>
      <c r="BL45" s="8" t="n">
        <v>2</v>
      </c>
      <c r="BM45" s="8" t="n">
        <v>2</v>
      </c>
    </row>
    <row r="46" customFormat="false" ht="15" hidden="false" customHeight="false" outlineLevel="0" collapsed="false">
      <c r="A46" s="3" t="n">
        <v>45</v>
      </c>
      <c r="B46" s="3" t="s">
        <v>35</v>
      </c>
      <c r="C46" s="3" t="n">
        <v>1</v>
      </c>
      <c r="D46" s="3" t="n">
        <v>0</v>
      </c>
      <c r="E46" s="3" t="n">
        <v>0</v>
      </c>
      <c r="F46" s="3" t="n">
        <v>0</v>
      </c>
      <c r="G46" s="3" t="n">
        <v>1</v>
      </c>
      <c r="H46" s="3" t="n">
        <v>5</v>
      </c>
      <c r="I46" s="3" t="n">
        <v>4</v>
      </c>
      <c r="J46" s="3" t="n">
        <v>5</v>
      </c>
      <c r="K46" s="3" t="n">
        <v>5</v>
      </c>
      <c r="L46" s="3" t="n">
        <v>5</v>
      </c>
      <c r="M46" s="3" t="n">
        <v>4</v>
      </c>
      <c r="N46" s="3" t="n">
        <v>3</v>
      </c>
      <c r="O46" s="3" t="n">
        <v>3</v>
      </c>
      <c r="P46" s="3" t="n">
        <v>3</v>
      </c>
      <c r="Q46" s="3" t="n">
        <v>4</v>
      </c>
      <c r="R46" s="3" t="n">
        <v>4</v>
      </c>
      <c r="S46" s="3" t="n">
        <v>4</v>
      </c>
      <c r="T46" s="3" t="n">
        <v>0</v>
      </c>
      <c r="U46" s="3" t="n">
        <v>22</v>
      </c>
      <c r="V46" s="3" t="n">
        <v>11102</v>
      </c>
      <c r="W46" s="3" t="n">
        <v>2</v>
      </c>
      <c r="X46" s="3" t="n">
        <v>2</v>
      </c>
      <c r="Y46" s="3" t="n">
        <v>2</v>
      </c>
      <c r="Z46" s="3" t="n">
        <v>2</v>
      </c>
      <c r="AA46" s="4" t="n">
        <f aca="false">IF($B46=AA$1,1,0)</f>
        <v>0</v>
      </c>
      <c r="AB46" s="4" t="n">
        <f aca="false">IF($B46=AB$1,1,0)</f>
        <v>0</v>
      </c>
      <c r="AC46" s="4" t="n">
        <f aca="false">IF($B46=AC$1,1,0)</f>
        <v>0</v>
      </c>
      <c r="AD46" s="4" t="n">
        <f aca="false">IF($B46=AD$1,1,0)</f>
        <v>0</v>
      </c>
      <c r="AE46" s="4" t="n">
        <f aca="false">IF($B46=AE$1,1,0)</f>
        <v>0</v>
      </c>
      <c r="AF46" s="4" t="n">
        <f aca="false">IF($B46=AF$1,1,0)</f>
        <v>0</v>
      </c>
      <c r="AG46" s="4" t="n">
        <f aca="false">IF($B46=AG$1,1,0)</f>
        <v>0</v>
      </c>
      <c r="AH46" s="4" t="n">
        <f aca="false">IF($B46=AH$1,1,0)</f>
        <v>0</v>
      </c>
      <c r="AI46" s="4" t="n">
        <f aca="false">IF($B46=AI$1,1,0)</f>
        <v>0</v>
      </c>
      <c r="AJ46" s="4" t="n">
        <f aca="false">IF($B46=AJ$1,1,0)</f>
        <v>1</v>
      </c>
      <c r="AK46" s="4" t="n">
        <f aca="false">IF($B46=AK$1,1,0)</f>
        <v>0</v>
      </c>
      <c r="AL46" s="4" t="n">
        <f aca="false">IF($B46=AL$1,1,0)</f>
        <v>0</v>
      </c>
      <c r="AM46" s="4" t="n">
        <f aca="false">IF($B46=AM$1,1,0)</f>
        <v>0</v>
      </c>
      <c r="AN46" s="4" t="n">
        <f aca="false">IF($B46=AN$1,1,0)</f>
        <v>0</v>
      </c>
      <c r="AO46" s="4" t="n">
        <f aca="false">IF($B46=AO$1,1,0)</f>
        <v>0</v>
      </c>
      <c r="AP46" s="4" t="n">
        <f aca="false">IF($B46=AP$1,1,0)</f>
        <v>0</v>
      </c>
      <c r="AQ46" s="4" t="n">
        <f aca="false">IF($B46=AQ$1,1,0)</f>
        <v>0</v>
      </c>
      <c r="AR46" s="4" t="n">
        <f aca="false">IF($B46=AR$1,1,0)</f>
        <v>0</v>
      </c>
      <c r="AS46" s="4" t="n">
        <f aca="false">IF($B46=AS$1,1,0)</f>
        <v>0</v>
      </c>
      <c r="AT46" s="4" t="n">
        <f aca="false">IF($B46=AT$1,1,0)</f>
        <v>0</v>
      </c>
      <c r="BB46" s="4" t="n">
        <f aca="false">A46</f>
        <v>45</v>
      </c>
      <c r="BC46" s="7" t="n">
        <f aca="false">ABS($T46-$AX$2)+ABS($U46-$AY$2)+ABS($V46-$AZ$2)</f>
        <v>11749.1478873239</v>
      </c>
      <c r="BD46" s="7" t="n">
        <f aca="false">ABS($T46-$AX$3)+ABS($U46-$AY$3)+ABS($V46-$AZ$3)</f>
        <v>35580.7288135593</v>
      </c>
      <c r="BE46" s="7" t="n">
        <f aca="false">ABS($T46-$AX$4)+ABS($U46-$AY$4)+ABS($V46-$AZ$4)</f>
        <v>66712.641509434</v>
      </c>
      <c r="BF46" s="7" t="n">
        <f aca="false">MIN(BC46:BE46)</f>
        <v>11749.1478873239</v>
      </c>
      <c r="BG46" s="4" t="n">
        <f aca="false">MATCH(BF46,BC46:BE46,0)</f>
        <v>1</v>
      </c>
      <c r="BH46" s="8" t="n">
        <v>1</v>
      </c>
      <c r="BI46" s="4" t="n">
        <f aca="false">IF(BG46=BH46,0,1)</f>
        <v>0</v>
      </c>
      <c r="BK46" s="8" t="n">
        <v>1</v>
      </c>
      <c r="BL46" s="8" t="n">
        <v>1</v>
      </c>
      <c r="BM46" s="8" t="n">
        <v>1</v>
      </c>
    </row>
    <row r="47" customFormat="false" ht="15" hidden="false" customHeight="false" outlineLevel="0" collapsed="false">
      <c r="A47" s="3" t="n">
        <v>46</v>
      </c>
      <c r="B47" s="3" t="s">
        <v>29</v>
      </c>
      <c r="C47" s="3" t="n">
        <v>1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4</v>
      </c>
      <c r="I47" s="3" t="n">
        <v>5</v>
      </c>
      <c r="J47" s="3" t="n">
        <v>5</v>
      </c>
      <c r="K47" s="3" t="n">
        <v>4</v>
      </c>
      <c r="L47" s="3" t="n">
        <v>5</v>
      </c>
      <c r="M47" s="3" t="n">
        <v>5</v>
      </c>
      <c r="N47" s="3" t="n">
        <v>3</v>
      </c>
      <c r="O47" s="3" t="n">
        <v>4</v>
      </c>
      <c r="P47" s="3" t="n">
        <v>4</v>
      </c>
      <c r="Q47" s="3" t="n">
        <v>5</v>
      </c>
      <c r="R47" s="3" t="n">
        <v>3</v>
      </c>
      <c r="S47" s="3" t="n">
        <v>2</v>
      </c>
      <c r="T47" s="3" t="n">
        <v>0</v>
      </c>
      <c r="U47" s="3" t="n">
        <v>35</v>
      </c>
      <c r="V47" s="3" t="n">
        <v>48537</v>
      </c>
      <c r="W47" s="3" t="n">
        <v>3</v>
      </c>
      <c r="X47" s="3" t="n">
        <v>4</v>
      </c>
      <c r="Y47" s="3" t="n">
        <v>2</v>
      </c>
      <c r="Z47" s="3" t="n">
        <v>2</v>
      </c>
      <c r="AA47" s="4" t="n">
        <f aca="false">IF($B47=AA$1,1,0)</f>
        <v>0</v>
      </c>
      <c r="AB47" s="4" t="n">
        <f aca="false">IF($B47=AB$1,1,0)</f>
        <v>0</v>
      </c>
      <c r="AC47" s="4" t="n">
        <f aca="false">IF($B47=AC$1,1,0)</f>
        <v>0</v>
      </c>
      <c r="AD47" s="4" t="n">
        <f aca="false">IF($B47=AD$1,1,0)</f>
        <v>1</v>
      </c>
      <c r="AE47" s="4" t="n">
        <f aca="false">IF($B47=AE$1,1,0)</f>
        <v>0</v>
      </c>
      <c r="AF47" s="4" t="n">
        <f aca="false">IF($B47=AF$1,1,0)</f>
        <v>0</v>
      </c>
      <c r="AG47" s="4" t="n">
        <f aca="false">IF($B47=AG$1,1,0)</f>
        <v>0</v>
      </c>
      <c r="AH47" s="4" t="n">
        <f aca="false">IF($B47=AH$1,1,0)</f>
        <v>0</v>
      </c>
      <c r="AI47" s="4" t="n">
        <f aca="false">IF($B47=AI$1,1,0)</f>
        <v>0</v>
      </c>
      <c r="AJ47" s="4" t="n">
        <f aca="false">IF($B47=AJ$1,1,0)</f>
        <v>0</v>
      </c>
      <c r="AK47" s="4" t="n">
        <f aca="false">IF($B47=AK$1,1,0)</f>
        <v>0</v>
      </c>
      <c r="AL47" s="4" t="n">
        <f aca="false">IF($B47=AL$1,1,0)</f>
        <v>0</v>
      </c>
      <c r="AM47" s="4" t="n">
        <f aca="false">IF($B47=AM$1,1,0)</f>
        <v>0</v>
      </c>
      <c r="AN47" s="4" t="n">
        <f aca="false">IF($B47=AN$1,1,0)</f>
        <v>0</v>
      </c>
      <c r="AO47" s="4" t="n">
        <f aca="false">IF($B47=AO$1,1,0)</f>
        <v>0</v>
      </c>
      <c r="AP47" s="4" t="n">
        <f aca="false">IF($B47=AP$1,1,0)</f>
        <v>0</v>
      </c>
      <c r="AQ47" s="4" t="n">
        <f aca="false">IF($B47=AQ$1,1,0)</f>
        <v>0</v>
      </c>
      <c r="AR47" s="4" t="n">
        <f aca="false">IF($B47=AR$1,1,0)</f>
        <v>0</v>
      </c>
      <c r="AS47" s="4" t="n">
        <f aca="false">IF($B47=AS$1,1,0)</f>
        <v>0</v>
      </c>
      <c r="AT47" s="4" t="n">
        <f aca="false">IF($B47=AT$1,1,0)</f>
        <v>0</v>
      </c>
      <c r="BB47" s="4" t="n">
        <f aca="false">A47</f>
        <v>46</v>
      </c>
      <c r="BC47" s="7" t="n">
        <f aca="false">ABS($T47-$AX$2)+ABS($U47-$AY$2)+ABS($V47-$AZ$2)</f>
        <v>25706.7676056338</v>
      </c>
      <c r="BD47" s="7" t="n">
        <f aca="false">ABS($T47-$AX$3)+ABS($U47-$AY$3)+ABS($V47-$AZ$3)</f>
        <v>1880.40677966102</v>
      </c>
      <c r="BE47" s="7" t="n">
        <f aca="false">ABS($T47-$AX$4)+ABS($U47-$AY$4)+ABS($V47-$AZ$4)</f>
        <v>29264.641509434</v>
      </c>
      <c r="BF47" s="7" t="n">
        <f aca="false">MIN(BC47:BE47)</f>
        <v>1880.40677966102</v>
      </c>
      <c r="BG47" s="4" t="n">
        <f aca="false">MATCH(BF47,BC47:BE47,0)</f>
        <v>2</v>
      </c>
      <c r="BH47" s="8" t="n">
        <v>2</v>
      </c>
      <c r="BI47" s="4" t="n">
        <f aca="false">IF(BG47=BH47,0,1)</f>
        <v>0</v>
      </c>
      <c r="BK47" s="8" t="n">
        <v>2</v>
      </c>
      <c r="BL47" s="8" t="n">
        <v>2</v>
      </c>
      <c r="BM47" s="8" t="n">
        <v>2</v>
      </c>
    </row>
    <row r="48" customFormat="false" ht="15" hidden="false" customHeight="false" outlineLevel="0" collapsed="false">
      <c r="A48" s="3" t="n">
        <v>47</v>
      </c>
      <c r="B48" s="3" t="s">
        <v>29</v>
      </c>
      <c r="C48" s="3" t="n">
        <v>0</v>
      </c>
      <c r="D48" s="3" t="n">
        <v>0</v>
      </c>
      <c r="E48" s="3" t="n">
        <v>1</v>
      </c>
      <c r="F48" s="3" t="n">
        <v>0</v>
      </c>
      <c r="G48" s="3" t="n">
        <v>0</v>
      </c>
      <c r="H48" s="3" t="n">
        <v>5</v>
      </c>
      <c r="I48" s="3" t="n">
        <v>5</v>
      </c>
      <c r="J48" s="3" t="n">
        <v>4</v>
      </c>
      <c r="K48" s="3" t="n">
        <v>5</v>
      </c>
      <c r="L48" s="3" t="n">
        <v>5</v>
      </c>
      <c r="M48" s="3" t="n">
        <v>5</v>
      </c>
      <c r="N48" s="3" t="n">
        <v>3</v>
      </c>
      <c r="O48" s="3" t="n">
        <v>4</v>
      </c>
      <c r="P48" s="3" t="n">
        <v>3</v>
      </c>
      <c r="Q48" s="3" t="n">
        <v>5</v>
      </c>
      <c r="R48" s="3" t="n">
        <v>4</v>
      </c>
      <c r="S48" s="3" t="n">
        <v>3</v>
      </c>
      <c r="T48" s="3" t="n">
        <v>0</v>
      </c>
      <c r="U48" s="3" t="n">
        <v>56</v>
      </c>
      <c r="V48" s="3" t="n">
        <v>67113</v>
      </c>
      <c r="W48" s="3" t="n">
        <v>2</v>
      </c>
      <c r="X48" s="3" t="n">
        <v>4</v>
      </c>
      <c r="Y48" s="3" t="n">
        <v>2</v>
      </c>
      <c r="Z48" s="3" t="n">
        <v>2</v>
      </c>
      <c r="AA48" s="4" t="n">
        <f aca="false">IF($B48=AA$1,1,0)</f>
        <v>0</v>
      </c>
      <c r="AB48" s="4" t="n">
        <f aca="false">IF($B48=AB$1,1,0)</f>
        <v>0</v>
      </c>
      <c r="AC48" s="4" t="n">
        <f aca="false">IF($B48=AC$1,1,0)</f>
        <v>0</v>
      </c>
      <c r="AD48" s="4" t="n">
        <f aca="false">IF($B48=AD$1,1,0)</f>
        <v>1</v>
      </c>
      <c r="AE48" s="4" t="n">
        <f aca="false">IF($B48=AE$1,1,0)</f>
        <v>0</v>
      </c>
      <c r="AF48" s="4" t="n">
        <f aca="false">IF($B48=AF$1,1,0)</f>
        <v>0</v>
      </c>
      <c r="AG48" s="4" t="n">
        <f aca="false">IF($B48=AG$1,1,0)</f>
        <v>0</v>
      </c>
      <c r="AH48" s="4" t="n">
        <f aca="false">IF($B48=AH$1,1,0)</f>
        <v>0</v>
      </c>
      <c r="AI48" s="4" t="n">
        <f aca="false">IF($B48=AI$1,1,0)</f>
        <v>0</v>
      </c>
      <c r="AJ48" s="4" t="n">
        <f aca="false">IF($B48=AJ$1,1,0)</f>
        <v>0</v>
      </c>
      <c r="AK48" s="4" t="n">
        <f aca="false">IF($B48=AK$1,1,0)</f>
        <v>0</v>
      </c>
      <c r="AL48" s="4" t="n">
        <f aca="false">IF($B48=AL$1,1,0)</f>
        <v>0</v>
      </c>
      <c r="AM48" s="4" t="n">
        <f aca="false">IF($B48=AM$1,1,0)</f>
        <v>0</v>
      </c>
      <c r="AN48" s="4" t="n">
        <f aca="false">IF($B48=AN$1,1,0)</f>
        <v>0</v>
      </c>
      <c r="AO48" s="4" t="n">
        <f aca="false">IF($B48=AO$1,1,0)</f>
        <v>0</v>
      </c>
      <c r="AP48" s="4" t="n">
        <f aca="false">IF($B48=AP$1,1,0)</f>
        <v>0</v>
      </c>
      <c r="AQ48" s="4" t="n">
        <f aca="false">IF($B48=AQ$1,1,0)</f>
        <v>0</v>
      </c>
      <c r="AR48" s="4" t="n">
        <f aca="false">IF($B48=AR$1,1,0)</f>
        <v>0</v>
      </c>
      <c r="AS48" s="4" t="n">
        <f aca="false">IF($B48=AS$1,1,0)</f>
        <v>0</v>
      </c>
      <c r="AT48" s="4" t="n">
        <f aca="false">IF($B48=AT$1,1,0)</f>
        <v>0</v>
      </c>
      <c r="BB48" s="4" t="n">
        <f aca="false">A48</f>
        <v>47</v>
      </c>
      <c r="BC48" s="7" t="n">
        <f aca="false">ABS($T48-$AX$2)+ABS($U48-$AY$2)+ABS($V48-$AZ$2)</f>
        <v>44296.2887323944</v>
      </c>
      <c r="BD48" s="7" t="n">
        <f aca="false">ABS($T48-$AX$3)+ABS($U48-$AY$3)+ABS($V48-$AZ$3)</f>
        <v>20464.6440677966</v>
      </c>
      <c r="BE48" s="7" t="n">
        <f aca="false">ABS($T48-$AX$4)+ABS($U48-$AY$4)+ABS($V48-$AZ$4)</f>
        <v>10695.6037735849</v>
      </c>
      <c r="BF48" s="7" t="n">
        <f aca="false">MIN(BC48:BE48)</f>
        <v>10695.6037735849</v>
      </c>
      <c r="BG48" s="4" t="n">
        <f aca="false">MATCH(BF48,BC48:BE48,0)</f>
        <v>3</v>
      </c>
      <c r="BH48" s="8" t="n">
        <v>3</v>
      </c>
      <c r="BI48" s="4" t="n">
        <f aca="false">IF(BG48=BH48,0,1)</f>
        <v>0</v>
      </c>
      <c r="BK48" s="8" t="n">
        <v>3</v>
      </c>
      <c r="BL48" s="8" t="n">
        <v>3</v>
      </c>
      <c r="BM48" s="8" t="n">
        <v>3</v>
      </c>
    </row>
    <row r="49" customFormat="false" ht="15" hidden="false" customHeight="false" outlineLevel="0" collapsed="false">
      <c r="A49" s="3" t="n">
        <v>48</v>
      </c>
      <c r="B49" s="3" t="s">
        <v>29</v>
      </c>
      <c r="C49" s="3" t="n">
        <v>0</v>
      </c>
      <c r="D49" s="3" t="n">
        <v>0</v>
      </c>
      <c r="E49" s="3" t="n">
        <v>1</v>
      </c>
      <c r="F49" s="3" t="n">
        <v>0</v>
      </c>
      <c r="G49" s="3" t="n">
        <v>0</v>
      </c>
      <c r="H49" s="3" t="n">
        <v>5</v>
      </c>
      <c r="I49" s="3" t="n">
        <v>5</v>
      </c>
      <c r="J49" s="3" t="n">
        <v>5</v>
      </c>
      <c r="K49" s="3" t="n">
        <v>5</v>
      </c>
      <c r="L49" s="3" t="n">
        <v>5</v>
      </c>
      <c r="M49" s="3" t="n">
        <v>5</v>
      </c>
      <c r="N49" s="3" t="n">
        <v>5</v>
      </c>
      <c r="O49" s="3" t="n">
        <v>5</v>
      </c>
      <c r="P49" s="3" t="n">
        <v>5</v>
      </c>
      <c r="Q49" s="3" t="n">
        <v>5</v>
      </c>
      <c r="R49" s="3" t="n">
        <v>5</v>
      </c>
      <c r="S49" s="3" t="n">
        <v>5</v>
      </c>
      <c r="T49" s="3" t="n">
        <v>0</v>
      </c>
      <c r="U49" s="3" t="n">
        <v>34</v>
      </c>
      <c r="V49" s="3" t="n">
        <v>15315</v>
      </c>
      <c r="W49" s="3" t="n">
        <v>3</v>
      </c>
      <c r="X49" s="3" t="n">
        <v>4</v>
      </c>
      <c r="Y49" s="3" t="n">
        <v>1</v>
      </c>
      <c r="Z49" s="3" t="n">
        <v>1</v>
      </c>
      <c r="AA49" s="4" t="n">
        <f aca="false">IF($B49=AA$1,1,0)</f>
        <v>0</v>
      </c>
      <c r="AB49" s="4" t="n">
        <f aca="false">IF($B49=AB$1,1,0)</f>
        <v>0</v>
      </c>
      <c r="AC49" s="4" t="n">
        <f aca="false">IF($B49=AC$1,1,0)</f>
        <v>0</v>
      </c>
      <c r="AD49" s="4" t="n">
        <f aca="false">IF($B49=AD$1,1,0)</f>
        <v>1</v>
      </c>
      <c r="AE49" s="4" t="n">
        <f aca="false">IF($B49=AE$1,1,0)</f>
        <v>0</v>
      </c>
      <c r="AF49" s="4" t="n">
        <f aca="false">IF($B49=AF$1,1,0)</f>
        <v>0</v>
      </c>
      <c r="AG49" s="4" t="n">
        <f aca="false">IF($B49=AG$1,1,0)</f>
        <v>0</v>
      </c>
      <c r="AH49" s="4" t="n">
        <f aca="false">IF($B49=AH$1,1,0)</f>
        <v>0</v>
      </c>
      <c r="AI49" s="4" t="n">
        <f aca="false">IF($B49=AI$1,1,0)</f>
        <v>0</v>
      </c>
      <c r="AJ49" s="4" t="n">
        <f aca="false">IF($B49=AJ$1,1,0)</f>
        <v>0</v>
      </c>
      <c r="AK49" s="4" t="n">
        <f aca="false">IF($B49=AK$1,1,0)</f>
        <v>0</v>
      </c>
      <c r="AL49" s="4" t="n">
        <f aca="false">IF($B49=AL$1,1,0)</f>
        <v>0</v>
      </c>
      <c r="AM49" s="4" t="n">
        <f aca="false">IF($B49=AM$1,1,0)</f>
        <v>0</v>
      </c>
      <c r="AN49" s="4" t="n">
        <f aca="false">IF($B49=AN$1,1,0)</f>
        <v>0</v>
      </c>
      <c r="AO49" s="4" t="n">
        <f aca="false">IF($B49=AO$1,1,0)</f>
        <v>0</v>
      </c>
      <c r="AP49" s="4" t="n">
        <f aca="false">IF($B49=AP$1,1,0)</f>
        <v>0</v>
      </c>
      <c r="AQ49" s="4" t="n">
        <f aca="false">IF($B49=AQ$1,1,0)</f>
        <v>0</v>
      </c>
      <c r="AR49" s="4" t="n">
        <f aca="false">IF($B49=AR$1,1,0)</f>
        <v>0</v>
      </c>
      <c r="AS49" s="4" t="n">
        <f aca="false">IF($B49=AS$1,1,0)</f>
        <v>0</v>
      </c>
      <c r="AT49" s="4" t="n">
        <f aca="false">IF($B49=AT$1,1,0)</f>
        <v>0</v>
      </c>
      <c r="BB49" s="4" t="n">
        <f aca="false">A49</f>
        <v>48</v>
      </c>
      <c r="BC49" s="7" t="n">
        <f aca="false">ABS($T49-$AX$2)+ABS($U49-$AY$2)+ABS($V49-$AZ$2)</f>
        <v>7524.14788732395</v>
      </c>
      <c r="BD49" s="7" t="n">
        <f aca="false">ABS($T49-$AX$3)+ABS($U49-$AY$3)+ABS($V49-$AZ$3)</f>
        <v>31355.7288135593</v>
      </c>
      <c r="BE49" s="7" t="n">
        <f aca="false">ABS($T49-$AX$4)+ABS($U49-$AY$4)+ABS($V49-$AZ$4)</f>
        <v>62487.641509434</v>
      </c>
      <c r="BF49" s="7" t="n">
        <f aca="false">MIN(BC49:BE49)</f>
        <v>7524.14788732395</v>
      </c>
      <c r="BG49" s="4" t="n">
        <f aca="false">MATCH(BF49,BC49:BE49,0)</f>
        <v>1</v>
      </c>
      <c r="BH49" s="8" t="n">
        <v>1</v>
      </c>
      <c r="BI49" s="4" t="n">
        <f aca="false">IF(BG49=BH49,0,1)</f>
        <v>0</v>
      </c>
      <c r="BK49" s="8" t="n">
        <v>1</v>
      </c>
      <c r="BL49" s="8" t="n">
        <v>1</v>
      </c>
      <c r="BM49" s="8" t="n">
        <v>1</v>
      </c>
    </row>
    <row r="50" customFormat="false" ht="15" hidden="false" customHeight="false" outlineLevel="0" collapsed="false">
      <c r="A50" s="3" t="n">
        <v>49</v>
      </c>
      <c r="B50" s="3" t="s">
        <v>29</v>
      </c>
      <c r="C50" s="3" t="n">
        <v>0</v>
      </c>
      <c r="D50" s="3" t="n">
        <v>0</v>
      </c>
      <c r="E50" s="3" t="n">
        <v>1</v>
      </c>
      <c r="F50" s="3" t="n">
        <v>0</v>
      </c>
      <c r="G50" s="3" t="n">
        <v>0</v>
      </c>
      <c r="H50" s="3" t="n">
        <v>5</v>
      </c>
      <c r="I50" s="3" t="n">
        <v>5</v>
      </c>
      <c r="J50" s="3" t="n">
        <v>5</v>
      </c>
      <c r="K50" s="3" t="n">
        <v>5</v>
      </c>
      <c r="L50" s="3" t="n">
        <v>5</v>
      </c>
      <c r="M50" s="3" t="n">
        <v>5</v>
      </c>
      <c r="N50" s="3" t="n">
        <v>3</v>
      </c>
      <c r="O50" s="3" t="n">
        <v>5</v>
      </c>
      <c r="P50" s="3" t="n">
        <v>5</v>
      </c>
      <c r="Q50" s="3" t="n">
        <v>5</v>
      </c>
      <c r="R50" s="3" t="n">
        <v>5</v>
      </c>
      <c r="S50" s="3" t="n">
        <v>3</v>
      </c>
      <c r="T50" s="3" t="n">
        <v>1</v>
      </c>
      <c r="U50" s="3" t="n">
        <v>53</v>
      </c>
      <c r="V50" s="3" t="n">
        <v>50400</v>
      </c>
      <c r="W50" s="3" t="n">
        <v>3</v>
      </c>
      <c r="X50" s="3" t="n">
        <v>2</v>
      </c>
      <c r="Y50" s="3" t="n">
        <v>1</v>
      </c>
      <c r="Z50" s="3" t="n">
        <v>1</v>
      </c>
      <c r="AA50" s="4" t="n">
        <f aca="false">IF($B50=AA$1,1,0)</f>
        <v>0</v>
      </c>
      <c r="AB50" s="4" t="n">
        <f aca="false">IF($B50=AB$1,1,0)</f>
        <v>0</v>
      </c>
      <c r="AC50" s="4" t="n">
        <f aca="false">IF($B50=AC$1,1,0)</f>
        <v>0</v>
      </c>
      <c r="AD50" s="4" t="n">
        <f aca="false">IF($B50=AD$1,1,0)</f>
        <v>1</v>
      </c>
      <c r="AE50" s="4" t="n">
        <f aca="false">IF($B50=AE$1,1,0)</f>
        <v>0</v>
      </c>
      <c r="AF50" s="4" t="n">
        <f aca="false">IF($B50=AF$1,1,0)</f>
        <v>0</v>
      </c>
      <c r="AG50" s="4" t="n">
        <f aca="false">IF($B50=AG$1,1,0)</f>
        <v>0</v>
      </c>
      <c r="AH50" s="4" t="n">
        <f aca="false">IF($B50=AH$1,1,0)</f>
        <v>0</v>
      </c>
      <c r="AI50" s="4" t="n">
        <f aca="false">IF($B50=AI$1,1,0)</f>
        <v>0</v>
      </c>
      <c r="AJ50" s="4" t="n">
        <f aca="false">IF($B50=AJ$1,1,0)</f>
        <v>0</v>
      </c>
      <c r="AK50" s="4" t="n">
        <f aca="false">IF($B50=AK$1,1,0)</f>
        <v>0</v>
      </c>
      <c r="AL50" s="4" t="n">
        <f aca="false">IF($B50=AL$1,1,0)</f>
        <v>0</v>
      </c>
      <c r="AM50" s="4" t="n">
        <f aca="false">IF($B50=AM$1,1,0)</f>
        <v>0</v>
      </c>
      <c r="AN50" s="4" t="n">
        <f aca="false">IF($B50=AN$1,1,0)</f>
        <v>0</v>
      </c>
      <c r="AO50" s="4" t="n">
        <f aca="false">IF($B50=AO$1,1,0)</f>
        <v>0</v>
      </c>
      <c r="AP50" s="4" t="n">
        <f aca="false">IF($B50=AP$1,1,0)</f>
        <v>0</v>
      </c>
      <c r="AQ50" s="4" t="n">
        <f aca="false">IF($B50=AQ$1,1,0)</f>
        <v>0</v>
      </c>
      <c r="AR50" s="4" t="n">
        <f aca="false">IF($B50=AR$1,1,0)</f>
        <v>0</v>
      </c>
      <c r="AS50" s="4" t="n">
        <f aca="false">IF($B50=AS$1,1,0)</f>
        <v>0</v>
      </c>
      <c r="AT50" s="4" t="n">
        <f aca="false">IF($B50=AT$1,1,0)</f>
        <v>0</v>
      </c>
      <c r="BB50" s="4" t="n">
        <f aca="false">A50</f>
        <v>49</v>
      </c>
      <c r="BC50" s="7" t="n">
        <f aca="false">ABS($T50-$AX$2)+ABS($U50-$AY$2)+ABS($V50-$AZ$2)</f>
        <v>27580.8521126761</v>
      </c>
      <c r="BD50" s="7" t="n">
        <f aca="false">ABS($T50-$AX$3)+ABS($U50-$AY$3)+ABS($V50-$AZ$3)</f>
        <v>3749.27118644068</v>
      </c>
      <c r="BE50" s="7" t="n">
        <f aca="false">ABS($T50-$AX$4)+ABS($U50-$AY$4)+ABS($V50-$AZ$4)</f>
        <v>27406.0754716981</v>
      </c>
      <c r="BF50" s="7" t="n">
        <f aca="false">MIN(BC50:BE50)</f>
        <v>3749.27118644068</v>
      </c>
      <c r="BG50" s="4" t="n">
        <f aca="false">MATCH(BF50,BC50:BE50,0)</f>
        <v>2</v>
      </c>
      <c r="BH50" s="8" t="n">
        <v>2</v>
      </c>
      <c r="BI50" s="4" t="n">
        <f aca="false">IF(BG50=BH50,0,1)</f>
        <v>0</v>
      </c>
      <c r="BK50" s="8" t="n">
        <v>2</v>
      </c>
      <c r="BL50" s="8" t="n">
        <v>2</v>
      </c>
      <c r="BM50" s="8" t="n">
        <v>2</v>
      </c>
    </row>
    <row r="51" customFormat="false" ht="15" hidden="false" customHeight="false" outlineLevel="0" collapsed="false">
      <c r="A51" s="3" t="n">
        <v>50</v>
      </c>
      <c r="B51" s="3" t="s">
        <v>29</v>
      </c>
      <c r="C51" s="3" t="n">
        <v>1</v>
      </c>
      <c r="D51" s="3" t="n">
        <v>0</v>
      </c>
      <c r="E51" s="3" t="n">
        <v>0</v>
      </c>
      <c r="F51" s="3" t="n">
        <v>0</v>
      </c>
      <c r="G51" s="3" t="n">
        <v>2</v>
      </c>
      <c r="H51" s="3" t="n">
        <v>4</v>
      </c>
      <c r="I51" s="3" t="n">
        <v>3</v>
      </c>
      <c r="J51" s="3" t="n">
        <v>5</v>
      </c>
      <c r="K51" s="3" t="n">
        <v>4</v>
      </c>
      <c r="L51" s="3" t="n">
        <v>5</v>
      </c>
      <c r="M51" s="3" t="n">
        <v>4</v>
      </c>
      <c r="N51" s="3" t="n">
        <v>3</v>
      </c>
      <c r="O51" s="3" t="n">
        <v>3</v>
      </c>
      <c r="P51" s="3" t="n">
        <v>2</v>
      </c>
      <c r="Q51" s="3" t="n">
        <v>4</v>
      </c>
      <c r="R51" s="3" t="n">
        <v>3</v>
      </c>
      <c r="S51" s="3" t="n">
        <v>3</v>
      </c>
      <c r="T51" s="3" t="n">
        <v>0</v>
      </c>
      <c r="U51" s="3" t="n">
        <v>52</v>
      </c>
      <c r="V51" s="3" t="n">
        <v>33460</v>
      </c>
      <c r="W51" s="3" t="n">
        <v>2</v>
      </c>
      <c r="X51" s="3" t="n">
        <v>4</v>
      </c>
      <c r="Y51" s="3" t="n">
        <v>2</v>
      </c>
      <c r="Z51" s="3" t="n">
        <v>1</v>
      </c>
      <c r="AA51" s="4" t="n">
        <f aca="false">IF($B51=AA$1,1,0)</f>
        <v>0</v>
      </c>
      <c r="AB51" s="4" t="n">
        <f aca="false">IF($B51=AB$1,1,0)</f>
        <v>0</v>
      </c>
      <c r="AC51" s="4" t="n">
        <f aca="false">IF($B51=AC$1,1,0)</f>
        <v>0</v>
      </c>
      <c r="AD51" s="4" t="n">
        <f aca="false">IF($B51=AD$1,1,0)</f>
        <v>1</v>
      </c>
      <c r="AE51" s="4" t="n">
        <f aca="false">IF($B51=AE$1,1,0)</f>
        <v>0</v>
      </c>
      <c r="AF51" s="4" t="n">
        <f aca="false">IF($B51=AF$1,1,0)</f>
        <v>0</v>
      </c>
      <c r="AG51" s="4" t="n">
        <f aca="false">IF($B51=AG$1,1,0)</f>
        <v>0</v>
      </c>
      <c r="AH51" s="4" t="n">
        <f aca="false">IF($B51=AH$1,1,0)</f>
        <v>0</v>
      </c>
      <c r="AI51" s="4" t="n">
        <f aca="false">IF($B51=AI$1,1,0)</f>
        <v>0</v>
      </c>
      <c r="AJ51" s="4" t="n">
        <f aca="false">IF($B51=AJ$1,1,0)</f>
        <v>0</v>
      </c>
      <c r="AK51" s="4" t="n">
        <f aca="false">IF($B51=AK$1,1,0)</f>
        <v>0</v>
      </c>
      <c r="AL51" s="4" t="n">
        <f aca="false">IF($B51=AL$1,1,0)</f>
        <v>0</v>
      </c>
      <c r="AM51" s="4" t="n">
        <f aca="false">IF($B51=AM$1,1,0)</f>
        <v>0</v>
      </c>
      <c r="AN51" s="4" t="n">
        <f aca="false">IF($B51=AN$1,1,0)</f>
        <v>0</v>
      </c>
      <c r="AO51" s="4" t="n">
        <f aca="false">IF($B51=AO$1,1,0)</f>
        <v>0</v>
      </c>
      <c r="AP51" s="4" t="n">
        <f aca="false">IF($B51=AP$1,1,0)</f>
        <v>0</v>
      </c>
      <c r="AQ51" s="4" t="n">
        <f aca="false">IF($B51=AQ$1,1,0)</f>
        <v>0</v>
      </c>
      <c r="AR51" s="4" t="n">
        <f aca="false">IF($B51=AR$1,1,0)</f>
        <v>0</v>
      </c>
      <c r="AS51" s="4" t="n">
        <f aca="false">IF($B51=AS$1,1,0)</f>
        <v>0</v>
      </c>
      <c r="AT51" s="4" t="n">
        <f aca="false">IF($B51=AT$1,1,0)</f>
        <v>0</v>
      </c>
      <c r="BB51" s="4" t="n">
        <f aca="false">A51</f>
        <v>50</v>
      </c>
      <c r="BC51" s="7" t="n">
        <f aca="false">ABS($T51-$AX$2)+ABS($U51-$AY$2)+ABS($V51-$AZ$2)</f>
        <v>10639.2887323944</v>
      </c>
      <c r="BD51" s="7" t="n">
        <f aca="false">ABS($T51-$AX$3)+ABS($U51-$AY$3)+ABS($V51-$AZ$3)</f>
        <v>13213.9661016949</v>
      </c>
      <c r="BE51" s="7" t="n">
        <f aca="false">ABS($T51-$AX$4)+ABS($U51-$AY$4)+ABS($V51-$AZ$4)</f>
        <v>44344.6037735849</v>
      </c>
      <c r="BF51" s="7" t="n">
        <f aca="false">MIN(BC51:BE51)</f>
        <v>10639.2887323944</v>
      </c>
      <c r="BG51" s="4" t="n">
        <f aca="false">MATCH(BF51,BC51:BE51,0)</f>
        <v>1</v>
      </c>
      <c r="BH51" s="8" t="n">
        <v>1</v>
      </c>
      <c r="BI51" s="4" t="n">
        <f aca="false">IF(BG51=BH51,0,1)</f>
        <v>0</v>
      </c>
      <c r="BK51" s="8" t="n">
        <v>2</v>
      </c>
      <c r="BL51" s="8" t="n">
        <v>1</v>
      </c>
      <c r="BM51" s="8" t="n">
        <v>1</v>
      </c>
    </row>
    <row r="52" customFormat="false" ht="15" hidden="false" customHeight="false" outlineLevel="0" collapsed="false">
      <c r="A52" s="3" t="n">
        <v>51</v>
      </c>
      <c r="B52" s="3" t="s">
        <v>41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4</v>
      </c>
      <c r="I52" s="3" t="n">
        <v>4</v>
      </c>
      <c r="J52" s="3" t="n">
        <v>5</v>
      </c>
      <c r="K52" s="3" t="n">
        <v>5</v>
      </c>
      <c r="L52" s="3" t="n">
        <v>5</v>
      </c>
      <c r="M52" s="3" t="n">
        <v>4</v>
      </c>
      <c r="N52" s="3" t="n">
        <v>3</v>
      </c>
      <c r="O52" s="3" t="n">
        <v>2</v>
      </c>
      <c r="P52" s="3" t="n">
        <v>4</v>
      </c>
      <c r="Q52" s="3" t="n">
        <v>5</v>
      </c>
      <c r="R52" s="3" t="n">
        <v>4</v>
      </c>
      <c r="S52" s="3" t="n">
        <v>3</v>
      </c>
      <c r="T52" s="3" t="n">
        <v>1</v>
      </c>
      <c r="U52" s="3" t="n">
        <v>51</v>
      </c>
      <c r="V52" s="3" t="n">
        <v>58698</v>
      </c>
      <c r="W52" s="3" t="n">
        <v>1</v>
      </c>
      <c r="X52" s="3" t="n">
        <v>3</v>
      </c>
      <c r="Y52" s="3" t="n">
        <v>2</v>
      </c>
      <c r="Z52" s="3" t="n">
        <v>2</v>
      </c>
      <c r="AA52" s="4" t="n">
        <f aca="false">IF($B52=AA$1,1,0)</f>
        <v>0</v>
      </c>
      <c r="AB52" s="4" t="n">
        <f aca="false">IF($B52=AB$1,1,0)</f>
        <v>0</v>
      </c>
      <c r="AC52" s="4" t="n">
        <f aca="false">IF($B52=AC$1,1,0)</f>
        <v>0</v>
      </c>
      <c r="AD52" s="4" t="n">
        <f aca="false">IF($B52=AD$1,1,0)</f>
        <v>0</v>
      </c>
      <c r="AE52" s="4" t="n">
        <f aca="false">IF($B52=AE$1,1,0)</f>
        <v>0</v>
      </c>
      <c r="AF52" s="4" t="n">
        <f aca="false">IF($B52=AF$1,1,0)</f>
        <v>0</v>
      </c>
      <c r="AG52" s="4" t="n">
        <f aca="false">IF($B52=AG$1,1,0)</f>
        <v>0</v>
      </c>
      <c r="AH52" s="4" t="n">
        <f aca="false">IF($B52=AH$1,1,0)</f>
        <v>0</v>
      </c>
      <c r="AI52" s="4" t="n">
        <f aca="false">IF($B52=AI$1,1,0)</f>
        <v>0</v>
      </c>
      <c r="AJ52" s="4" t="n">
        <f aca="false">IF($B52=AJ$1,1,0)</f>
        <v>0</v>
      </c>
      <c r="AK52" s="4" t="n">
        <f aca="false">IF($B52=AK$1,1,0)</f>
        <v>0</v>
      </c>
      <c r="AL52" s="4" t="n">
        <f aca="false">IF($B52=AL$1,1,0)</f>
        <v>0</v>
      </c>
      <c r="AM52" s="4" t="n">
        <f aca="false">IF($B52=AM$1,1,0)</f>
        <v>0</v>
      </c>
      <c r="AN52" s="4" t="n">
        <f aca="false">IF($B52=AN$1,1,0)</f>
        <v>0</v>
      </c>
      <c r="AO52" s="4" t="n">
        <f aca="false">IF($B52=AO$1,1,0)</f>
        <v>0</v>
      </c>
      <c r="AP52" s="4" t="n">
        <f aca="false">IF($B52=AP$1,1,0)</f>
        <v>1</v>
      </c>
      <c r="AQ52" s="4" t="n">
        <f aca="false">IF($B52=AQ$1,1,0)</f>
        <v>0</v>
      </c>
      <c r="AR52" s="4" t="n">
        <f aca="false">IF($B52=AR$1,1,0)</f>
        <v>0</v>
      </c>
      <c r="AS52" s="4" t="n">
        <f aca="false">IF($B52=AS$1,1,0)</f>
        <v>0</v>
      </c>
      <c r="AT52" s="4" t="n">
        <f aca="false">IF($B52=AT$1,1,0)</f>
        <v>0</v>
      </c>
      <c r="BB52" s="4" t="n">
        <f aca="false">A52</f>
        <v>51</v>
      </c>
      <c r="BC52" s="7" t="n">
        <f aca="false">ABS($T52-$AX$2)+ABS($U52-$AY$2)+ABS($V52-$AZ$2)</f>
        <v>35876.8521126761</v>
      </c>
      <c r="BD52" s="7" t="n">
        <f aca="false">ABS($T52-$AX$3)+ABS($U52-$AY$3)+ABS($V52-$AZ$3)</f>
        <v>12045.2711864407</v>
      </c>
      <c r="BE52" s="7" t="n">
        <f aca="false">ABS($T52-$AX$4)+ABS($U52-$AY$4)+ABS($V52-$AZ$4)</f>
        <v>19106.0754716981</v>
      </c>
      <c r="BF52" s="7" t="n">
        <f aca="false">MIN(BC52:BE52)</f>
        <v>12045.2711864407</v>
      </c>
      <c r="BG52" s="4" t="n">
        <f aca="false">MATCH(BF52,BC52:BE52,0)</f>
        <v>2</v>
      </c>
      <c r="BH52" s="8" t="n">
        <v>2</v>
      </c>
      <c r="BI52" s="4" t="n">
        <f aca="false">IF(BG52=BH52,0,1)</f>
        <v>0</v>
      </c>
      <c r="BK52" s="8" t="n">
        <v>2</v>
      </c>
      <c r="BL52" s="8" t="n">
        <v>2</v>
      </c>
      <c r="BM52" s="8" t="n">
        <v>2</v>
      </c>
    </row>
    <row r="53" customFormat="false" ht="15" hidden="false" customHeight="false" outlineLevel="0" collapsed="false">
      <c r="A53" s="3" t="n">
        <v>52</v>
      </c>
      <c r="B53" s="3" t="s">
        <v>33</v>
      </c>
      <c r="C53" s="3" t="n">
        <v>1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5</v>
      </c>
      <c r="I53" s="3" t="n">
        <v>5</v>
      </c>
      <c r="J53" s="3" t="n">
        <v>5</v>
      </c>
      <c r="K53" s="3" t="n">
        <v>5</v>
      </c>
      <c r="L53" s="3" t="n">
        <v>5</v>
      </c>
      <c r="M53" s="3" t="n">
        <v>5</v>
      </c>
      <c r="N53" s="3" t="n">
        <v>5</v>
      </c>
      <c r="O53" s="3" t="n">
        <v>5</v>
      </c>
      <c r="P53" s="3" t="n">
        <v>5</v>
      </c>
      <c r="Q53" s="3" t="n">
        <v>5</v>
      </c>
      <c r="R53" s="3" t="n">
        <v>5</v>
      </c>
      <c r="S53" s="3" t="n">
        <v>5</v>
      </c>
      <c r="T53" s="3" t="n">
        <v>0</v>
      </c>
      <c r="U53" s="3" t="n">
        <v>33</v>
      </c>
      <c r="V53" s="3" t="n">
        <v>27951</v>
      </c>
      <c r="W53" s="3" t="n">
        <v>1</v>
      </c>
      <c r="X53" s="3" t="n">
        <v>1</v>
      </c>
      <c r="Y53" s="3" t="n">
        <v>1</v>
      </c>
      <c r="Z53" s="3" t="n">
        <v>1</v>
      </c>
      <c r="AA53" s="4" t="n">
        <f aca="false">IF($B53=AA$1,1,0)</f>
        <v>0</v>
      </c>
      <c r="AB53" s="4" t="n">
        <f aca="false">IF($B53=AB$1,1,0)</f>
        <v>0</v>
      </c>
      <c r="AC53" s="4" t="n">
        <f aca="false">IF($B53=AC$1,1,0)</f>
        <v>0</v>
      </c>
      <c r="AD53" s="4" t="n">
        <f aca="false">IF($B53=AD$1,1,0)</f>
        <v>0</v>
      </c>
      <c r="AE53" s="4" t="n">
        <f aca="false">IF($B53=AE$1,1,0)</f>
        <v>0</v>
      </c>
      <c r="AF53" s="4" t="n">
        <f aca="false">IF($B53=AF$1,1,0)</f>
        <v>0</v>
      </c>
      <c r="AG53" s="4" t="n">
        <f aca="false">IF($B53=AG$1,1,0)</f>
        <v>0</v>
      </c>
      <c r="AH53" s="4" t="n">
        <f aca="false">IF($B53=AH$1,1,0)</f>
        <v>1</v>
      </c>
      <c r="AI53" s="4" t="n">
        <f aca="false">IF($B53=AI$1,1,0)</f>
        <v>0</v>
      </c>
      <c r="AJ53" s="4" t="n">
        <f aca="false">IF($B53=AJ$1,1,0)</f>
        <v>0</v>
      </c>
      <c r="AK53" s="4" t="n">
        <f aca="false">IF($B53=AK$1,1,0)</f>
        <v>0</v>
      </c>
      <c r="AL53" s="4" t="n">
        <f aca="false">IF($B53=AL$1,1,0)</f>
        <v>0</v>
      </c>
      <c r="AM53" s="4" t="n">
        <f aca="false">IF($B53=AM$1,1,0)</f>
        <v>0</v>
      </c>
      <c r="AN53" s="4" t="n">
        <f aca="false">IF($B53=AN$1,1,0)</f>
        <v>0</v>
      </c>
      <c r="AO53" s="4" t="n">
        <f aca="false">IF($B53=AO$1,1,0)</f>
        <v>0</v>
      </c>
      <c r="AP53" s="4" t="n">
        <f aca="false">IF($B53=AP$1,1,0)</f>
        <v>0</v>
      </c>
      <c r="AQ53" s="4" t="n">
        <f aca="false">IF($B53=AQ$1,1,0)</f>
        <v>0</v>
      </c>
      <c r="AR53" s="4" t="n">
        <f aca="false">IF($B53=AR$1,1,0)</f>
        <v>0</v>
      </c>
      <c r="AS53" s="4" t="n">
        <f aca="false">IF($B53=AS$1,1,0)</f>
        <v>0</v>
      </c>
      <c r="AT53" s="4" t="n">
        <f aca="false">IF($B53=AT$1,1,0)</f>
        <v>0</v>
      </c>
      <c r="BB53" s="4" t="n">
        <f aca="false">A53</f>
        <v>52</v>
      </c>
      <c r="BC53" s="7" t="n">
        <f aca="false">ABS($T53-$AX$2)+ABS($U53-$AY$2)+ABS($V53-$AZ$2)</f>
        <v>5122.7676056338</v>
      </c>
      <c r="BD53" s="7" t="n">
        <f aca="false">ABS($T53-$AX$3)+ABS($U53-$AY$3)+ABS($V53-$AZ$3)</f>
        <v>18720.7288135593</v>
      </c>
      <c r="BE53" s="7" t="n">
        <f aca="false">ABS($T53-$AX$4)+ABS($U53-$AY$4)+ABS($V53-$AZ$4)</f>
        <v>49852.641509434</v>
      </c>
      <c r="BF53" s="7" t="n">
        <f aca="false">MIN(BC53:BE53)</f>
        <v>5122.7676056338</v>
      </c>
      <c r="BG53" s="4" t="n">
        <f aca="false">MATCH(BF53,BC53:BE53,0)</f>
        <v>1</v>
      </c>
      <c r="BH53" s="8" t="n">
        <v>1</v>
      </c>
      <c r="BI53" s="4" t="n">
        <f aca="false">IF(BG53=BH53,0,1)</f>
        <v>0</v>
      </c>
      <c r="BK53" s="8" t="n">
        <v>1</v>
      </c>
      <c r="BL53" s="8" t="n">
        <v>1</v>
      </c>
      <c r="BM53" s="8" t="n">
        <v>1</v>
      </c>
    </row>
    <row r="54" customFormat="false" ht="15" hidden="false" customHeight="false" outlineLevel="0" collapsed="false">
      <c r="A54" s="3" t="n">
        <v>53</v>
      </c>
      <c r="B54" s="3" t="s">
        <v>35</v>
      </c>
      <c r="C54" s="3" t="n">
        <v>0</v>
      </c>
      <c r="D54" s="3" t="n">
        <v>0</v>
      </c>
      <c r="E54" s="3" t="n">
        <v>1</v>
      </c>
      <c r="F54" s="3" t="n">
        <v>0</v>
      </c>
      <c r="G54" s="3" t="n">
        <v>0</v>
      </c>
      <c r="H54" s="3" t="n">
        <v>3</v>
      </c>
      <c r="I54" s="3" t="n">
        <v>3</v>
      </c>
      <c r="J54" s="3" t="n">
        <v>4</v>
      </c>
      <c r="K54" s="3" t="n">
        <v>4</v>
      </c>
      <c r="L54" s="3" t="n">
        <v>4</v>
      </c>
      <c r="M54" s="3" t="n">
        <v>4</v>
      </c>
      <c r="N54" s="3" t="n">
        <v>2</v>
      </c>
      <c r="O54" s="3" t="n">
        <v>3</v>
      </c>
      <c r="P54" s="3" t="n">
        <v>3</v>
      </c>
      <c r="Q54" s="3" t="n">
        <v>3</v>
      </c>
      <c r="R54" s="3" t="n">
        <v>4</v>
      </c>
      <c r="S54" s="3" t="n">
        <v>3</v>
      </c>
      <c r="T54" s="3" t="n">
        <v>1</v>
      </c>
      <c r="U54" s="3" t="n">
        <v>69</v>
      </c>
      <c r="V54" s="3" t="n">
        <v>51750</v>
      </c>
      <c r="W54" s="3" t="n">
        <v>2</v>
      </c>
      <c r="X54" s="3" t="n">
        <v>4</v>
      </c>
      <c r="Y54" s="3" t="n">
        <v>2</v>
      </c>
      <c r="Z54" s="3" t="n">
        <v>2</v>
      </c>
      <c r="AA54" s="4" t="n">
        <f aca="false">IF($B54=AA$1,1,0)</f>
        <v>0</v>
      </c>
      <c r="AB54" s="4" t="n">
        <f aca="false">IF($B54=AB$1,1,0)</f>
        <v>0</v>
      </c>
      <c r="AC54" s="4" t="n">
        <f aca="false">IF($B54=AC$1,1,0)</f>
        <v>0</v>
      </c>
      <c r="AD54" s="4" t="n">
        <f aca="false">IF($B54=AD$1,1,0)</f>
        <v>0</v>
      </c>
      <c r="AE54" s="4" t="n">
        <f aca="false">IF($B54=AE$1,1,0)</f>
        <v>0</v>
      </c>
      <c r="AF54" s="4" t="n">
        <f aca="false">IF($B54=AF$1,1,0)</f>
        <v>0</v>
      </c>
      <c r="AG54" s="4" t="n">
        <f aca="false">IF($B54=AG$1,1,0)</f>
        <v>0</v>
      </c>
      <c r="AH54" s="4" t="n">
        <f aca="false">IF($B54=AH$1,1,0)</f>
        <v>0</v>
      </c>
      <c r="AI54" s="4" t="n">
        <f aca="false">IF($B54=AI$1,1,0)</f>
        <v>0</v>
      </c>
      <c r="AJ54" s="4" t="n">
        <f aca="false">IF($B54=AJ$1,1,0)</f>
        <v>1</v>
      </c>
      <c r="AK54" s="4" t="n">
        <f aca="false">IF($B54=AK$1,1,0)</f>
        <v>0</v>
      </c>
      <c r="AL54" s="4" t="n">
        <f aca="false">IF($B54=AL$1,1,0)</f>
        <v>0</v>
      </c>
      <c r="AM54" s="4" t="n">
        <f aca="false">IF($B54=AM$1,1,0)</f>
        <v>0</v>
      </c>
      <c r="AN54" s="4" t="n">
        <f aca="false">IF($B54=AN$1,1,0)</f>
        <v>0</v>
      </c>
      <c r="AO54" s="4" t="n">
        <f aca="false">IF($B54=AO$1,1,0)</f>
        <v>0</v>
      </c>
      <c r="AP54" s="4" t="n">
        <f aca="false">IF($B54=AP$1,1,0)</f>
        <v>0</v>
      </c>
      <c r="AQ54" s="4" t="n">
        <f aca="false">IF($B54=AQ$1,1,0)</f>
        <v>0</v>
      </c>
      <c r="AR54" s="4" t="n">
        <f aca="false">IF($B54=AR$1,1,0)</f>
        <v>0</v>
      </c>
      <c r="AS54" s="4" t="n">
        <f aca="false">IF($B54=AS$1,1,0)</f>
        <v>0</v>
      </c>
      <c r="AT54" s="4" t="n">
        <f aca="false">IF($B54=AT$1,1,0)</f>
        <v>0</v>
      </c>
      <c r="BB54" s="4" t="n">
        <f aca="false">A54</f>
        <v>53</v>
      </c>
      <c r="BC54" s="7" t="n">
        <f aca="false">ABS($T54-$AX$2)+ABS($U54-$AY$2)+ABS($V54-$AZ$2)</f>
        <v>28946.8521126761</v>
      </c>
      <c r="BD54" s="7" t="n">
        <f aca="false">ABS($T54-$AX$3)+ABS($U54-$AY$3)+ABS($V54-$AZ$3)</f>
        <v>5115.27118644068</v>
      </c>
      <c r="BE54" s="7" t="n">
        <f aca="false">ABS($T54-$AX$4)+ABS($U54-$AY$4)+ABS($V54-$AZ$4)</f>
        <v>26072.0754716981</v>
      </c>
      <c r="BF54" s="7" t="n">
        <f aca="false">MIN(BC54:BE54)</f>
        <v>5115.27118644068</v>
      </c>
      <c r="BG54" s="4" t="n">
        <f aca="false">MATCH(BF54,BC54:BE54,0)</f>
        <v>2</v>
      </c>
      <c r="BH54" s="8" t="n">
        <v>2</v>
      </c>
      <c r="BI54" s="4" t="n">
        <f aca="false">IF(BG54=BH54,0,1)</f>
        <v>0</v>
      </c>
      <c r="BK54" s="8" t="n">
        <v>2</v>
      </c>
      <c r="BL54" s="8" t="n">
        <v>2</v>
      </c>
      <c r="BM54" s="8" t="n">
        <v>2</v>
      </c>
    </row>
    <row r="55" customFormat="false" ht="15" hidden="false" customHeight="false" outlineLevel="0" collapsed="false">
      <c r="A55" s="3" t="n">
        <v>54</v>
      </c>
      <c r="B55" s="3" t="s">
        <v>31</v>
      </c>
      <c r="C55" s="3" t="n">
        <v>1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5</v>
      </c>
      <c r="I55" s="3" t="n">
        <v>4</v>
      </c>
      <c r="J55" s="3" t="n">
        <v>5</v>
      </c>
      <c r="K55" s="3" t="n">
        <v>5</v>
      </c>
      <c r="L55" s="3" t="n">
        <v>5</v>
      </c>
      <c r="M55" s="3" t="n">
        <v>5</v>
      </c>
      <c r="N55" s="3" t="n">
        <v>5</v>
      </c>
      <c r="O55" s="3" t="n">
        <v>3</v>
      </c>
      <c r="P55" s="3" t="n">
        <v>5</v>
      </c>
      <c r="Q55" s="3" t="n">
        <v>5</v>
      </c>
      <c r="R55" s="3" t="n">
        <v>4</v>
      </c>
      <c r="S55" s="3" t="n">
        <v>4</v>
      </c>
      <c r="T55" s="3" t="n">
        <v>0</v>
      </c>
      <c r="U55" s="3" t="n">
        <v>52</v>
      </c>
      <c r="V55" s="3" t="n">
        <v>32170</v>
      </c>
      <c r="W55" s="3" t="n">
        <v>3</v>
      </c>
      <c r="X55" s="3" t="n">
        <v>3</v>
      </c>
      <c r="Y55" s="3" t="n">
        <v>2</v>
      </c>
      <c r="Z55" s="3" t="n">
        <v>2</v>
      </c>
      <c r="AA55" s="4" t="n">
        <f aca="false">IF($B55=AA$1,1,0)</f>
        <v>0</v>
      </c>
      <c r="AB55" s="4" t="n">
        <f aca="false">IF($B55=AB$1,1,0)</f>
        <v>0</v>
      </c>
      <c r="AC55" s="4" t="n">
        <f aca="false">IF($B55=AC$1,1,0)</f>
        <v>0</v>
      </c>
      <c r="AD55" s="4" t="n">
        <f aca="false">IF($B55=AD$1,1,0)</f>
        <v>0</v>
      </c>
      <c r="AE55" s="4" t="n">
        <f aca="false">IF($B55=AE$1,1,0)</f>
        <v>0</v>
      </c>
      <c r="AF55" s="4" t="n">
        <f aca="false">IF($B55=AF$1,1,0)</f>
        <v>1</v>
      </c>
      <c r="AG55" s="4" t="n">
        <f aca="false">IF($B55=AG$1,1,0)</f>
        <v>0</v>
      </c>
      <c r="AH55" s="4" t="n">
        <f aca="false">IF($B55=AH$1,1,0)</f>
        <v>0</v>
      </c>
      <c r="AI55" s="4" t="n">
        <f aca="false">IF($B55=AI$1,1,0)</f>
        <v>0</v>
      </c>
      <c r="AJ55" s="4" t="n">
        <f aca="false">IF($B55=AJ$1,1,0)</f>
        <v>0</v>
      </c>
      <c r="AK55" s="4" t="n">
        <f aca="false">IF($B55=AK$1,1,0)</f>
        <v>0</v>
      </c>
      <c r="AL55" s="4" t="n">
        <f aca="false">IF($B55=AL$1,1,0)</f>
        <v>0</v>
      </c>
      <c r="AM55" s="4" t="n">
        <f aca="false">IF($B55=AM$1,1,0)</f>
        <v>0</v>
      </c>
      <c r="AN55" s="4" t="n">
        <f aca="false">IF($B55=AN$1,1,0)</f>
        <v>0</v>
      </c>
      <c r="AO55" s="4" t="n">
        <f aca="false">IF($B55=AO$1,1,0)</f>
        <v>0</v>
      </c>
      <c r="AP55" s="4" t="n">
        <f aca="false">IF($B55=AP$1,1,0)</f>
        <v>0</v>
      </c>
      <c r="AQ55" s="4" t="n">
        <f aca="false">IF($B55=AQ$1,1,0)</f>
        <v>0</v>
      </c>
      <c r="AR55" s="4" t="n">
        <f aca="false">IF($B55=AR$1,1,0)</f>
        <v>0</v>
      </c>
      <c r="AS55" s="4" t="n">
        <f aca="false">IF($B55=AS$1,1,0)</f>
        <v>0</v>
      </c>
      <c r="AT55" s="4" t="n">
        <f aca="false">IF($B55=AT$1,1,0)</f>
        <v>0</v>
      </c>
      <c r="BB55" s="4" t="n">
        <f aca="false">A55</f>
        <v>54</v>
      </c>
      <c r="BC55" s="7" t="n">
        <f aca="false">ABS($T55-$AX$2)+ABS($U55-$AY$2)+ABS($V55-$AZ$2)</f>
        <v>9349.28873239437</v>
      </c>
      <c r="BD55" s="7" t="n">
        <f aca="false">ABS($T55-$AX$3)+ABS($U55-$AY$3)+ABS($V55-$AZ$3)</f>
        <v>14503.9661016949</v>
      </c>
      <c r="BE55" s="7" t="n">
        <f aca="false">ABS($T55-$AX$4)+ABS($U55-$AY$4)+ABS($V55-$AZ$4)</f>
        <v>45634.6037735849</v>
      </c>
      <c r="BF55" s="7" t="n">
        <f aca="false">MIN(BC55:BE55)</f>
        <v>9349.28873239437</v>
      </c>
      <c r="BG55" s="4" t="n">
        <f aca="false">MATCH(BF55,BC55:BE55,0)</f>
        <v>1</v>
      </c>
      <c r="BH55" s="8" t="n">
        <v>1</v>
      </c>
      <c r="BI55" s="4" t="n">
        <f aca="false">IF(BG55=BH55,0,1)</f>
        <v>0</v>
      </c>
      <c r="BK55" s="8" t="n">
        <v>2</v>
      </c>
      <c r="BL55" s="8" t="n">
        <v>1</v>
      </c>
      <c r="BM55" s="8" t="n">
        <v>1</v>
      </c>
    </row>
    <row r="56" customFormat="false" ht="15" hidden="false" customHeight="false" outlineLevel="0" collapsed="false">
      <c r="A56" s="3" t="n">
        <v>55</v>
      </c>
      <c r="B56" s="3" t="s">
        <v>31</v>
      </c>
      <c r="C56" s="3" t="n">
        <v>0</v>
      </c>
      <c r="D56" s="3" t="n">
        <v>1</v>
      </c>
      <c r="E56" s="3" t="n">
        <v>0</v>
      </c>
      <c r="F56" s="3" t="n">
        <v>0</v>
      </c>
      <c r="G56" s="3" t="n">
        <v>0</v>
      </c>
      <c r="H56" s="3" t="n">
        <v>5</v>
      </c>
      <c r="I56" s="3" t="n">
        <v>4</v>
      </c>
      <c r="J56" s="3" t="n">
        <v>4</v>
      </c>
      <c r="K56" s="3" t="n">
        <v>4</v>
      </c>
      <c r="L56" s="3" t="n">
        <v>4</v>
      </c>
      <c r="M56" s="3" t="n">
        <v>3</v>
      </c>
      <c r="N56" s="3" t="n">
        <v>1</v>
      </c>
      <c r="O56" s="3" t="n">
        <v>4</v>
      </c>
      <c r="P56" s="3" t="n">
        <v>3</v>
      </c>
      <c r="Q56" s="3" t="n">
        <v>4</v>
      </c>
      <c r="R56" s="3" t="n">
        <v>4</v>
      </c>
      <c r="S56" s="3" t="n">
        <v>3</v>
      </c>
      <c r="T56" s="3" t="n">
        <v>0</v>
      </c>
      <c r="U56" s="3" t="n">
        <v>34</v>
      </c>
      <c r="V56" s="3" t="n">
        <v>28436</v>
      </c>
      <c r="W56" s="3" t="n">
        <v>2</v>
      </c>
      <c r="X56" s="3" t="n">
        <v>3</v>
      </c>
      <c r="Y56" s="3" t="n">
        <v>2</v>
      </c>
      <c r="Z56" s="3" t="n">
        <v>2</v>
      </c>
      <c r="AA56" s="4" t="n">
        <f aca="false">IF($B56=AA$1,1,0)</f>
        <v>0</v>
      </c>
      <c r="AB56" s="4" t="n">
        <f aca="false">IF($B56=AB$1,1,0)</f>
        <v>0</v>
      </c>
      <c r="AC56" s="4" t="n">
        <f aca="false">IF($B56=AC$1,1,0)</f>
        <v>0</v>
      </c>
      <c r="AD56" s="4" t="n">
        <f aca="false">IF($B56=AD$1,1,0)</f>
        <v>0</v>
      </c>
      <c r="AE56" s="4" t="n">
        <f aca="false">IF($B56=AE$1,1,0)</f>
        <v>0</v>
      </c>
      <c r="AF56" s="4" t="n">
        <f aca="false">IF($B56=AF$1,1,0)</f>
        <v>1</v>
      </c>
      <c r="AG56" s="4" t="n">
        <f aca="false">IF($B56=AG$1,1,0)</f>
        <v>0</v>
      </c>
      <c r="AH56" s="4" t="n">
        <f aca="false">IF($B56=AH$1,1,0)</f>
        <v>0</v>
      </c>
      <c r="AI56" s="4" t="n">
        <f aca="false">IF($B56=AI$1,1,0)</f>
        <v>0</v>
      </c>
      <c r="AJ56" s="4" t="n">
        <f aca="false">IF($B56=AJ$1,1,0)</f>
        <v>0</v>
      </c>
      <c r="AK56" s="4" t="n">
        <f aca="false">IF($B56=AK$1,1,0)</f>
        <v>0</v>
      </c>
      <c r="AL56" s="4" t="n">
        <f aca="false">IF($B56=AL$1,1,0)</f>
        <v>0</v>
      </c>
      <c r="AM56" s="4" t="n">
        <f aca="false">IF($B56=AM$1,1,0)</f>
        <v>0</v>
      </c>
      <c r="AN56" s="4" t="n">
        <f aca="false">IF($B56=AN$1,1,0)</f>
        <v>0</v>
      </c>
      <c r="AO56" s="4" t="n">
        <f aca="false">IF($B56=AO$1,1,0)</f>
        <v>0</v>
      </c>
      <c r="AP56" s="4" t="n">
        <f aca="false">IF($B56=AP$1,1,0)</f>
        <v>0</v>
      </c>
      <c r="AQ56" s="4" t="n">
        <f aca="false">IF($B56=AQ$1,1,0)</f>
        <v>0</v>
      </c>
      <c r="AR56" s="4" t="n">
        <f aca="false">IF($B56=AR$1,1,0)</f>
        <v>0</v>
      </c>
      <c r="AS56" s="4" t="n">
        <f aca="false">IF($B56=AS$1,1,0)</f>
        <v>0</v>
      </c>
      <c r="AT56" s="4" t="n">
        <f aca="false">IF($B56=AT$1,1,0)</f>
        <v>0</v>
      </c>
      <c r="BB56" s="4" t="n">
        <f aca="false">A56</f>
        <v>55</v>
      </c>
      <c r="BC56" s="7" t="n">
        <f aca="false">ABS($T56-$AX$2)+ABS($U56-$AY$2)+ABS($V56-$AZ$2)</f>
        <v>5606.7676056338</v>
      </c>
      <c r="BD56" s="7" t="n">
        <f aca="false">ABS($T56-$AX$3)+ABS($U56-$AY$3)+ABS($V56-$AZ$3)</f>
        <v>18234.7288135593</v>
      </c>
      <c r="BE56" s="7" t="n">
        <f aca="false">ABS($T56-$AX$4)+ABS($U56-$AY$4)+ABS($V56-$AZ$4)</f>
        <v>49366.641509434</v>
      </c>
      <c r="BF56" s="7" t="n">
        <f aca="false">MIN(BC56:BE56)</f>
        <v>5606.7676056338</v>
      </c>
      <c r="BG56" s="4" t="n">
        <f aca="false">MATCH(BF56,BC56:BE56,0)</f>
        <v>1</v>
      </c>
      <c r="BH56" s="8" t="n">
        <v>1</v>
      </c>
      <c r="BI56" s="4" t="n">
        <f aca="false">IF(BG56=BH56,0,1)</f>
        <v>0</v>
      </c>
      <c r="BK56" s="8" t="n">
        <v>1</v>
      </c>
      <c r="BL56" s="8" t="n">
        <v>1</v>
      </c>
      <c r="BM56" s="8" t="n">
        <v>1</v>
      </c>
    </row>
    <row r="57" customFormat="false" ht="15" hidden="false" customHeight="false" outlineLevel="0" collapsed="false">
      <c r="A57" s="3" t="n">
        <v>56</v>
      </c>
      <c r="B57" s="3" t="s">
        <v>33</v>
      </c>
      <c r="C57" s="3" t="n">
        <v>1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5</v>
      </c>
      <c r="I57" s="3" t="n">
        <v>3</v>
      </c>
      <c r="J57" s="3" t="n">
        <v>4</v>
      </c>
      <c r="K57" s="3" t="n">
        <v>5</v>
      </c>
      <c r="L57" s="3" t="n">
        <v>5</v>
      </c>
      <c r="M57" s="3" t="n">
        <v>4</v>
      </c>
      <c r="N57" s="3" t="n">
        <v>5</v>
      </c>
      <c r="O57" s="3" t="n">
        <v>3</v>
      </c>
      <c r="P57" s="3" t="n">
        <v>1</v>
      </c>
      <c r="Q57" s="3" t="n">
        <v>5</v>
      </c>
      <c r="R57" s="3" t="n">
        <v>4</v>
      </c>
      <c r="S57" s="3" t="n">
        <v>4</v>
      </c>
      <c r="T57" s="3" t="n">
        <v>0</v>
      </c>
      <c r="U57" s="3" t="n">
        <v>20</v>
      </c>
      <c r="V57" s="3" t="n">
        <v>19401</v>
      </c>
      <c r="W57" s="3" t="n">
        <v>1</v>
      </c>
      <c r="X57" s="3" t="n">
        <v>3</v>
      </c>
      <c r="Y57" s="3" t="n">
        <v>2</v>
      </c>
      <c r="Z57" s="3" t="n">
        <v>1</v>
      </c>
      <c r="AA57" s="4" t="n">
        <f aca="false">IF($B57=AA$1,1,0)</f>
        <v>0</v>
      </c>
      <c r="AB57" s="4" t="n">
        <f aca="false">IF($B57=AB$1,1,0)</f>
        <v>0</v>
      </c>
      <c r="AC57" s="4" t="n">
        <f aca="false">IF($B57=AC$1,1,0)</f>
        <v>0</v>
      </c>
      <c r="AD57" s="4" t="n">
        <f aca="false">IF($B57=AD$1,1,0)</f>
        <v>0</v>
      </c>
      <c r="AE57" s="4" t="n">
        <f aca="false">IF($B57=AE$1,1,0)</f>
        <v>0</v>
      </c>
      <c r="AF57" s="4" t="n">
        <f aca="false">IF($B57=AF$1,1,0)</f>
        <v>0</v>
      </c>
      <c r="AG57" s="4" t="n">
        <f aca="false">IF($B57=AG$1,1,0)</f>
        <v>0</v>
      </c>
      <c r="AH57" s="4" t="n">
        <f aca="false">IF($B57=AH$1,1,0)</f>
        <v>1</v>
      </c>
      <c r="AI57" s="4" t="n">
        <f aca="false">IF($B57=AI$1,1,0)</f>
        <v>0</v>
      </c>
      <c r="AJ57" s="4" t="n">
        <f aca="false">IF($B57=AJ$1,1,0)</f>
        <v>0</v>
      </c>
      <c r="AK57" s="4" t="n">
        <f aca="false">IF($B57=AK$1,1,0)</f>
        <v>0</v>
      </c>
      <c r="AL57" s="4" t="n">
        <f aca="false">IF($B57=AL$1,1,0)</f>
        <v>0</v>
      </c>
      <c r="AM57" s="4" t="n">
        <f aca="false">IF($B57=AM$1,1,0)</f>
        <v>0</v>
      </c>
      <c r="AN57" s="4" t="n">
        <f aca="false">IF($B57=AN$1,1,0)</f>
        <v>0</v>
      </c>
      <c r="AO57" s="4" t="n">
        <f aca="false">IF($B57=AO$1,1,0)</f>
        <v>0</v>
      </c>
      <c r="AP57" s="4" t="n">
        <f aca="false">IF($B57=AP$1,1,0)</f>
        <v>0</v>
      </c>
      <c r="AQ57" s="4" t="n">
        <f aca="false">IF($B57=AQ$1,1,0)</f>
        <v>0</v>
      </c>
      <c r="AR57" s="4" t="n">
        <f aca="false">IF($B57=AR$1,1,0)</f>
        <v>0</v>
      </c>
      <c r="AS57" s="4" t="n">
        <f aca="false">IF($B57=AS$1,1,0)</f>
        <v>0</v>
      </c>
      <c r="AT57" s="4" t="n">
        <f aca="false">IF($B57=AT$1,1,0)</f>
        <v>0</v>
      </c>
      <c r="BB57" s="4" t="n">
        <f aca="false">A57</f>
        <v>56</v>
      </c>
      <c r="BC57" s="7" t="n">
        <f aca="false">ABS($T57-$AX$2)+ABS($U57-$AY$2)+ABS($V57-$AZ$2)</f>
        <v>3452.14788732395</v>
      </c>
      <c r="BD57" s="7" t="n">
        <f aca="false">ABS($T57-$AX$3)+ABS($U57-$AY$3)+ABS($V57-$AZ$3)</f>
        <v>27283.7288135593</v>
      </c>
      <c r="BE57" s="7" t="n">
        <f aca="false">ABS($T57-$AX$4)+ABS($U57-$AY$4)+ABS($V57-$AZ$4)</f>
        <v>58415.641509434</v>
      </c>
      <c r="BF57" s="7" t="n">
        <f aca="false">MIN(BC57:BE57)</f>
        <v>3452.14788732395</v>
      </c>
      <c r="BG57" s="4" t="n">
        <f aca="false">MATCH(BF57,BC57:BE57,0)</f>
        <v>1</v>
      </c>
      <c r="BH57" s="8" t="n">
        <v>1</v>
      </c>
      <c r="BI57" s="4" t="n">
        <f aca="false">IF(BG57=BH57,0,1)</f>
        <v>0</v>
      </c>
      <c r="BK57" s="8" t="n">
        <v>1</v>
      </c>
      <c r="BL57" s="8" t="n">
        <v>1</v>
      </c>
      <c r="BM57" s="8" t="n">
        <v>1</v>
      </c>
    </row>
    <row r="58" customFormat="false" ht="15" hidden="false" customHeight="false" outlineLevel="0" collapsed="false">
      <c r="A58" s="3" t="n">
        <v>57</v>
      </c>
      <c r="B58" s="3" t="s">
        <v>31</v>
      </c>
      <c r="C58" s="3" t="n">
        <v>1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5</v>
      </c>
      <c r="I58" s="3" t="n">
        <v>4</v>
      </c>
      <c r="J58" s="3" t="n">
        <v>4</v>
      </c>
      <c r="K58" s="3" t="n">
        <v>4</v>
      </c>
      <c r="L58" s="3" t="n">
        <v>4</v>
      </c>
      <c r="M58" s="3" t="n">
        <v>4</v>
      </c>
      <c r="N58" s="3" t="n">
        <v>4</v>
      </c>
      <c r="O58" s="3" t="n">
        <v>4</v>
      </c>
      <c r="P58" s="3" t="n">
        <v>3</v>
      </c>
      <c r="Q58" s="3" t="n">
        <v>3</v>
      </c>
      <c r="R58" s="3" t="n">
        <v>4</v>
      </c>
      <c r="S58" s="3" t="n">
        <v>3</v>
      </c>
      <c r="T58" s="3" t="n">
        <v>1</v>
      </c>
      <c r="U58" s="3" t="n">
        <v>67</v>
      </c>
      <c r="V58" s="3" t="n">
        <v>32272</v>
      </c>
      <c r="W58" s="3" t="n">
        <v>2</v>
      </c>
      <c r="X58" s="3" t="n">
        <v>2</v>
      </c>
      <c r="Y58" s="3" t="n">
        <v>1</v>
      </c>
      <c r="Z58" s="3" t="n">
        <v>2</v>
      </c>
      <c r="AA58" s="4" t="n">
        <f aca="false">IF($B58=AA$1,1,0)</f>
        <v>0</v>
      </c>
      <c r="AB58" s="4" t="n">
        <f aca="false">IF($B58=AB$1,1,0)</f>
        <v>0</v>
      </c>
      <c r="AC58" s="4" t="n">
        <f aca="false">IF($B58=AC$1,1,0)</f>
        <v>0</v>
      </c>
      <c r="AD58" s="4" t="n">
        <f aca="false">IF($B58=AD$1,1,0)</f>
        <v>0</v>
      </c>
      <c r="AE58" s="4" t="n">
        <f aca="false">IF($B58=AE$1,1,0)</f>
        <v>0</v>
      </c>
      <c r="AF58" s="4" t="n">
        <f aca="false">IF($B58=AF$1,1,0)</f>
        <v>1</v>
      </c>
      <c r="AG58" s="4" t="n">
        <f aca="false">IF($B58=AG$1,1,0)</f>
        <v>0</v>
      </c>
      <c r="AH58" s="4" t="n">
        <f aca="false">IF($B58=AH$1,1,0)</f>
        <v>0</v>
      </c>
      <c r="AI58" s="4" t="n">
        <f aca="false">IF($B58=AI$1,1,0)</f>
        <v>0</v>
      </c>
      <c r="AJ58" s="4" t="n">
        <f aca="false">IF($B58=AJ$1,1,0)</f>
        <v>0</v>
      </c>
      <c r="AK58" s="4" t="n">
        <f aca="false">IF($B58=AK$1,1,0)</f>
        <v>0</v>
      </c>
      <c r="AL58" s="4" t="n">
        <f aca="false">IF($B58=AL$1,1,0)</f>
        <v>0</v>
      </c>
      <c r="AM58" s="4" t="n">
        <f aca="false">IF($B58=AM$1,1,0)</f>
        <v>0</v>
      </c>
      <c r="AN58" s="4" t="n">
        <f aca="false">IF($B58=AN$1,1,0)</f>
        <v>0</v>
      </c>
      <c r="AO58" s="4" t="n">
        <f aca="false">IF($B58=AO$1,1,0)</f>
        <v>0</v>
      </c>
      <c r="AP58" s="4" t="n">
        <f aca="false">IF($B58=AP$1,1,0)</f>
        <v>0</v>
      </c>
      <c r="AQ58" s="4" t="n">
        <f aca="false">IF($B58=AQ$1,1,0)</f>
        <v>0</v>
      </c>
      <c r="AR58" s="4" t="n">
        <f aca="false">IF($B58=AR$1,1,0)</f>
        <v>0</v>
      </c>
      <c r="AS58" s="4" t="n">
        <f aca="false">IF($B58=AS$1,1,0)</f>
        <v>0</v>
      </c>
      <c r="AT58" s="4" t="n">
        <f aca="false">IF($B58=AT$1,1,0)</f>
        <v>0</v>
      </c>
      <c r="BB58" s="4" t="n">
        <f aca="false">A58</f>
        <v>57</v>
      </c>
      <c r="BC58" s="7" t="n">
        <f aca="false">ABS($T58-$AX$2)+ABS($U58-$AY$2)+ABS($V58-$AZ$2)</f>
        <v>9466.85211267606</v>
      </c>
      <c r="BD58" s="7" t="n">
        <f aca="false">ABS($T58-$AX$3)+ABS($U58-$AY$3)+ABS($V58-$AZ$3)</f>
        <v>14417.593220339</v>
      </c>
      <c r="BE58" s="7" t="n">
        <f aca="false">ABS($T58-$AX$4)+ABS($U58-$AY$4)+ABS($V58-$AZ$4)</f>
        <v>45548.0754716981</v>
      </c>
      <c r="BF58" s="7" t="n">
        <f aca="false">MIN(BC58:BE58)</f>
        <v>9466.85211267606</v>
      </c>
      <c r="BG58" s="4" t="n">
        <f aca="false">MATCH(BF58,BC58:BE58,0)</f>
        <v>1</v>
      </c>
      <c r="BH58" s="8" t="n">
        <v>1</v>
      </c>
      <c r="BI58" s="4" t="n">
        <f aca="false">IF(BG58=BH58,0,1)</f>
        <v>0</v>
      </c>
      <c r="BK58" s="8" t="n">
        <v>2</v>
      </c>
      <c r="BL58" s="8" t="n">
        <v>1</v>
      </c>
      <c r="BM58" s="8" t="n">
        <v>1</v>
      </c>
    </row>
    <row r="59" customFormat="false" ht="15" hidden="false" customHeight="false" outlineLevel="0" collapsed="false">
      <c r="A59" s="3" t="n">
        <v>58</v>
      </c>
      <c r="B59" s="3" t="s">
        <v>31</v>
      </c>
      <c r="C59" s="3" t="n">
        <v>0</v>
      </c>
      <c r="D59" s="3" t="n">
        <v>0</v>
      </c>
      <c r="E59" s="3" t="n">
        <v>1</v>
      </c>
      <c r="F59" s="3" t="n">
        <v>0</v>
      </c>
      <c r="G59" s="3" t="n">
        <v>0</v>
      </c>
      <c r="H59" s="3" t="n">
        <v>4</v>
      </c>
      <c r="I59" s="3" t="n">
        <v>4</v>
      </c>
      <c r="J59" s="3" t="n">
        <v>4</v>
      </c>
      <c r="K59" s="3" t="n">
        <v>4</v>
      </c>
      <c r="L59" s="3" t="n">
        <v>5</v>
      </c>
      <c r="M59" s="3" t="n">
        <v>4</v>
      </c>
      <c r="N59" s="3" t="n">
        <v>4</v>
      </c>
      <c r="O59" s="3" t="n">
        <v>3</v>
      </c>
      <c r="P59" s="3" t="n">
        <v>4</v>
      </c>
      <c r="Q59" s="3" t="n">
        <v>3</v>
      </c>
      <c r="R59" s="3" t="n">
        <v>4</v>
      </c>
      <c r="S59" s="3" t="n">
        <v>3</v>
      </c>
      <c r="T59" s="3" t="n">
        <v>0</v>
      </c>
      <c r="U59" s="3" t="n">
        <v>54</v>
      </c>
      <c r="V59" s="3" t="n">
        <v>86769</v>
      </c>
      <c r="W59" s="3" t="n">
        <v>2</v>
      </c>
      <c r="X59" s="3" t="n">
        <v>4</v>
      </c>
      <c r="Y59" s="3" t="n">
        <v>2</v>
      </c>
      <c r="Z59" s="3" t="n">
        <v>2</v>
      </c>
      <c r="AA59" s="4" t="n">
        <f aca="false">IF($B59=AA$1,1,0)</f>
        <v>0</v>
      </c>
      <c r="AB59" s="4" t="n">
        <f aca="false">IF($B59=AB$1,1,0)</f>
        <v>0</v>
      </c>
      <c r="AC59" s="4" t="n">
        <f aca="false">IF($B59=AC$1,1,0)</f>
        <v>0</v>
      </c>
      <c r="AD59" s="4" t="n">
        <f aca="false">IF($B59=AD$1,1,0)</f>
        <v>0</v>
      </c>
      <c r="AE59" s="4" t="n">
        <f aca="false">IF($B59=AE$1,1,0)</f>
        <v>0</v>
      </c>
      <c r="AF59" s="4" t="n">
        <f aca="false">IF($B59=AF$1,1,0)</f>
        <v>1</v>
      </c>
      <c r="AG59" s="4" t="n">
        <f aca="false">IF($B59=AG$1,1,0)</f>
        <v>0</v>
      </c>
      <c r="AH59" s="4" t="n">
        <f aca="false">IF($B59=AH$1,1,0)</f>
        <v>0</v>
      </c>
      <c r="AI59" s="4" t="n">
        <f aca="false">IF($B59=AI$1,1,0)</f>
        <v>0</v>
      </c>
      <c r="AJ59" s="4" t="n">
        <f aca="false">IF($B59=AJ$1,1,0)</f>
        <v>0</v>
      </c>
      <c r="AK59" s="4" t="n">
        <f aca="false">IF($B59=AK$1,1,0)</f>
        <v>0</v>
      </c>
      <c r="AL59" s="4" t="n">
        <f aca="false">IF($B59=AL$1,1,0)</f>
        <v>0</v>
      </c>
      <c r="AM59" s="4" t="n">
        <f aca="false">IF($B59=AM$1,1,0)</f>
        <v>0</v>
      </c>
      <c r="AN59" s="4" t="n">
        <f aca="false">IF($B59=AN$1,1,0)</f>
        <v>0</v>
      </c>
      <c r="AO59" s="4" t="n">
        <f aca="false">IF($B59=AO$1,1,0)</f>
        <v>0</v>
      </c>
      <c r="AP59" s="4" t="n">
        <f aca="false">IF($B59=AP$1,1,0)</f>
        <v>0</v>
      </c>
      <c r="AQ59" s="4" t="n">
        <f aca="false">IF($B59=AQ$1,1,0)</f>
        <v>0</v>
      </c>
      <c r="AR59" s="4" t="n">
        <f aca="false">IF($B59=AR$1,1,0)</f>
        <v>0</v>
      </c>
      <c r="AS59" s="4" t="n">
        <f aca="false">IF($B59=AS$1,1,0)</f>
        <v>0</v>
      </c>
      <c r="AT59" s="4" t="n">
        <f aca="false">IF($B59=AT$1,1,0)</f>
        <v>0</v>
      </c>
      <c r="BB59" s="4" t="n">
        <f aca="false">A59</f>
        <v>58</v>
      </c>
      <c r="BC59" s="7" t="n">
        <f aca="false">ABS($T59-$AX$2)+ABS($U59-$AY$2)+ABS($V59-$AZ$2)</f>
        <v>63950.2887323944</v>
      </c>
      <c r="BD59" s="7" t="n">
        <f aca="false">ABS($T59-$AX$3)+ABS($U59-$AY$3)+ABS($V59-$AZ$3)</f>
        <v>40118.6440677966</v>
      </c>
      <c r="BE59" s="7" t="n">
        <f aca="false">ABS($T59-$AX$4)+ABS($U59-$AY$4)+ABS($V59-$AZ$4)</f>
        <v>8986.88679245283</v>
      </c>
      <c r="BF59" s="7" t="n">
        <f aca="false">MIN(BC59:BE59)</f>
        <v>8986.88679245283</v>
      </c>
      <c r="BG59" s="4" t="n">
        <f aca="false">MATCH(BF59,BC59:BE59,0)</f>
        <v>3</v>
      </c>
      <c r="BH59" s="8" t="n">
        <v>3</v>
      </c>
      <c r="BI59" s="4" t="n">
        <f aca="false">IF(BG59=BH59,0,1)</f>
        <v>0</v>
      </c>
      <c r="BK59" s="8" t="n">
        <v>3</v>
      </c>
      <c r="BL59" s="8" t="n">
        <v>3</v>
      </c>
      <c r="BM59" s="8" t="n">
        <v>3</v>
      </c>
    </row>
    <row r="60" customFormat="false" ht="15" hidden="false" customHeight="false" outlineLevel="0" collapsed="false">
      <c r="A60" s="3" t="n">
        <v>59</v>
      </c>
      <c r="B60" s="3" t="s">
        <v>38</v>
      </c>
      <c r="C60" s="3" t="n">
        <v>1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5</v>
      </c>
      <c r="I60" s="3" t="n">
        <v>5</v>
      </c>
      <c r="J60" s="3" t="n">
        <v>5</v>
      </c>
      <c r="K60" s="3" t="n">
        <v>5</v>
      </c>
      <c r="L60" s="3" t="n">
        <v>5</v>
      </c>
      <c r="M60" s="3" t="n">
        <v>4</v>
      </c>
      <c r="N60" s="3" t="n">
        <v>4</v>
      </c>
      <c r="O60" s="3" t="n">
        <v>4</v>
      </c>
      <c r="P60" s="3" t="n">
        <v>4</v>
      </c>
      <c r="Q60" s="3" t="n">
        <v>5</v>
      </c>
      <c r="R60" s="3" t="n">
        <v>5</v>
      </c>
      <c r="S60" s="3" t="n">
        <v>5</v>
      </c>
      <c r="T60" s="3" t="n">
        <v>0</v>
      </c>
      <c r="U60" s="3" t="n">
        <v>52</v>
      </c>
      <c r="V60" s="3" t="n">
        <v>42532</v>
      </c>
      <c r="W60" s="3" t="n">
        <v>1</v>
      </c>
      <c r="X60" s="3" t="n">
        <v>3</v>
      </c>
      <c r="Y60" s="3" t="n">
        <v>2</v>
      </c>
      <c r="Z60" s="3" t="n">
        <v>1</v>
      </c>
      <c r="AA60" s="4" t="n">
        <f aca="false">IF($B60=AA$1,1,0)</f>
        <v>0</v>
      </c>
      <c r="AB60" s="4" t="n">
        <f aca="false">IF($B60=AB$1,1,0)</f>
        <v>0</v>
      </c>
      <c r="AC60" s="4" t="n">
        <f aca="false">IF($B60=AC$1,1,0)</f>
        <v>0</v>
      </c>
      <c r="AD60" s="4" t="n">
        <f aca="false">IF($B60=AD$1,1,0)</f>
        <v>0</v>
      </c>
      <c r="AE60" s="4" t="n">
        <f aca="false">IF($B60=AE$1,1,0)</f>
        <v>0</v>
      </c>
      <c r="AF60" s="4" t="n">
        <f aca="false">IF($B60=AF$1,1,0)</f>
        <v>0</v>
      </c>
      <c r="AG60" s="4" t="n">
        <f aca="false">IF($B60=AG$1,1,0)</f>
        <v>0</v>
      </c>
      <c r="AH60" s="4" t="n">
        <f aca="false">IF($B60=AH$1,1,0)</f>
        <v>0</v>
      </c>
      <c r="AI60" s="4" t="n">
        <f aca="false">IF($B60=AI$1,1,0)</f>
        <v>0</v>
      </c>
      <c r="AJ60" s="4" t="n">
        <f aca="false">IF($B60=AJ$1,1,0)</f>
        <v>0</v>
      </c>
      <c r="AK60" s="4" t="n">
        <f aca="false">IF($B60=AK$1,1,0)</f>
        <v>0</v>
      </c>
      <c r="AL60" s="4" t="n">
        <f aca="false">IF($B60=AL$1,1,0)</f>
        <v>0</v>
      </c>
      <c r="AM60" s="4" t="n">
        <f aca="false">IF($B60=AM$1,1,0)</f>
        <v>1</v>
      </c>
      <c r="AN60" s="4" t="n">
        <f aca="false">IF($B60=AN$1,1,0)</f>
        <v>0</v>
      </c>
      <c r="AO60" s="4" t="n">
        <f aca="false">IF($B60=AO$1,1,0)</f>
        <v>0</v>
      </c>
      <c r="AP60" s="4" t="n">
        <f aca="false">IF($B60=AP$1,1,0)</f>
        <v>0</v>
      </c>
      <c r="AQ60" s="4" t="n">
        <f aca="false">IF($B60=AQ$1,1,0)</f>
        <v>0</v>
      </c>
      <c r="AR60" s="4" t="n">
        <f aca="false">IF($B60=AR$1,1,0)</f>
        <v>0</v>
      </c>
      <c r="AS60" s="4" t="n">
        <f aca="false">IF($B60=AS$1,1,0)</f>
        <v>0</v>
      </c>
      <c r="AT60" s="4" t="n">
        <f aca="false">IF($B60=AT$1,1,0)</f>
        <v>0</v>
      </c>
      <c r="BB60" s="4" t="n">
        <f aca="false">A60</f>
        <v>59</v>
      </c>
      <c r="BC60" s="7" t="n">
        <f aca="false">ABS($T60-$AX$2)+ABS($U60-$AY$2)+ABS($V60-$AZ$2)</f>
        <v>19711.2887323944</v>
      </c>
      <c r="BD60" s="7" t="n">
        <f aca="false">ABS($T60-$AX$3)+ABS($U60-$AY$3)+ABS($V60-$AZ$3)</f>
        <v>4141.96610169492</v>
      </c>
      <c r="BE60" s="7" t="n">
        <f aca="false">ABS($T60-$AX$4)+ABS($U60-$AY$4)+ABS($V60-$AZ$4)</f>
        <v>35272.6037735849</v>
      </c>
      <c r="BF60" s="7" t="n">
        <f aca="false">MIN(BC60:BE60)</f>
        <v>4141.96610169492</v>
      </c>
      <c r="BG60" s="4" t="n">
        <f aca="false">MATCH(BF60,BC60:BE60,0)</f>
        <v>2</v>
      </c>
      <c r="BH60" s="8" t="n">
        <v>2</v>
      </c>
      <c r="BI60" s="4" t="n">
        <f aca="false">IF(BG60=BH60,0,1)</f>
        <v>0</v>
      </c>
      <c r="BK60" s="8" t="n">
        <v>2</v>
      </c>
      <c r="BL60" s="8" t="n">
        <v>2</v>
      </c>
      <c r="BM60" s="8" t="n">
        <v>2</v>
      </c>
    </row>
    <row r="61" customFormat="false" ht="15" hidden="false" customHeight="false" outlineLevel="0" collapsed="false">
      <c r="A61" s="3" t="n">
        <v>60</v>
      </c>
      <c r="B61" s="3" t="s">
        <v>30</v>
      </c>
      <c r="C61" s="3" t="n">
        <v>1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5</v>
      </c>
      <c r="I61" s="3" t="n">
        <v>4</v>
      </c>
      <c r="J61" s="3" t="n">
        <v>5</v>
      </c>
      <c r="K61" s="3" t="n">
        <v>5</v>
      </c>
      <c r="L61" s="3" t="n">
        <v>5</v>
      </c>
      <c r="M61" s="3" t="n">
        <v>4</v>
      </c>
      <c r="N61" s="3" t="n">
        <v>3</v>
      </c>
      <c r="O61" s="3" t="n">
        <v>3</v>
      </c>
      <c r="P61" s="3" t="n">
        <v>2</v>
      </c>
      <c r="Q61" s="3" t="n">
        <v>3</v>
      </c>
      <c r="R61" s="3" t="n">
        <v>4</v>
      </c>
      <c r="S61" s="3" t="n">
        <v>4</v>
      </c>
      <c r="T61" s="3" t="n">
        <v>0</v>
      </c>
      <c r="U61" s="3" t="n">
        <v>25</v>
      </c>
      <c r="V61" s="3" t="n">
        <v>17758</v>
      </c>
      <c r="W61" s="3" t="n">
        <v>2</v>
      </c>
      <c r="X61" s="3" t="n">
        <v>1</v>
      </c>
      <c r="Y61" s="3" t="n">
        <v>1</v>
      </c>
      <c r="Z61" s="3" t="n">
        <v>1</v>
      </c>
      <c r="AA61" s="4" t="n">
        <f aca="false">IF($B61=AA$1,1,0)</f>
        <v>0</v>
      </c>
      <c r="AB61" s="4" t="n">
        <f aca="false">IF($B61=AB$1,1,0)</f>
        <v>0</v>
      </c>
      <c r="AC61" s="4" t="n">
        <f aca="false">IF($B61=AC$1,1,0)</f>
        <v>0</v>
      </c>
      <c r="AD61" s="4" t="n">
        <f aca="false">IF($B61=AD$1,1,0)</f>
        <v>0</v>
      </c>
      <c r="AE61" s="4" t="n">
        <f aca="false">IF($B61=AE$1,1,0)</f>
        <v>1</v>
      </c>
      <c r="AF61" s="4" t="n">
        <f aca="false">IF($B61=AF$1,1,0)</f>
        <v>0</v>
      </c>
      <c r="AG61" s="4" t="n">
        <f aca="false">IF($B61=AG$1,1,0)</f>
        <v>0</v>
      </c>
      <c r="AH61" s="4" t="n">
        <f aca="false">IF($B61=AH$1,1,0)</f>
        <v>0</v>
      </c>
      <c r="AI61" s="4" t="n">
        <f aca="false">IF($B61=AI$1,1,0)</f>
        <v>0</v>
      </c>
      <c r="AJ61" s="4" t="n">
        <f aca="false">IF($B61=AJ$1,1,0)</f>
        <v>0</v>
      </c>
      <c r="AK61" s="4" t="n">
        <f aca="false">IF($B61=AK$1,1,0)</f>
        <v>0</v>
      </c>
      <c r="AL61" s="4" t="n">
        <f aca="false">IF($B61=AL$1,1,0)</f>
        <v>0</v>
      </c>
      <c r="AM61" s="4" t="n">
        <f aca="false">IF($B61=AM$1,1,0)</f>
        <v>0</v>
      </c>
      <c r="AN61" s="4" t="n">
        <f aca="false">IF($B61=AN$1,1,0)</f>
        <v>0</v>
      </c>
      <c r="AO61" s="4" t="n">
        <f aca="false">IF($B61=AO$1,1,0)</f>
        <v>0</v>
      </c>
      <c r="AP61" s="4" t="n">
        <f aca="false">IF($B61=AP$1,1,0)</f>
        <v>0</v>
      </c>
      <c r="AQ61" s="4" t="n">
        <f aca="false">IF($B61=AQ$1,1,0)</f>
        <v>0</v>
      </c>
      <c r="AR61" s="4" t="n">
        <f aca="false">IF($B61=AR$1,1,0)</f>
        <v>0</v>
      </c>
      <c r="AS61" s="4" t="n">
        <f aca="false">IF($B61=AS$1,1,0)</f>
        <v>0</v>
      </c>
      <c r="AT61" s="4" t="n">
        <f aca="false">IF($B61=AT$1,1,0)</f>
        <v>0</v>
      </c>
      <c r="BB61" s="4" t="n">
        <f aca="false">A61</f>
        <v>60</v>
      </c>
      <c r="BC61" s="7" t="n">
        <f aca="false">ABS($T61-$AX$2)+ABS($U61-$AY$2)+ABS($V61-$AZ$2)</f>
        <v>5090.14788732395</v>
      </c>
      <c r="BD61" s="7" t="n">
        <f aca="false">ABS($T61-$AX$3)+ABS($U61-$AY$3)+ABS($V61-$AZ$3)</f>
        <v>28921.7288135593</v>
      </c>
      <c r="BE61" s="7" t="n">
        <f aca="false">ABS($T61-$AX$4)+ABS($U61-$AY$4)+ABS($V61-$AZ$4)</f>
        <v>60053.641509434</v>
      </c>
      <c r="BF61" s="7" t="n">
        <f aca="false">MIN(BC61:BE61)</f>
        <v>5090.14788732395</v>
      </c>
      <c r="BG61" s="4" t="n">
        <f aca="false">MATCH(BF61,BC61:BE61,0)</f>
        <v>1</v>
      </c>
      <c r="BH61" s="8" t="n">
        <v>1</v>
      </c>
      <c r="BI61" s="4" t="n">
        <f aca="false">IF(BG61=BH61,0,1)</f>
        <v>0</v>
      </c>
      <c r="BK61" s="8" t="n">
        <v>1</v>
      </c>
      <c r="BL61" s="8" t="n">
        <v>1</v>
      </c>
      <c r="BM61" s="8" t="n">
        <v>1</v>
      </c>
    </row>
    <row r="62" customFormat="false" ht="15" hidden="false" customHeight="false" outlineLevel="0" collapsed="false">
      <c r="A62" s="3" t="n">
        <v>61</v>
      </c>
      <c r="B62" s="3" t="s">
        <v>29</v>
      </c>
      <c r="C62" s="3" t="n">
        <v>1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5</v>
      </c>
      <c r="I62" s="3" t="n">
        <v>4</v>
      </c>
      <c r="J62" s="3" t="n">
        <v>5</v>
      </c>
      <c r="K62" s="3" t="n">
        <v>5</v>
      </c>
      <c r="L62" s="3" t="n">
        <v>5</v>
      </c>
      <c r="M62" s="3" t="n">
        <v>5</v>
      </c>
      <c r="N62" s="3" t="n">
        <v>3</v>
      </c>
      <c r="O62" s="3" t="n">
        <v>3</v>
      </c>
      <c r="P62" s="3" t="n">
        <v>3</v>
      </c>
      <c r="Q62" s="3" t="n">
        <v>3</v>
      </c>
      <c r="R62" s="3" t="n">
        <v>3</v>
      </c>
      <c r="S62" s="3" t="n">
        <v>3</v>
      </c>
      <c r="T62" s="3" t="n">
        <v>0</v>
      </c>
      <c r="U62" s="3" t="n">
        <v>46</v>
      </c>
      <c r="V62" s="3" t="n">
        <v>48366</v>
      </c>
      <c r="W62" s="3" t="n">
        <v>3</v>
      </c>
      <c r="X62" s="3" t="n">
        <v>2</v>
      </c>
      <c r="Y62" s="3" t="n">
        <v>2</v>
      </c>
      <c r="Z62" s="3" t="n">
        <v>2</v>
      </c>
      <c r="AA62" s="4" t="n">
        <f aca="false">IF($B62=AA$1,1,0)</f>
        <v>0</v>
      </c>
      <c r="AB62" s="4" t="n">
        <f aca="false">IF($B62=AB$1,1,0)</f>
        <v>0</v>
      </c>
      <c r="AC62" s="4" t="n">
        <f aca="false">IF($B62=AC$1,1,0)</f>
        <v>0</v>
      </c>
      <c r="AD62" s="4" t="n">
        <f aca="false">IF($B62=AD$1,1,0)</f>
        <v>1</v>
      </c>
      <c r="AE62" s="4" t="n">
        <f aca="false">IF($B62=AE$1,1,0)</f>
        <v>0</v>
      </c>
      <c r="AF62" s="4" t="n">
        <f aca="false">IF($B62=AF$1,1,0)</f>
        <v>0</v>
      </c>
      <c r="AG62" s="4" t="n">
        <f aca="false">IF($B62=AG$1,1,0)</f>
        <v>0</v>
      </c>
      <c r="AH62" s="4" t="n">
        <f aca="false">IF($B62=AH$1,1,0)</f>
        <v>0</v>
      </c>
      <c r="AI62" s="4" t="n">
        <f aca="false">IF($B62=AI$1,1,0)</f>
        <v>0</v>
      </c>
      <c r="AJ62" s="4" t="n">
        <f aca="false">IF($B62=AJ$1,1,0)</f>
        <v>0</v>
      </c>
      <c r="AK62" s="4" t="n">
        <f aca="false">IF($B62=AK$1,1,0)</f>
        <v>0</v>
      </c>
      <c r="AL62" s="4" t="n">
        <f aca="false">IF($B62=AL$1,1,0)</f>
        <v>0</v>
      </c>
      <c r="AM62" s="4" t="n">
        <f aca="false">IF($B62=AM$1,1,0)</f>
        <v>0</v>
      </c>
      <c r="AN62" s="4" t="n">
        <f aca="false">IF($B62=AN$1,1,0)</f>
        <v>0</v>
      </c>
      <c r="AO62" s="4" t="n">
        <f aca="false">IF($B62=AO$1,1,0)</f>
        <v>0</v>
      </c>
      <c r="AP62" s="4" t="n">
        <f aca="false">IF($B62=AP$1,1,0)</f>
        <v>0</v>
      </c>
      <c r="AQ62" s="4" t="n">
        <f aca="false">IF($B62=AQ$1,1,0)</f>
        <v>0</v>
      </c>
      <c r="AR62" s="4" t="n">
        <f aca="false">IF($B62=AR$1,1,0)</f>
        <v>0</v>
      </c>
      <c r="AS62" s="4" t="n">
        <f aca="false">IF($B62=AS$1,1,0)</f>
        <v>0</v>
      </c>
      <c r="AT62" s="4" t="n">
        <f aca="false">IF($B62=AT$1,1,0)</f>
        <v>0</v>
      </c>
      <c r="BB62" s="4" t="n">
        <f aca="false">A62</f>
        <v>61</v>
      </c>
      <c r="BC62" s="7" t="n">
        <f aca="false">ABS($T62-$AX$2)+ABS($U62-$AY$2)+ABS($V62-$AZ$2)</f>
        <v>25539.2887323944</v>
      </c>
      <c r="BD62" s="7" t="n">
        <f aca="false">ABS($T62-$AX$3)+ABS($U62-$AY$3)+ABS($V62-$AZ$3)</f>
        <v>1707.64406779661</v>
      </c>
      <c r="BE62" s="7" t="n">
        <f aca="false">ABS($T62-$AX$4)+ABS($U62-$AY$4)+ABS($V62-$AZ$4)</f>
        <v>29432.6037735849</v>
      </c>
      <c r="BF62" s="7" t="n">
        <f aca="false">MIN(BC62:BE62)</f>
        <v>1707.64406779661</v>
      </c>
      <c r="BG62" s="4" t="n">
        <f aca="false">MATCH(BF62,BC62:BE62,0)</f>
        <v>2</v>
      </c>
      <c r="BH62" s="8" t="n">
        <v>2</v>
      </c>
      <c r="BI62" s="4" t="n">
        <f aca="false">IF(BG62=BH62,0,1)</f>
        <v>0</v>
      </c>
      <c r="BK62" s="8" t="n">
        <v>2</v>
      </c>
      <c r="BL62" s="8" t="n">
        <v>2</v>
      </c>
      <c r="BM62" s="8" t="n">
        <v>2</v>
      </c>
    </row>
    <row r="63" customFormat="false" ht="15" hidden="false" customHeight="false" outlineLevel="0" collapsed="false">
      <c r="A63" s="3" t="n">
        <v>62</v>
      </c>
      <c r="B63" s="3" t="s">
        <v>31</v>
      </c>
      <c r="C63" s="3" t="n">
        <v>1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4</v>
      </c>
      <c r="I63" s="3" t="n">
        <v>4</v>
      </c>
      <c r="J63" s="3" t="n">
        <v>5</v>
      </c>
      <c r="K63" s="3" t="n">
        <v>5</v>
      </c>
      <c r="L63" s="3" t="n">
        <v>5</v>
      </c>
      <c r="M63" s="3" t="n">
        <v>4</v>
      </c>
      <c r="N63" s="3" t="n">
        <v>3</v>
      </c>
      <c r="O63" s="3" t="n">
        <v>3</v>
      </c>
      <c r="P63" s="3" t="n">
        <v>4</v>
      </c>
      <c r="Q63" s="3" t="n">
        <v>5</v>
      </c>
      <c r="R63" s="3" t="n">
        <v>4</v>
      </c>
      <c r="S63" s="3" t="n">
        <v>2</v>
      </c>
      <c r="T63" s="3" t="n">
        <v>0</v>
      </c>
      <c r="U63" s="3" t="n">
        <v>31</v>
      </c>
      <c r="V63" s="3" t="n">
        <v>47694</v>
      </c>
      <c r="W63" s="3" t="n">
        <v>1</v>
      </c>
      <c r="X63" s="3" t="n">
        <v>4</v>
      </c>
      <c r="Y63" s="3" t="n">
        <v>2</v>
      </c>
      <c r="Z63" s="3" t="n">
        <v>1</v>
      </c>
      <c r="AA63" s="4" t="n">
        <f aca="false">IF($B63=AA$1,1,0)</f>
        <v>0</v>
      </c>
      <c r="AB63" s="4" t="n">
        <f aca="false">IF($B63=AB$1,1,0)</f>
        <v>0</v>
      </c>
      <c r="AC63" s="4" t="n">
        <f aca="false">IF($B63=AC$1,1,0)</f>
        <v>0</v>
      </c>
      <c r="AD63" s="4" t="n">
        <f aca="false">IF($B63=AD$1,1,0)</f>
        <v>0</v>
      </c>
      <c r="AE63" s="4" t="n">
        <f aca="false">IF($B63=AE$1,1,0)</f>
        <v>0</v>
      </c>
      <c r="AF63" s="4" t="n">
        <f aca="false">IF($B63=AF$1,1,0)</f>
        <v>1</v>
      </c>
      <c r="AG63" s="4" t="n">
        <f aca="false">IF($B63=AG$1,1,0)</f>
        <v>0</v>
      </c>
      <c r="AH63" s="4" t="n">
        <f aca="false">IF($B63=AH$1,1,0)</f>
        <v>0</v>
      </c>
      <c r="AI63" s="4" t="n">
        <f aca="false">IF($B63=AI$1,1,0)</f>
        <v>0</v>
      </c>
      <c r="AJ63" s="4" t="n">
        <f aca="false">IF($B63=AJ$1,1,0)</f>
        <v>0</v>
      </c>
      <c r="AK63" s="4" t="n">
        <f aca="false">IF($B63=AK$1,1,0)</f>
        <v>0</v>
      </c>
      <c r="AL63" s="4" t="n">
        <f aca="false">IF($B63=AL$1,1,0)</f>
        <v>0</v>
      </c>
      <c r="AM63" s="4" t="n">
        <f aca="false">IF($B63=AM$1,1,0)</f>
        <v>0</v>
      </c>
      <c r="AN63" s="4" t="n">
        <f aca="false">IF($B63=AN$1,1,0)</f>
        <v>0</v>
      </c>
      <c r="AO63" s="4" t="n">
        <f aca="false">IF($B63=AO$1,1,0)</f>
        <v>0</v>
      </c>
      <c r="AP63" s="4" t="n">
        <f aca="false">IF($B63=AP$1,1,0)</f>
        <v>0</v>
      </c>
      <c r="AQ63" s="4" t="n">
        <f aca="false">IF($B63=AQ$1,1,0)</f>
        <v>0</v>
      </c>
      <c r="AR63" s="4" t="n">
        <f aca="false">IF($B63=AR$1,1,0)</f>
        <v>0</v>
      </c>
      <c r="AS63" s="4" t="n">
        <f aca="false">IF($B63=AS$1,1,0)</f>
        <v>0</v>
      </c>
      <c r="AT63" s="4" t="n">
        <f aca="false">IF($B63=AT$1,1,0)</f>
        <v>0</v>
      </c>
      <c r="BB63" s="4" t="n">
        <f aca="false">A63</f>
        <v>62</v>
      </c>
      <c r="BC63" s="7" t="n">
        <f aca="false">ABS($T63-$AX$2)+ABS($U63-$AY$2)+ABS($V63-$AZ$2)</f>
        <v>24867.7676056338</v>
      </c>
      <c r="BD63" s="7" t="n">
        <f aca="false">ABS($T63-$AX$3)+ABS($U63-$AY$3)+ABS($V63-$AZ$3)</f>
        <v>1041.40677966102</v>
      </c>
      <c r="BE63" s="7" t="n">
        <f aca="false">ABS($T63-$AX$4)+ABS($U63-$AY$4)+ABS($V63-$AZ$4)</f>
        <v>30111.641509434</v>
      </c>
      <c r="BF63" s="7" t="n">
        <f aca="false">MIN(BC63:BE63)</f>
        <v>1041.40677966102</v>
      </c>
      <c r="BG63" s="4" t="n">
        <f aca="false">MATCH(BF63,BC63:BE63,0)</f>
        <v>2</v>
      </c>
      <c r="BH63" s="8" t="n">
        <v>2</v>
      </c>
      <c r="BI63" s="4" t="n">
        <f aca="false">IF(BG63=BH63,0,1)</f>
        <v>0</v>
      </c>
      <c r="BK63" s="8" t="n">
        <v>2</v>
      </c>
      <c r="BL63" s="8" t="n">
        <v>2</v>
      </c>
      <c r="BM63" s="8" t="n">
        <v>2</v>
      </c>
    </row>
    <row r="64" customFormat="false" ht="15" hidden="false" customHeight="false" outlineLevel="0" collapsed="false">
      <c r="A64" s="3" t="n">
        <v>63</v>
      </c>
      <c r="B64" s="3" t="s">
        <v>42</v>
      </c>
      <c r="C64" s="3" t="n">
        <v>0</v>
      </c>
      <c r="D64" s="3" t="n">
        <v>0</v>
      </c>
      <c r="E64" s="3" t="n">
        <v>1</v>
      </c>
      <c r="F64" s="3" t="n">
        <v>0</v>
      </c>
      <c r="G64" s="3" t="n">
        <v>2</v>
      </c>
      <c r="H64" s="3" t="n">
        <v>5</v>
      </c>
      <c r="I64" s="3" t="n">
        <v>4</v>
      </c>
      <c r="J64" s="3" t="n">
        <v>5</v>
      </c>
      <c r="K64" s="3" t="n">
        <v>4</v>
      </c>
      <c r="L64" s="3" t="n">
        <v>5</v>
      </c>
      <c r="M64" s="3" t="n">
        <v>4</v>
      </c>
      <c r="N64" s="3" t="n">
        <v>4</v>
      </c>
      <c r="O64" s="3" t="n">
        <v>4</v>
      </c>
      <c r="P64" s="3" t="n">
        <v>4</v>
      </c>
      <c r="Q64" s="3" t="n">
        <v>5</v>
      </c>
      <c r="R64" s="3" t="n">
        <v>5</v>
      </c>
      <c r="S64" s="3" t="n">
        <v>4</v>
      </c>
      <c r="T64" s="3" t="n">
        <v>1</v>
      </c>
      <c r="U64" s="3" t="n">
        <v>33</v>
      </c>
      <c r="V64" s="3" t="n">
        <v>37626</v>
      </c>
      <c r="W64" s="3" t="n">
        <v>3</v>
      </c>
      <c r="X64" s="3" t="n">
        <v>2</v>
      </c>
      <c r="Y64" s="3" t="n">
        <v>1</v>
      </c>
      <c r="Z64" s="3" t="n">
        <v>2</v>
      </c>
      <c r="AA64" s="4" t="n">
        <f aca="false">IF($B64=AA$1,1,0)</f>
        <v>0</v>
      </c>
      <c r="AB64" s="4" t="n">
        <f aca="false">IF($B64=AB$1,1,0)</f>
        <v>0</v>
      </c>
      <c r="AC64" s="4" t="n">
        <f aca="false">IF($B64=AC$1,1,0)</f>
        <v>0</v>
      </c>
      <c r="AD64" s="4" t="n">
        <f aca="false">IF($B64=AD$1,1,0)</f>
        <v>0</v>
      </c>
      <c r="AE64" s="4" t="n">
        <f aca="false">IF($B64=AE$1,1,0)</f>
        <v>0</v>
      </c>
      <c r="AF64" s="4" t="n">
        <f aca="false">IF($B64=AF$1,1,0)</f>
        <v>0</v>
      </c>
      <c r="AG64" s="4" t="n">
        <f aca="false">IF($B64=AG$1,1,0)</f>
        <v>0</v>
      </c>
      <c r="AH64" s="4" t="n">
        <f aca="false">IF($B64=AH$1,1,0)</f>
        <v>0</v>
      </c>
      <c r="AI64" s="4" t="n">
        <f aca="false">IF($B64=AI$1,1,0)</f>
        <v>0</v>
      </c>
      <c r="AJ64" s="4" t="n">
        <f aca="false">IF($B64=AJ$1,1,0)</f>
        <v>0</v>
      </c>
      <c r="AK64" s="4" t="n">
        <f aca="false">IF($B64=AK$1,1,0)</f>
        <v>0</v>
      </c>
      <c r="AL64" s="4" t="n">
        <f aca="false">IF($B64=AL$1,1,0)</f>
        <v>0</v>
      </c>
      <c r="AM64" s="4" t="n">
        <f aca="false">IF($B64=AM$1,1,0)</f>
        <v>0</v>
      </c>
      <c r="AN64" s="4" t="n">
        <f aca="false">IF($B64=AN$1,1,0)</f>
        <v>0</v>
      </c>
      <c r="AO64" s="4" t="n">
        <f aca="false">IF($B64=AO$1,1,0)</f>
        <v>0</v>
      </c>
      <c r="AP64" s="4" t="n">
        <f aca="false">IF($B64=AP$1,1,0)</f>
        <v>0</v>
      </c>
      <c r="AQ64" s="4" t="n">
        <f aca="false">IF($B64=AQ$1,1,0)</f>
        <v>1</v>
      </c>
      <c r="AR64" s="4" t="n">
        <f aca="false">IF($B64=AR$1,1,0)</f>
        <v>0</v>
      </c>
      <c r="AS64" s="4" t="n">
        <f aca="false">IF($B64=AS$1,1,0)</f>
        <v>0</v>
      </c>
      <c r="AT64" s="4" t="n">
        <f aca="false">IF($B64=AT$1,1,0)</f>
        <v>0</v>
      </c>
      <c r="BB64" s="4" t="n">
        <f aca="false">A64</f>
        <v>63</v>
      </c>
      <c r="BC64" s="7" t="n">
        <f aca="false">ABS($T64-$AX$2)+ABS($U64-$AY$2)+ABS($V64-$AZ$2)</f>
        <v>14798.3309859155</v>
      </c>
      <c r="BD64" s="7" t="n">
        <f aca="false">ABS($T64-$AX$3)+ABS($U64-$AY$3)+ABS($V64-$AZ$3)</f>
        <v>9046.35593220339</v>
      </c>
      <c r="BE64" s="7" t="n">
        <f aca="false">ABS($T64-$AX$4)+ABS($U64-$AY$4)+ABS($V64-$AZ$4)</f>
        <v>40178.1132075472</v>
      </c>
      <c r="BF64" s="7" t="n">
        <f aca="false">MIN(BC64:BE64)</f>
        <v>9046.35593220339</v>
      </c>
      <c r="BG64" s="4" t="n">
        <f aca="false">MATCH(BF64,BC64:BE64,0)</f>
        <v>2</v>
      </c>
      <c r="BH64" s="8" t="n">
        <v>2</v>
      </c>
      <c r="BI64" s="4" t="n">
        <f aca="false">IF(BG64=BH64,0,1)</f>
        <v>0</v>
      </c>
      <c r="BK64" s="8" t="n">
        <v>2</v>
      </c>
      <c r="BL64" s="8" t="n">
        <v>2</v>
      </c>
      <c r="BM64" s="8" t="n">
        <v>2</v>
      </c>
    </row>
    <row r="65" customFormat="false" ht="15" hidden="false" customHeight="false" outlineLevel="0" collapsed="false">
      <c r="A65" s="3" t="n">
        <v>64</v>
      </c>
      <c r="B65" s="3" t="s">
        <v>31</v>
      </c>
      <c r="C65" s="3" t="n">
        <v>1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2</v>
      </c>
      <c r="I65" s="3" t="n">
        <v>5</v>
      </c>
      <c r="J65" s="3" t="n">
        <v>5</v>
      </c>
      <c r="K65" s="3" t="n">
        <v>5</v>
      </c>
      <c r="L65" s="3" t="n">
        <v>5</v>
      </c>
      <c r="M65" s="3" t="n">
        <v>4</v>
      </c>
      <c r="N65" s="3" t="n">
        <v>5</v>
      </c>
      <c r="O65" s="3" t="n">
        <v>5</v>
      </c>
      <c r="P65" s="3" t="n">
        <v>3</v>
      </c>
      <c r="Q65" s="3" t="n">
        <v>5</v>
      </c>
      <c r="R65" s="3" t="n">
        <v>5</v>
      </c>
      <c r="S65" s="3" t="n">
        <v>4</v>
      </c>
      <c r="T65" s="3" t="n">
        <v>0</v>
      </c>
      <c r="U65" s="3" t="n">
        <v>34</v>
      </c>
      <c r="V65" s="3" t="n">
        <v>61260</v>
      </c>
      <c r="W65" s="3" t="n">
        <v>2</v>
      </c>
      <c r="X65" s="3" t="n">
        <v>2</v>
      </c>
      <c r="Y65" s="3" t="n">
        <v>3</v>
      </c>
      <c r="Z65" s="3" t="n">
        <v>1</v>
      </c>
      <c r="AA65" s="4" t="n">
        <f aca="false">IF($B65=AA$1,1,0)</f>
        <v>0</v>
      </c>
      <c r="AB65" s="4" t="n">
        <f aca="false">IF($B65=AB$1,1,0)</f>
        <v>0</v>
      </c>
      <c r="AC65" s="4" t="n">
        <f aca="false">IF($B65=AC$1,1,0)</f>
        <v>0</v>
      </c>
      <c r="AD65" s="4" t="n">
        <f aca="false">IF($B65=AD$1,1,0)</f>
        <v>0</v>
      </c>
      <c r="AE65" s="4" t="n">
        <f aca="false">IF($B65=AE$1,1,0)</f>
        <v>0</v>
      </c>
      <c r="AF65" s="4" t="n">
        <f aca="false">IF($B65=AF$1,1,0)</f>
        <v>1</v>
      </c>
      <c r="AG65" s="4" t="n">
        <f aca="false">IF($B65=AG$1,1,0)</f>
        <v>0</v>
      </c>
      <c r="AH65" s="4" t="n">
        <f aca="false">IF($B65=AH$1,1,0)</f>
        <v>0</v>
      </c>
      <c r="AI65" s="4" t="n">
        <f aca="false">IF($B65=AI$1,1,0)</f>
        <v>0</v>
      </c>
      <c r="AJ65" s="4" t="n">
        <f aca="false">IF($B65=AJ$1,1,0)</f>
        <v>0</v>
      </c>
      <c r="AK65" s="4" t="n">
        <f aca="false">IF($B65=AK$1,1,0)</f>
        <v>0</v>
      </c>
      <c r="AL65" s="4" t="n">
        <f aca="false">IF($B65=AL$1,1,0)</f>
        <v>0</v>
      </c>
      <c r="AM65" s="4" t="n">
        <f aca="false">IF($B65=AM$1,1,0)</f>
        <v>0</v>
      </c>
      <c r="AN65" s="4" t="n">
        <f aca="false">IF($B65=AN$1,1,0)</f>
        <v>0</v>
      </c>
      <c r="AO65" s="4" t="n">
        <f aca="false">IF($B65=AO$1,1,0)</f>
        <v>0</v>
      </c>
      <c r="AP65" s="4" t="n">
        <f aca="false">IF($B65=AP$1,1,0)</f>
        <v>0</v>
      </c>
      <c r="AQ65" s="4" t="n">
        <f aca="false">IF($B65=AQ$1,1,0)</f>
        <v>0</v>
      </c>
      <c r="AR65" s="4" t="n">
        <f aca="false">IF($B65=AR$1,1,0)</f>
        <v>0</v>
      </c>
      <c r="AS65" s="4" t="n">
        <f aca="false">IF($B65=AS$1,1,0)</f>
        <v>0</v>
      </c>
      <c r="AT65" s="4" t="n">
        <f aca="false">IF($B65=AT$1,1,0)</f>
        <v>0</v>
      </c>
      <c r="BB65" s="4" t="n">
        <f aca="false">A65</f>
        <v>64</v>
      </c>
      <c r="BC65" s="7" t="n">
        <f aca="false">ABS($T65-$AX$2)+ABS($U65-$AY$2)+ABS($V65-$AZ$2)</f>
        <v>38430.7676056338</v>
      </c>
      <c r="BD65" s="7" t="n">
        <f aca="false">ABS($T65-$AX$3)+ABS($U65-$AY$3)+ABS($V65-$AZ$3)</f>
        <v>14604.406779661</v>
      </c>
      <c r="BE65" s="7" t="n">
        <f aca="false">ABS($T65-$AX$4)+ABS($U65-$AY$4)+ABS($V65-$AZ$4)</f>
        <v>16542.641509434</v>
      </c>
      <c r="BF65" s="7" t="n">
        <f aca="false">MIN(BC65:BE65)</f>
        <v>14604.406779661</v>
      </c>
      <c r="BG65" s="4" t="n">
        <f aca="false">MATCH(BF65,BC65:BE65,0)</f>
        <v>2</v>
      </c>
      <c r="BH65" s="8" t="n">
        <v>2</v>
      </c>
      <c r="BI65" s="4" t="n">
        <f aca="false">IF(BG65=BH65,0,1)</f>
        <v>0</v>
      </c>
      <c r="BK65" s="8" t="n">
        <v>2</v>
      </c>
      <c r="BL65" s="8" t="n">
        <v>2</v>
      </c>
      <c r="BM65" s="8" t="n">
        <v>2</v>
      </c>
    </row>
    <row r="66" customFormat="false" ht="15" hidden="false" customHeight="false" outlineLevel="0" collapsed="false">
      <c r="A66" s="3" t="n">
        <v>65</v>
      </c>
      <c r="B66" s="3" t="s">
        <v>45</v>
      </c>
      <c r="C66" s="3" t="n">
        <v>1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5</v>
      </c>
      <c r="I66" s="3" t="n">
        <v>5</v>
      </c>
      <c r="J66" s="3" t="n">
        <v>5</v>
      </c>
      <c r="K66" s="3" t="n">
        <v>5</v>
      </c>
      <c r="L66" s="3" t="n">
        <v>5</v>
      </c>
      <c r="M66" s="3" t="n">
        <v>5</v>
      </c>
      <c r="N66" s="3" t="n">
        <v>5</v>
      </c>
      <c r="O66" s="3" t="n">
        <v>5</v>
      </c>
      <c r="P66" s="3" t="n">
        <v>5</v>
      </c>
      <c r="Q66" s="3" t="n">
        <v>5</v>
      </c>
      <c r="R66" s="3" t="n">
        <v>5</v>
      </c>
      <c r="S66" s="3" t="n">
        <v>5</v>
      </c>
      <c r="T66" s="3" t="n">
        <v>1</v>
      </c>
      <c r="U66" s="3" t="n">
        <v>23</v>
      </c>
      <c r="V66" s="3" t="n">
        <v>20712</v>
      </c>
      <c r="W66" s="3" t="n">
        <v>1</v>
      </c>
      <c r="X66" s="3" t="n">
        <v>3</v>
      </c>
      <c r="Y66" s="3" t="n">
        <v>1</v>
      </c>
      <c r="Z66" s="3" t="n">
        <v>1</v>
      </c>
      <c r="AA66" s="4" t="n">
        <f aca="false">IF($B66=AA$1,1,0)</f>
        <v>0</v>
      </c>
      <c r="AB66" s="4" t="n">
        <f aca="false">IF($B66=AB$1,1,0)</f>
        <v>0</v>
      </c>
      <c r="AC66" s="4" t="n">
        <f aca="false">IF($B66=AC$1,1,0)</f>
        <v>0</v>
      </c>
      <c r="AD66" s="4" t="n">
        <f aca="false">IF($B66=AD$1,1,0)</f>
        <v>0</v>
      </c>
      <c r="AE66" s="4" t="n">
        <f aca="false">IF($B66=AE$1,1,0)</f>
        <v>0</v>
      </c>
      <c r="AF66" s="4" t="n">
        <f aca="false">IF($B66=AF$1,1,0)</f>
        <v>0</v>
      </c>
      <c r="AG66" s="4" t="n">
        <f aca="false">IF($B66=AG$1,1,0)</f>
        <v>0</v>
      </c>
      <c r="AH66" s="4" t="n">
        <f aca="false">IF($B66=AH$1,1,0)</f>
        <v>0</v>
      </c>
      <c r="AI66" s="4" t="n">
        <f aca="false">IF($B66=AI$1,1,0)</f>
        <v>0</v>
      </c>
      <c r="AJ66" s="4" t="n">
        <f aca="false">IF($B66=AJ$1,1,0)</f>
        <v>0</v>
      </c>
      <c r="AK66" s="4" t="n">
        <f aca="false">IF($B66=AK$1,1,0)</f>
        <v>0</v>
      </c>
      <c r="AL66" s="4" t="n">
        <f aca="false">IF($B66=AL$1,1,0)</f>
        <v>0</v>
      </c>
      <c r="AM66" s="4" t="n">
        <f aca="false">IF($B66=AM$1,1,0)</f>
        <v>0</v>
      </c>
      <c r="AN66" s="4" t="n">
        <f aca="false">IF($B66=AN$1,1,0)</f>
        <v>0</v>
      </c>
      <c r="AO66" s="4" t="n">
        <f aca="false">IF($B66=AO$1,1,0)</f>
        <v>0</v>
      </c>
      <c r="AP66" s="4" t="n">
        <f aca="false">IF($B66=AP$1,1,0)</f>
        <v>0</v>
      </c>
      <c r="AQ66" s="4" t="n">
        <f aca="false">IF($B66=AQ$1,1,0)</f>
        <v>0</v>
      </c>
      <c r="AR66" s="4" t="n">
        <f aca="false">IF($B66=AR$1,1,0)</f>
        <v>0</v>
      </c>
      <c r="AS66" s="4" t="n">
        <f aca="false">IF($B66=AS$1,1,0)</f>
        <v>0</v>
      </c>
      <c r="AT66" s="4" t="n">
        <f aca="false">IF($B66=AT$1,1,0)</f>
        <v>1</v>
      </c>
      <c r="BB66" s="4" t="n">
        <f aca="false">A66</f>
        <v>65</v>
      </c>
      <c r="BC66" s="7" t="n">
        <f aca="false">ABS($T66-$AX$2)+ABS($U66-$AY$2)+ABS($V66-$AZ$2)</f>
        <v>2138.71126760564</v>
      </c>
      <c r="BD66" s="7" t="n">
        <f aca="false">ABS($T66-$AX$3)+ABS($U66-$AY$3)+ABS($V66-$AZ$3)</f>
        <v>25970.3559322034</v>
      </c>
      <c r="BE66" s="7" t="n">
        <f aca="false">ABS($T66-$AX$4)+ABS($U66-$AY$4)+ABS($V66-$AZ$4)</f>
        <v>57102.1132075472</v>
      </c>
      <c r="BF66" s="7" t="n">
        <f aca="false">MIN(BC66:BE66)</f>
        <v>2138.71126760564</v>
      </c>
      <c r="BG66" s="4" t="n">
        <f aca="false">MATCH(BF66,BC66:BE66,0)</f>
        <v>1</v>
      </c>
      <c r="BH66" s="8" t="n">
        <v>1</v>
      </c>
      <c r="BI66" s="4" t="n">
        <f aca="false">IF(BG66=BH66,0,1)</f>
        <v>0</v>
      </c>
      <c r="BK66" s="8" t="n">
        <v>1</v>
      </c>
      <c r="BL66" s="8" t="n">
        <v>1</v>
      </c>
      <c r="BM66" s="8" t="n">
        <v>1</v>
      </c>
    </row>
    <row r="67" customFormat="false" ht="15" hidden="false" customHeight="false" outlineLevel="0" collapsed="false">
      <c r="A67" s="3" t="n">
        <v>66</v>
      </c>
      <c r="B67" s="3" t="s">
        <v>33</v>
      </c>
      <c r="C67" s="3" t="n">
        <v>1</v>
      </c>
      <c r="D67" s="3" t="n">
        <v>1</v>
      </c>
      <c r="E67" s="3" t="n">
        <v>0</v>
      </c>
      <c r="F67" s="3" t="n">
        <v>0</v>
      </c>
      <c r="G67" s="3" t="n">
        <v>0</v>
      </c>
      <c r="H67" s="3" t="n">
        <v>5</v>
      </c>
      <c r="I67" s="3" t="n">
        <v>5</v>
      </c>
      <c r="J67" s="3" t="n">
        <v>5</v>
      </c>
      <c r="K67" s="3" t="n">
        <v>5</v>
      </c>
      <c r="L67" s="3" t="n">
        <v>5</v>
      </c>
      <c r="M67" s="3" t="n">
        <v>5</v>
      </c>
      <c r="N67" s="3" t="n">
        <v>5</v>
      </c>
      <c r="O67" s="3" t="n">
        <v>5</v>
      </c>
      <c r="P67" s="3" t="n">
        <v>5</v>
      </c>
      <c r="Q67" s="3" t="n">
        <v>5</v>
      </c>
      <c r="R67" s="3" t="n">
        <v>5</v>
      </c>
      <c r="S67" s="3" t="n">
        <v>5</v>
      </c>
      <c r="T67" s="3" t="n">
        <v>0</v>
      </c>
      <c r="U67" s="3" t="n">
        <v>22</v>
      </c>
      <c r="V67" s="3" t="n">
        <v>19033</v>
      </c>
      <c r="W67" s="3" t="n">
        <v>2</v>
      </c>
      <c r="X67" s="3" t="n">
        <v>3</v>
      </c>
      <c r="Y67" s="3" t="n">
        <v>3</v>
      </c>
      <c r="Z67" s="3" t="n">
        <v>1</v>
      </c>
      <c r="AA67" s="4" t="n">
        <f aca="false">IF($B67=AA$1,1,0)</f>
        <v>0</v>
      </c>
      <c r="AB67" s="4" t="n">
        <f aca="false">IF($B67=AB$1,1,0)</f>
        <v>0</v>
      </c>
      <c r="AC67" s="4" t="n">
        <f aca="false">IF($B67=AC$1,1,0)</f>
        <v>0</v>
      </c>
      <c r="AD67" s="4" t="n">
        <f aca="false">IF($B67=AD$1,1,0)</f>
        <v>0</v>
      </c>
      <c r="AE67" s="4" t="n">
        <f aca="false">IF($B67=AE$1,1,0)</f>
        <v>0</v>
      </c>
      <c r="AF67" s="4" t="n">
        <f aca="false">IF($B67=AF$1,1,0)</f>
        <v>0</v>
      </c>
      <c r="AG67" s="4" t="n">
        <f aca="false">IF($B67=AG$1,1,0)</f>
        <v>0</v>
      </c>
      <c r="AH67" s="4" t="n">
        <f aca="false">IF($B67=AH$1,1,0)</f>
        <v>1</v>
      </c>
      <c r="AI67" s="4" t="n">
        <f aca="false">IF($B67=AI$1,1,0)</f>
        <v>0</v>
      </c>
      <c r="AJ67" s="4" t="n">
        <f aca="false">IF($B67=AJ$1,1,0)</f>
        <v>0</v>
      </c>
      <c r="AK67" s="4" t="n">
        <f aca="false">IF($B67=AK$1,1,0)</f>
        <v>0</v>
      </c>
      <c r="AL67" s="4" t="n">
        <f aca="false">IF($B67=AL$1,1,0)</f>
        <v>0</v>
      </c>
      <c r="AM67" s="4" t="n">
        <f aca="false">IF($B67=AM$1,1,0)</f>
        <v>0</v>
      </c>
      <c r="AN67" s="4" t="n">
        <f aca="false">IF($B67=AN$1,1,0)</f>
        <v>0</v>
      </c>
      <c r="AO67" s="4" t="n">
        <f aca="false">IF($B67=AO$1,1,0)</f>
        <v>0</v>
      </c>
      <c r="AP67" s="4" t="n">
        <f aca="false">IF($B67=AP$1,1,0)</f>
        <v>0</v>
      </c>
      <c r="AQ67" s="4" t="n">
        <f aca="false">IF($B67=AQ$1,1,0)</f>
        <v>0</v>
      </c>
      <c r="AR67" s="4" t="n">
        <f aca="false">IF($B67=AR$1,1,0)</f>
        <v>0</v>
      </c>
      <c r="AS67" s="4" t="n">
        <f aca="false">IF($B67=AS$1,1,0)</f>
        <v>0</v>
      </c>
      <c r="AT67" s="4" t="n">
        <f aca="false">IF($B67=AT$1,1,0)</f>
        <v>0</v>
      </c>
      <c r="BB67" s="4" t="n">
        <f aca="false">A67</f>
        <v>66</v>
      </c>
      <c r="BC67" s="7" t="n">
        <f aca="false">ABS($T67-$AX$2)+ABS($U67-$AY$2)+ABS($V67-$AZ$2)</f>
        <v>3818.14788732395</v>
      </c>
      <c r="BD67" s="7" t="n">
        <f aca="false">ABS($T67-$AX$3)+ABS($U67-$AY$3)+ABS($V67-$AZ$3)</f>
        <v>27649.7288135593</v>
      </c>
      <c r="BE67" s="7" t="n">
        <f aca="false">ABS($T67-$AX$4)+ABS($U67-$AY$4)+ABS($V67-$AZ$4)</f>
        <v>58781.641509434</v>
      </c>
      <c r="BF67" s="7" t="n">
        <f aca="false">MIN(BC67:BE67)</f>
        <v>3818.14788732395</v>
      </c>
      <c r="BG67" s="4" t="n">
        <f aca="false">MATCH(BF67,BC67:BE67,0)</f>
        <v>1</v>
      </c>
      <c r="BH67" s="8" t="n">
        <v>1</v>
      </c>
      <c r="BI67" s="4" t="n">
        <f aca="false">IF(BG67=BH67,0,1)</f>
        <v>0</v>
      </c>
      <c r="BK67" s="8" t="n">
        <v>1</v>
      </c>
      <c r="BL67" s="8" t="n">
        <v>1</v>
      </c>
      <c r="BM67" s="8" t="n">
        <v>1</v>
      </c>
    </row>
    <row r="68" customFormat="false" ht="15" hidden="false" customHeight="false" outlineLevel="0" collapsed="false">
      <c r="A68" s="3" t="n">
        <v>67</v>
      </c>
      <c r="B68" s="3" t="s">
        <v>31</v>
      </c>
      <c r="C68" s="3" t="n">
        <v>1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5</v>
      </c>
      <c r="I68" s="3" t="n">
        <v>3</v>
      </c>
      <c r="J68" s="3" t="n">
        <v>3</v>
      </c>
      <c r="K68" s="3" t="n">
        <v>3</v>
      </c>
      <c r="L68" s="3" t="n">
        <v>5</v>
      </c>
      <c r="M68" s="3" t="n">
        <v>3</v>
      </c>
      <c r="N68" s="3" t="n">
        <v>4</v>
      </c>
      <c r="O68" s="3" t="n">
        <v>3</v>
      </c>
      <c r="P68" s="3" t="n">
        <v>3</v>
      </c>
      <c r="Q68" s="3" t="n">
        <v>3</v>
      </c>
      <c r="R68" s="3" t="n">
        <v>4</v>
      </c>
      <c r="S68" s="3" t="n">
        <v>2</v>
      </c>
      <c r="T68" s="3" t="n">
        <v>0</v>
      </c>
      <c r="U68" s="3" t="n">
        <v>28</v>
      </c>
      <c r="V68" s="3" t="n">
        <v>59410</v>
      </c>
      <c r="W68" s="3" t="n">
        <v>1</v>
      </c>
      <c r="X68" s="3" t="n">
        <v>3</v>
      </c>
      <c r="Y68" s="3" t="n">
        <v>1</v>
      </c>
      <c r="Z68" s="3" t="n">
        <v>2</v>
      </c>
      <c r="AA68" s="4" t="n">
        <f aca="false">IF($B68=AA$1,1,0)</f>
        <v>0</v>
      </c>
      <c r="AB68" s="4" t="n">
        <f aca="false">IF($B68=AB$1,1,0)</f>
        <v>0</v>
      </c>
      <c r="AC68" s="4" t="n">
        <f aca="false">IF($B68=AC$1,1,0)</f>
        <v>0</v>
      </c>
      <c r="AD68" s="4" t="n">
        <f aca="false">IF($B68=AD$1,1,0)</f>
        <v>0</v>
      </c>
      <c r="AE68" s="4" t="n">
        <f aca="false">IF($B68=AE$1,1,0)</f>
        <v>0</v>
      </c>
      <c r="AF68" s="4" t="n">
        <f aca="false">IF($B68=AF$1,1,0)</f>
        <v>1</v>
      </c>
      <c r="AG68" s="4" t="n">
        <f aca="false">IF($B68=AG$1,1,0)</f>
        <v>0</v>
      </c>
      <c r="AH68" s="4" t="n">
        <f aca="false">IF($B68=AH$1,1,0)</f>
        <v>0</v>
      </c>
      <c r="AI68" s="4" t="n">
        <f aca="false">IF($B68=AI$1,1,0)</f>
        <v>0</v>
      </c>
      <c r="AJ68" s="4" t="n">
        <f aca="false">IF($B68=AJ$1,1,0)</f>
        <v>0</v>
      </c>
      <c r="AK68" s="4" t="n">
        <f aca="false">IF($B68=AK$1,1,0)</f>
        <v>0</v>
      </c>
      <c r="AL68" s="4" t="n">
        <f aca="false">IF($B68=AL$1,1,0)</f>
        <v>0</v>
      </c>
      <c r="AM68" s="4" t="n">
        <f aca="false">IF($B68=AM$1,1,0)</f>
        <v>0</v>
      </c>
      <c r="AN68" s="4" t="n">
        <f aca="false">IF($B68=AN$1,1,0)</f>
        <v>0</v>
      </c>
      <c r="AO68" s="4" t="n">
        <f aca="false">IF($B68=AO$1,1,0)</f>
        <v>0</v>
      </c>
      <c r="AP68" s="4" t="n">
        <f aca="false">IF($B68=AP$1,1,0)</f>
        <v>0</v>
      </c>
      <c r="AQ68" s="4" t="n">
        <f aca="false">IF($B68=AQ$1,1,0)</f>
        <v>0</v>
      </c>
      <c r="AR68" s="4" t="n">
        <f aca="false">IF($B68=AR$1,1,0)</f>
        <v>0</v>
      </c>
      <c r="AS68" s="4" t="n">
        <f aca="false">IF($B68=AS$1,1,0)</f>
        <v>0</v>
      </c>
      <c r="AT68" s="4" t="n">
        <f aca="false">IF($B68=AT$1,1,0)</f>
        <v>0</v>
      </c>
      <c r="BB68" s="4" t="n">
        <f aca="false">A68</f>
        <v>67</v>
      </c>
      <c r="BC68" s="7" t="n">
        <f aca="false">ABS($T68-$AX$2)+ABS($U68-$AY$2)+ABS($V68-$AZ$2)</f>
        <v>36586.7676056338</v>
      </c>
      <c r="BD68" s="7" t="n">
        <f aca="false">ABS($T68-$AX$3)+ABS($U68-$AY$3)+ABS($V68-$AZ$3)</f>
        <v>12760.406779661</v>
      </c>
      <c r="BE68" s="7" t="n">
        <f aca="false">ABS($T68-$AX$4)+ABS($U68-$AY$4)+ABS($V68-$AZ$4)</f>
        <v>18398.641509434</v>
      </c>
      <c r="BF68" s="7" t="n">
        <f aca="false">MIN(BC68:BE68)</f>
        <v>12760.406779661</v>
      </c>
      <c r="BG68" s="4" t="n">
        <f aca="false">MATCH(BF68,BC68:BE68,0)</f>
        <v>2</v>
      </c>
      <c r="BH68" s="8" t="n">
        <v>2</v>
      </c>
      <c r="BI68" s="4" t="n">
        <f aca="false">IF(BG68=BH68,0,1)</f>
        <v>0</v>
      </c>
      <c r="BK68" s="8" t="n">
        <v>2</v>
      </c>
      <c r="BL68" s="8" t="n">
        <v>2</v>
      </c>
      <c r="BM68" s="8" t="n">
        <v>2</v>
      </c>
    </row>
    <row r="69" customFormat="false" ht="15" hidden="false" customHeight="false" outlineLevel="0" collapsed="false">
      <c r="A69" s="3" t="n">
        <v>68</v>
      </c>
      <c r="B69" s="3" t="s">
        <v>31</v>
      </c>
      <c r="C69" s="3" t="n">
        <v>0</v>
      </c>
      <c r="D69" s="3" t="n">
        <v>0</v>
      </c>
      <c r="E69" s="3" t="n">
        <v>1</v>
      </c>
      <c r="F69" s="3" t="n">
        <v>0</v>
      </c>
      <c r="G69" s="3" t="n">
        <v>4</v>
      </c>
      <c r="H69" s="3" t="n">
        <v>5</v>
      </c>
      <c r="I69" s="3" t="n">
        <v>5</v>
      </c>
      <c r="J69" s="3" t="n">
        <v>5</v>
      </c>
      <c r="K69" s="3" t="n">
        <v>5</v>
      </c>
      <c r="L69" s="3" t="n">
        <v>5</v>
      </c>
      <c r="M69" s="3" t="n">
        <v>4</v>
      </c>
      <c r="N69" s="3" t="n">
        <v>2</v>
      </c>
      <c r="O69" s="3" t="n">
        <v>4</v>
      </c>
      <c r="P69" s="3" t="n">
        <v>3</v>
      </c>
      <c r="Q69" s="3" t="n">
        <v>4</v>
      </c>
      <c r="R69" s="3" t="n">
        <v>5</v>
      </c>
      <c r="S69" s="3" t="n">
        <v>4</v>
      </c>
      <c r="T69" s="3" t="n">
        <v>0</v>
      </c>
      <c r="U69" s="3" t="n">
        <v>22</v>
      </c>
      <c r="V69" s="3" t="n">
        <v>46774</v>
      </c>
      <c r="W69" s="3" t="n">
        <v>2</v>
      </c>
      <c r="X69" s="3" t="n">
        <v>1</v>
      </c>
      <c r="Y69" s="3" t="n">
        <v>2</v>
      </c>
      <c r="Z69" s="3" t="n">
        <v>2</v>
      </c>
      <c r="AA69" s="4" t="n">
        <f aca="false">IF($B69=AA$1,1,0)</f>
        <v>0</v>
      </c>
      <c r="AB69" s="4" t="n">
        <f aca="false">IF($B69=AB$1,1,0)</f>
        <v>0</v>
      </c>
      <c r="AC69" s="4" t="n">
        <f aca="false">IF($B69=AC$1,1,0)</f>
        <v>0</v>
      </c>
      <c r="AD69" s="4" t="n">
        <f aca="false">IF($B69=AD$1,1,0)</f>
        <v>0</v>
      </c>
      <c r="AE69" s="4" t="n">
        <f aca="false">IF($B69=AE$1,1,0)</f>
        <v>0</v>
      </c>
      <c r="AF69" s="4" t="n">
        <f aca="false">IF($B69=AF$1,1,0)</f>
        <v>1</v>
      </c>
      <c r="AG69" s="4" t="n">
        <f aca="false">IF($B69=AG$1,1,0)</f>
        <v>0</v>
      </c>
      <c r="AH69" s="4" t="n">
        <f aca="false">IF($B69=AH$1,1,0)</f>
        <v>0</v>
      </c>
      <c r="AI69" s="4" t="n">
        <f aca="false">IF($B69=AI$1,1,0)</f>
        <v>0</v>
      </c>
      <c r="AJ69" s="4" t="n">
        <f aca="false">IF($B69=AJ$1,1,0)</f>
        <v>0</v>
      </c>
      <c r="AK69" s="4" t="n">
        <f aca="false">IF($B69=AK$1,1,0)</f>
        <v>0</v>
      </c>
      <c r="AL69" s="4" t="n">
        <f aca="false">IF($B69=AL$1,1,0)</f>
        <v>0</v>
      </c>
      <c r="AM69" s="4" t="n">
        <f aca="false">IF($B69=AM$1,1,0)</f>
        <v>0</v>
      </c>
      <c r="AN69" s="4" t="n">
        <f aca="false">IF($B69=AN$1,1,0)</f>
        <v>0</v>
      </c>
      <c r="AO69" s="4" t="n">
        <f aca="false">IF($B69=AO$1,1,0)</f>
        <v>0</v>
      </c>
      <c r="AP69" s="4" t="n">
        <f aca="false">IF($B69=AP$1,1,0)</f>
        <v>0</v>
      </c>
      <c r="AQ69" s="4" t="n">
        <f aca="false">IF($B69=AQ$1,1,0)</f>
        <v>0</v>
      </c>
      <c r="AR69" s="4" t="n">
        <f aca="false">IF($B69=AR$1,1,0)</f>
        <v>0</v>
      </c>
      <c r="AS69" s="4" t="n">
        <f aca="false">IF($B69=AS$1,1,0)</f>
        <v>0</v>
      </c>
      <c r="AT69" s="4" t="n">
        <f aca="false">IF($B69=AT$1,1,0)</f>
        <v>0</v>
      </c>
      <c r="BB69" s="4" t="n">
        <f aca="false">A69</f>
        <v>68</v>
      </c>
      <c r="BC69" s="7" t="n">
        <f aca="false">ABS($T69-$AX$2)+ABS($U69-$AY$2)+ABS($V69-$AZ$2)</f>
        <v>23956.7676056338</v>
      </c>
      <c r="BD69" s="7" t="n">
        <f aca="false">ABS($T69-$AX$3)+ABS($U69-$AY$3)+ABS($V69-$AZ$3)</f>
        <v>130.406779661015</v>
      </c>
      <c r="BE69" s="7" t="n">
        <f aca="false">ABS($T69-$AX$4)+ABS($U69-$AY$4)+ABS($V69-$AZ$4)</f>
        <v>31040.641509434</v>
      </c>
      <c r="BF69" s="7" t="n">
        <f aca="false">MIN(BC69:BE69)</f>
        <v>130.406779661015</v>
      </c>
      <c r="BG69" s="4" t="n">
        <f aca="false">MATCH(BF69,BC69:BE69,0)</f>
        <v>2</v>
      </c>
      <c r="BH69" s="8" t="n">
        <v>2</v>
      </c>
      <c r="BI69" s="4" t="n">
        <f aca="false">IF(BG69=BH69,0,1)</f>
        <v>0</v>
      </c>
      <c r="BK69" s="8" t="n">
        <v>2</v>
      </c>
      <c r="BL69" s="8" t="n">
        <v>2</v>
      </c>
      <c r="BM69" s="8" t="n">
        <v>2</v>
      </c>
    </row>
    <row r="70" customFormat="false" ht="15" hidden="false" customHeight="false" outlineLevel="0" collapsed="false">
      <c r="A70" s="3" t="n">
        <v>69</v>
      </c>
      <c r="B70" s="3" t="s">
        <v>33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5</v>
      </c>
      <c r="I70" s="3" t="n">
        <v>4</v>
      </c>
      <c r="J70" s="3" t="n">
        <v>5</v>
      </c>
      <c r="K70" s="3" t="n">
        <v>5</v>
      </c>
      <c r="L70" s="3" t="n">
        <v>5</v>
      </c>
      <c r="M70" s="3" t="n">
        <v>4</v>
      </c>
      <c r="N70" s="3" t="n">
        <v>4</v>
      </c>
      <c r="O70" s="3" t="n">
        <v>4</v>
      </c>
      <c r="P70" s="3" t="n">
        <v>4</v>
      </c>
      <c r="Q70" s="3" t="n">
        <v>4</v>
      </c>
      <c r="R70" s="3" t="n">
        <v>4</v>
      </c>
      <c r="S70" s="3" t="n">
        <v>4</v>
      </c>
      <c r="T70" s="3" t="n">
        <v>0</v>
      </c>
      <c r="U70" s="3" t="n">
        <v>56</v>
      </c>
      <c r="V70" s="3" t="n">
        <v>44952</v>
      </c>
      <c r="W70" s="3" t="n">
        <v>2</v>
      </c>
      <c r="X70" s="3" t="n">
        <v>3</v>
      </c>
      <c r="Y70" s="3" t="n">
        <v>2</v>
      </c>
      <c r="Z70" s="3" t="n">
        <v>1</v>
      </c>
      <c r="AA70" s="4" t="n">
        <f aca="false">IF($B70=AA$1,1,0)</f>
        <v>0</v>
      </c>
      <c r="AB70" s="4" t="n">
        <f aca="false">IF($B70=AB$1,1,0)</f>
        <v>0</v>
      </c>
      <c r="AC70" s="4" t="n">
        <f aca="false">IF($B70=AC$1,1,0)</f>
        <v>0</v>
      </c>
      <c r="AD70" s="4" t="n">
        <f aca="false">IF($B70=AD$1,1,0)</f>
        <v>0</v>
      </c>
      <c r="AE70" s="4" t="n">
        <f aca="false">IF($B70=AE$1,1,0)</f>
        <v>0</v>
      </c>
      <c r="AF70" s="4" t="n">
        <f aca="false">IF($B70=AF$1,1,0)</f>
        <v>0</v>
      </c>
      <c r="AG70" s="4" t="n">
        <f aca="false">IF($B70=AG$1,1,0)</f>
        <v>0</v>
      </c>
      <c r="AH70" s="4" t="n">
        <f aca="false">IF($B70=AH$1,1,0)</f>
        <v>1</v>
      </c>
      <c r="AI70" s="4" t="n">
        <f aca="false">IF($B70=AI$1,1,0)</f>
        <v>0</v>
      </c>
      <c r="AJ70" s="4" t="n">
        <f aca="false">IF($B70=AJ$1,1,0)</f>
        <v>0</v>
      </c>
      <c r="AK70" s="4" t="n">
        <f aca="false">IF($B70=AK$1,1,0)</f>
        <v>0</v>
      </c>
      <c r="AL70" s="4" t="n">
        <f aca="false">IF($B70=AL$1,1,0)</f>
        <v>0</v>
      </c>
      <c r="AM70" s="4" t="n">
        <f aca="false">IF($B70=AM$1,1,0)</f>
        <v>0</v>
      </c>
      <c r="AN70" s="4" t="n">
        <f aca="false">IF($B70=AN$1,1,0)</f>
        <v>0</v>
      </c>
      <c r="AO70" s="4" t="n">
        <f aca="false">IF($B70=AO$1,1,0)</f>
        <v>0</v>
      </c>
      <c r="AP70" s="4" t="n">
        <f aca="false">IF($B70=AP$1,1,0)</f>
        <v>0</v>
      </c>
      <c r="AQ70" s="4" t="n">
        <f aca="false">IF($B70=AQ$1,1,0)</f>
        <v>0</v>
      </c>
      <c r="AR70" s="4" t="n">
        <f aca="false">IF($B70=AR$1,1,0)</f>
        <v>0</v>
      </c>
      <c r="AS70" s="4" t="n">
        <f aca="false">IF($B70=AS$1,1,0)</f>
        <v>0</v>
      </c>
      <c r="AT70" s="4" t="n">
        <f aca="false">IF($B70=AT$1,1,0)</f>
        <v>0</v>
      </c>
      <c r="BB70" s="4" t="n">
        <f aca="false">A70</f>
        <v>69</v>
      </c>
      <c r="BC70" s="7" t="n">
        <f aca="false">ABS($T70-$AX$2)+ABS($U70-$AY$2)+ABS($V70-$AZ$2)</f>
        <v>22135.2887323944</v>
      </c>
      <c r="BD70" s="7" t="n">
        <f aca="false">ABS($T70-$AX$3)+ABS($U70-$AY$3)+ABS($V70-$AZ$3)</f>
        <v>1725.96610169492</v>
      </c>
      <c r="BE70" s="7" t="n">
        <f aca="false">ABS($T70-$AX$4)+ABS($U70-$AY$4)+ABS($V70-$AZ$4)</f>
        <v>32856.6037735849</v>
      </c>
      <c r="BF70" s="7" t="n">
        <f aca="false">MIN(BC70:BE70)</f>
        <v>1725.96610169492</v>
      </c>
      <c r="BG70" s="4" t="n">
        <f aca="false">MATCH(BF70,BC70:BE70,0)</f>
        <v>2</v>
      </c>
      <c r="BH70" s="8" t="n">
        <v>2</v>
      </c>
      <c r="BI70" s="4" t="n">
        <f aca="false">IF(BG70=BH70,0,1)</f>
        <v>0</v>
      </c>
      <c r="BK70" s="8" t="n">
        <v>2</v>
      </c>
      <c r="BL70" s="8" t="n">
        <v>2</v>
      </c>
      <c r="BM70" s="8" t="n">
        <v>2</v>
      </c>
    </row>
    <row r="71" customFormat="false" ht="15" hidden="false" customHeight="false" outlineLevel="0" collapsed="false">
      <c r="A71" s="3" t="n">
        <v>70</v>
      </c>
      <c r="B71" s="3" t="s">
        <v>27</v>
      </c>
      <c r="C71" s="3" t="n">
        <v>0</v>
      </c>
      <c r="D71" s="3" t="n">
        <v>0</v>
      </c>
      <c r="E71" s="3" t="n">
        <v>1</v>
      </c>
      <c r="F71" s="3" t="n">
        <v>0</v>
      </c>
      <c r="G71" s="3" t="n">
        <v>0</v>
      </c>
      <c r="H71" s="3" t="n">
        <v>3</v>
      </c>
      <c r="I71" s="3" t="n">
        <v>4</v>
      </c>
      <c r="J71" s="3" t="n">
        <v>4</v>
      </c>
      <c r="K71" s="3" t="n">
        <v>4</v>
      </c>
      <c r="L71" s="3" t="n">
        <v>5</v>
      </c>
      <c r="M71" s="3" t="n">
        <v>4</v>
      </c>
      <c r="N71" s="3" t="n">
        <v>3</v>
      </c>
      <c r="O71" s="3" t="n">
        <v>5</v>
      </c>
      <c r="P71" s="3" t="n">
        <v>4</v>
      </c>
      <c r="Q71" s="3" t="n">
        <v>4</v>
      </c>
      <c r="R71" s="3" t="n">
        <v>5</v>
      </c>
      <c r="S71" s="3" t="n">
        <v>5</v>
      </c>
      <c r="T71" s="3" t="n">
        <v>1</v>
      </c>
      <c r="U71" s="3" t="n">
        <v>51</v>
      </c>
      <c r="V71" s="3" t="n">
        <v>25063</v>
      </c>
      <c r="W71" s="3" t="n">
        <v>3</v>
      </c>
      <c r="X71" s="3" t="n">
        <v>4</v>
      </c>
      <c r="Y71" s="3" t="n">
        <v>2</v>
      </c>
      <c r="Z71" s="3" t="n">
        <v>2</v>
      </c>
      <c r="AA71" s="4" t="n">
        <f aca="false">IF($B71=AA$1,1,0)</f>
        <v>0</v>
      </c>
      <c r="AB71" s="4" t="n">
        <f aca="false">IF($B71=AB$1,1,0)</f>
        <v>1</v>
      </c>
      <c r="AC71" s="4" t="n">
        <f aca="false">IF($B71=AC$1,1,0)</f>
        <v>0</v>
      </c>
      <c r="AD71" s="4" t="n">
        <f aca="false">IF($B71=AD$1,1,0)</f>
        <v>0</v>
      </c>
      <c r="AE71" s="4" t="n">
        <f aca="false">IF($B71=AE$1,1,0)</f>
        <v>0</v>
      </c>
      <c r="AF71" s="4" t="n">
        <f aca="false">IF($B71=AF$1,1,0)</f>
        <v>0</v>
      </c>
      <c r="AG71" s="4" t="n">
        <f aca="false">IF($B71=AG$1,1,0)</f>
        <v>0</v>
      </c>
      <c r="AH71" s="4" t="n">
        <f aca="false">IF($B71=AH$1,1,0)</f>
        <v>0</v>
      </c>
      <c r="AI71" s="4" t="n">
        <f aca="false">IF($B71=AI$1,1,0)</f>
        <v>0</v>
      </c>
      <c r="AJ71" s="4" t="n">
        <f aca="false">IF($B71=AJ$1,1,0)</f>
        <v>0</v>
      </c>
      <c r="AK71" s="4" t="n">
        <f aca="false">IF($B71=AK$1,1,0)</f>
        <v>0</v>
      </c>
      <c r="AL71" s="4" t="n">
        <f aca="false">IF($B71=AL$1,1,0)</f>
        <v>0</v>
      </c>
      <c r="AM71" s="4" t="n">
        <f aca="false">IF($B71=AM$1,1,0)</f>
        <v>0</v>
      </c>
      <c r="AN71" s="4" t="n">
        <f aca="false">IF($B71=AN$1,1,0)</f>
        <v>0</v>
      </c>
      <c r="AO71" s="4" t="n">
        <f aca="false">IF($B71=AO$1,1,0)</f>
        <v>0</v>
      </c>
      <c r="AP71" s="4" t="n">
        <f aca="false">IF($B71=AP$1,1,0)</f>
        <v>0</v>
      </c>
      <c r="AQ71" s="4" t="n">
        <f aca="false">IF($B71=AQ$1,1,0)</f>
        <v>0</v>
      </c>
      <c r="AR71" s="4" t="n">
        <f aca="false">IF($B71=AR$1,1,0)</f>
        <v>0</v>
      </c>
      <c r="AS71" s="4" t="n">
        <f aca="false">IF($B71=AS$1,1,0)</f>
        <v>0</v>
      </c>
      <c r="AT71" s="4" t="n">
        <f aca="false">IF($B71=AT$1,1,0)</f>
        <v>0</v>
      </c>
      <c r="BB71" s="4" t="n">
        <f aca="false">A71</f>
        <v>70</v>
      </c>
      <c r="BC71" s="7" t="n">
        <f aca="false">ABS($T71-$AX$2)+ABS($U71-$AY$2)+ABS($V71-$AZ$2)</f>
        <v>2241.85211267605</v>
      </c>
      <c r="BD71" s="7" t="n">
        <f aca="false">ABS($T71-$AX$3)+ABS($U71-$AY$3)+ABS($V71-$AZ$3)</f>
        <v>21610.593220339</v>
      </c>
      <c r="BE71" s="7" t="n">
        <f aca="false">ABS($T71-$AX$4)+ABS($U71-$AY$4)+ABS($V71-$AZ$4)</f>
        <v>52741.0754716981</v>
      </c>
      <c r="BF71" s="7" t="n">
        <f aca="false">MIN(BC71:BE71)</f>
        <v>2241.85211267605</v>
      </c>
      <c r="BG71" s="4" t="n">
        <f aca="false">MATCH(BF71,BC71:BE71,0)</f>
        <v>1</v>
      </c>
      <c r="BH71" s="8" t="n">
        <v>1</v>
      </c>
      <c r="BI71" s="4" t="n">
        <f aca="false">IF(BG71=BH71,0,1)</f>
        <v>0</v>
      </c>
      <c r="BK71" s="8" t="n">
        <v>1</v>
      </c>
      <c r="BL71" s="8" t="n">
        <v>1</v>
      </c>
      <c r="BM71" s="8" t="n">
        <v>1</v>
      </c>
    </row>
    <row r="72" customFormat="false" ht="15" hidden="false" customHeight="false" outlineLevel="0" collapsed="false">
      <c r="A72" s="3" t="n">
        <v>71</v>
      </c>
      <c r="B72" s="3" t="s">
        <v>31</v>
      </c>
      <c r="C72" s="3" t="n">
        <v>1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5</v>
      </c>
      <c r="I72" s="3" t="n">
        <v>5</v>
      </c>
      <c r="J72" s="3" t="n">
        <v>5</v>
      </c>
      <c r="K72" s="3" t="n">
        <v>5</v>
      </c>
      <c r="L72" s="3" t="n">
        <v>5</v>
      </c>
      <c r="M72" s="3" t="n">
        <v>5</v>
      </c>
      <c r="N72" s="3" t="n">
        <v>3</v>
      </c>
      <c r="O72" s="3" t="n">
        <v>4</v>
      </c>
      <c r="P72" s="3" t="n">
        <v>3</v>
      </c>
      <c r="Q72" s="3" t="n">
        <v>4</v>
      </c>
      <c r="R72" s="3" t="n">
        <v>5</v>
      </c>
      <c r="S72" s="3" t="n">
        <v>3</v>
      </c>
      <c r="T72" s="3" t="n">
        <v>0</v>
      </c>
      <c r="U72" s="3" t="n">
        <v>33</v>
      </c>
      <c r="V72" s="3" t="n">
        <v>20022</v>
      </c>
      <c r="W72" s="3" t="n">
        <v>1</v>
      </c>
      <c r="X72" s="3" t="n">
        <v>2</v>
      </c>
      <c r="Y72" s="3" t="n">
        <v>2</v>
      </c>
      <c r="Z72" s="3" t="n">
        <v>2</v>
      </c>
      <c r="AA72" s="4" t="n">
        <f aca="false">IF($B72=AA$1,1,0)</f>
        <v>0</v>
      </c>
      <c r="AB72" s="4" t="n">
        <f aca="false">IF($B72=AB$1,1,0)</f>
        <v>0</v>
      </c>
      <c r="AC72" s="4" t="n">
        <f aca="false">IF($B72=AC$1,1,0)</f>
        <v>0</v>
      </c>
      <c r="AD72" s="4" t="n">
        <f aca="false">IF($B72=AD$1,1,0)</f>
        <v>0</v>
      </c>
      <c r="AE72" s="4" t="n">
        <f aca="false">IF($B72=AE$1,1,0)</f>
        <v>0</v>
      </c>
      <c r="AF72" s="4" t="n">
        <f aca="false">IF($B72=AF$1,1,0)</f>
        <v>1</v>
      </c>
      <c r="AG72" s="4" t="n">
        <f aca="false">IF($B72=AG$1,1,0)</f>
        <v>0</v>
      </c>
      <c r="AH72" s="4" t="n">
        <f aca="false">IF($B72=AH$1,1,0)</f>
        <v>0</v>
      </c>
      <c r="AI72" s="4" t="n">
        <f aca="false">IF($B72=AI$1,1,0)</f>
        <v>0</v>
      </c>
      <c r="AJ72" s="4" t="n">
        <f aca="false">IF($B72=AJ$1,1,0)</f>
        <v>0</v>
      </c>
      <c r="AK72" s="4" t="n">
        <f aca="false">IF($B72=AK$1,1,0)</f>
        <v>0</v>
      </c>
      <c r="AL72" s="4" t="n">
        <f aca="false">IF($B72=AL$1,1,0)</f>
        <v>0</v>
      </c>
      <c r="AM72" s="4" t="n">
        <f aca="false">IF($B72=AM$1,1,0)</f>
        <v>0</v>
      </c>
      <c r="AN72" s="4" t="n">
        <f aca="false">IF($B72=AN$1,1,0)</f>
        <v>0</v>
      </c>
      <c r="AO72" s="4" t="n">
        <f aca="false">IF($B72=AO$1,1,0)</f>
        <v>0</v>
      </c>
      <c r="AP72" s="4" t="n">
        <f aca="false">IF($B72=AP$1,1,0)</f>
        <v>0</v>
      </c>
      <c r="AQ72" s="4" t="n">
        <f aca="false">IF($B72=AQ$1,1,0)</f>
        <v>0</v>
      </c>
      <c r="AR72" s="4" t="n">
        <f aca="false">IF($B72=AR$1,1,0)</f>
        <v>0</v>
      </c>
      <c r="AS72" s="4" t="n">
        <f aca="false">IF($B72=AS$1,1,0)</f>
        <v>0</v>
      </c>
      <c r="AT72" s="4" t="n">
        <f aca="false">IF($B72=AT$1,1,0)</f>
        <v>0</v>
      </c>
      <c r="BB72" s="4" t="n">
        <f aca="false">A72</f>
        <v>71</v>
      </c>
      <c r="BC72" s="7" t="n">
        <f aca="false">ABS($T72-$AX$2)+ABS($U72-$AY$2)+ABS($V72-$AZ$2)</f>
        <v>2818.14788732395</v>
      </c>
      <c r="BD72" s="7" t="n">
        <f aca="false">ABS($T72-$AX$3)+ABS($U72-$AY$3)+ABS($V72-$AZ$3)</f>
        <v>26649.7288135593</v>
      </c>
      <c r="BE72" s="7" t="n">
        <f aca="false">ABS($T72-$AX$4)+ABS($U72-$AY$4)+ABS($V72-$AZ$4)</f>
        <v>57781.641509434</v>
      </c>
      <c r="BF72" s="7" t="n">
        <f aca="false">MIN(BC72:BE72)</f>
        <v>2818.14788732395</v>
      </c>
      <c r="BG72" s="4" t="n">
        <f aca="false">MATCH(BF72,BC72:BE72,0)</f>
        <v>1</v>
      </c>
      <c r="BH72" s="8" t="n">
        <v>1</v>
      </c>
      <c r="BI72" s="4" t="n">
        <f aca="false">IF(BG72=BH72,0,1)</f>
        <v>0</v>
      </c>
      <c r="BK72" s="8" t="n">
        <v>1</v>
      </c>
      <c r="BL72" s="8" t="n">
        <v>1</v>
      </c>
      <c r="BM72" s="8" t="n">
        <v>1</v>
      </c>
    </row>
    <row r="73" customFormat="false" ht="15" hidden="false" customHeight="false" outlineLevel="0" collapsed="false">
      <c r="A73" s="3" t="n">
        <v>72</v>
      </c>
      <c r="B73" s="3" t="s">
        <v>45</v>
      </c>
      <c r="C73" s="3" t="n">
        <v>1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5</v>
      </c>
      <c r="I73" s="3" t="n">
        <v>4</v>
      </c>
      <c r="J73" s="3" t="n">
        <v>5</v>
      </c>
      <c r="K73" s="3" t="n">
        <v>4</v>
      </c>
      <c r="L73" s="3" t="n">
        <v>5</v>
      </c>
      <c r="M73" s="3" t="n">
        <v>4</v>
      </c>
      <c r="N73" s="3" t="n">
        <v>5</v>
      </c>
      <c r="O73" s="3" t="n">
        <v>4</v>
      </c>
      <c r="P73" s="3" t="n">
        <v>3</v>
      </c>
      <c r="Q73" s="3" t="n">
        <v>4</v>
      </c>
      <c r="R73" s="3" t="n">
        <v>4</v>
      </c>
      <c r="S73" s="3" t="n">
        <v>3</v>
      </c>
      <c r="T73" s="3" t="n">
        <v>0</v>
      </c>
      <c r="U73" s="3" t="n">
        <v>55</v>
      </c>
      <c r="V73" s="3" t="n">
        <v>39912</v>
      </c>
      <c r="W73" s="3" t="n">
        <v>2</v>
      </c>
      <c r="X73" s="3" t="n">
        <v>4</v>
      </c>
      <c r="Y73" s="3" t="n">
        <v>2</v>
      </c>
      <c r="Z73" s="3" t="n">
        <v>2</v>
      </c>
      <c r="AA73" s="4" t="n">
        <f aca="false">IF($B73=AA$1,1,0)</f>
        <v>0</v>
      </c>
      <c r="AB73" s="4" t="n">
        <f aca="false">IF($B73=AB$1,1,0)</f>
        <v>0</v>
      </c>
      <c r="AC73" s="4" t="n">
        <f aca="false">IF($B73=AC$1,1,0)</f>
        <v>0</v>
      </c>
      <c r="AD73" s="4" t="n">
        <f aca="false">IF($B73=AD$1,1,0)</f>
        <v>0</v>
      </c>
      <c r="AE73" s="4" t="n">
        <f aca="false">IF($B73=AE$1,1,0)</f>
        <v>0</v>
      </c>
      <c r="AF73" s="4" t="n">
        <f aca="false">IF($B73=AF$1,1,0)</f>
        <v>0</v>
      </c>
      <c r="AG73" s="4" t="n">
        <f aca="false">IF($B73=AG$1,1,0)</f>
        <v>0</v>
      </c>
      <c r="AH73" s="4" t="n">
        <f aca="false">IF($B73=AH$1,1,0)</f>
        <v>0</v>
      </c>
      <c r="AI73" s="4" t="n">
        <f aca="false">IF($B73=AI$1,1,0)</f>
        <v>0</v>
      </c>
      <c r="AJ73" s="4" t="n">
        <f aca="false">IF($B73=AJ$1,1,0)</f>
        <v>0</v>
      </c>
      <c r="AK73" s="4" t="n">
        <f aca="false">IF($B73=AK$1,1,0)</f>
        <v>0</v>
      </c>
      <c r="AL73" s="4" t="n">
        <f aca="false">IF($B73=AL$1,1,0)</f>
        <v>0</v>
      </c>
      <c r="AM73" s="4" t="n">
        <f aca="false">IF($B73=AM$1,1,0)</f>
        <v>0</v>
      </c>
      <c r="AN73" s="4" t="n">
        <f aca="false">IF($B73=AN$1,1,0)</f>
        <v>0</v>
      </c>
      <c r="AO73" s="4" t="n">
        <f aca="false">IF($B73=AO$1,1,0)</f>
        <v>0</v>
      </c>
      <c r="AP73" s="4" t="n">
        <f aca="false">IF($B73=AP$1,1,0)</f>
        <v>0</v>
      </c>
      <c r="AQ73" s="4" t="n">
        <f aca="false">IF($B73=AQ$1,1,0)</f>
        <v>0</v>
      </c>
      <c r="AR73" s="4" t="n">
        <f aca="false">IF($B73=AR$1,1,0)</f>
        <v>0</v>
      </c>
      <c r="AS73" s="4" t="n">
        <f aca="false">IF($B73=AS$1,1,0)</f>
        <v>0</v>
      </c>
      <c r="AT73" s="4" t="n">
        <f aca="false">IF($B73=AT$1,1,0)</f>
        <v>1</v>
      </c>
      <c r="BB73" s="4" t="n">
        <f aca="false">A73</f>
        <v>72</v>
      </c>
      <c r="BC73" s="7" t="n">
        <f aca="false">ABS($T73-$AX$2)+ABS($U73-$AY$2)+ABS($V73-$AZ$2)</f>
        <v>17094.2887323944</v>
      </c>
      <c r="BD73" s="7" t="n">
        <f aca="false">ABS($T73-$AX$3)+ABS($U73-$AY$3)+ABS($V73-$AZ$3)</f>
        <v>6764.96610169492</v>
      </c>
      <c r="BE73" s="7" t="n">
        <f aca="false">ABS($T73-$AX$4)+ABS($U73-$AY$4)+ABS($V73-$AZ$4)</f>
        <v>37895.6037735849</v>
      </c>
      <c r="BF73" s="7" t="n">
        <f aca="false">MIN(BC73:BE73)</f>
        <v>6764.96610169492</v>
      </c>
      <c r="BG73" s="4" t="n">
        <f aca="false">MATCH(BF73,BC73:BE73,0)</f>
        <v>2</v>
      </c>
      <c r="BH73" s="8" t="n">
        <v>2</v>
      </c>
      <c r="BI73" s="4" t="n">
        <f aca="false">IF(BG73=BH73,0,1)</f>
        <v>0</v>
      </c>
      <c r="BK73" s="8" t="n">
        <v>2</v>
      </c>
      <c r="BL73" s="8" t="n">
        <v>2</v>
      </c>
      <c r="BM73" s="8" t="n">
        <v>2</v>
      </c>
    </row>
    <row r="74" customFormat="false" ht="15" hidden="false" customHeight="false" outlineLevel="0" collapsed="false">
      <c r="A74" s="3" t="n">
        <v>73</v>
      </c>
      <c r="B74" s="3" t="s">
        <v>36</v>
      </c>
      <c r="C74" s="3" t="n">
        <v>0</v>
      </c>
      <c r="D74" s="3" t="n">
        <v>0</v>
      </c>
      <c r="E74" s="3" t="n">
        <v>1</v>
      </c>
      <c r="F74" s="3" t="n">
        <v>0</v>
      </c>
      <c r="G74" s="3" t="n">
        <v>0</v>
      </c>
      <c r="H74" s="3" t="n">
        <v>5</v>
      </c>
      <c r="I74" s="3" t="n">
        <v>5</v>
      </c>
      <c r="J74" s="3" t="n">
        <v>4</v>
      </c>
      <c r="K74" s="3" t="n">
        <v>4</v>
      </c>
      <c r="L74" s="3" t="n">
        <v>5</v>
      </c>
      <c r="M74" s="3" t="n">
        <v>4</v>
      </c>
      <c r="N74" s="3" t="n">
        <v>5</v>
      </c>
      <c r="O74" s="3" t="n">
        <v>4</v>
      </c>
      <c r="P74" s="3" t="n">
        <v>5</v>
      </c>
      <c r="Q74" s="3" t="n">
        <v>5</v>
      </c>
      <c r="R74" s="3" t="n">
        <v>5</v>
      </c>
      <c r="S74" s="3" t="n">
        <v>5</v>
      </c>
      <c r="T74" s="3" t="n">
        <v>1</v>
      </c>
      <c r="U74" s="3" t="n">
        <v>66</v>
      </c>
      <c r="V74" s="3" t="n">
        <v>16627</v>
      </c>
      <c r="W74" s="3" t="n">
        <v>2</v>
      </c>
      <c r="X74" s="3" t="n">
        <v>2</v>
      </c>
      <c r="Y74" s="3" t="n">
        <v>3</v>
      </c>
      <c r="Z74" s="3" t="n">
        <v>2</v>
      </c>
      <c r="AA74" s="4" t="n">
        <f aca="false">IF($B74=AA$1,1,0)</f>
        <v>0</v>
      </c>
      <c r="AB74" s="4" t="n">
        <f aca="false">IF($B74=AB$1,1,0)</f>
        <v>0</v>
      </c>
      <c r="AC74" s="4" t="n">
        <f aca="false">IF($B74=AC$1,1,0)</f>
        <v>0</v>
      </c>
      <c r="AD74" s="4" t="n">
        <f aca="false">IF($B74=AD$1,1,0)</f>
        <v>0</v>
      </c>
      <c r="AE74" s="4" t="n">
        <f aca="false">IF($B74=AE$1,1,0)</f>
        <v>0</v>
      </c>
      <c r="AF74" s="4" t="n">
        <f aca="false">IF($B74=AF$1,1,0)</f>
        <v>0</v>
      </c>
      <c r="AG74" s="4" t="n">
        <f aca="false">IF($B74=AG$1,1,0)</f>
        <v>0</v>
      </c>
      <c r="AH74" s="4" t="n">
        <f aca="false">IF($B74=AH$1,1,0)</f>
        <v>0</v>
      </c>
      <c r="AI74" s="4" t="n">
        <f aca="false">IF($B74=AI$1,1,0)</f>
        <v>0</v>
      </c>
      <c r="AJ74" s="4" t="n">
        <f aca="false">IF($B74=AJ$1,1,0)</f>
        <v>0</v>
      </c>
      <c r="AK74" s="4" t="n">
        <f aca="false">IF($B74=AK$1,1,0)</f>
        <v>1</v>
      </c>
      <c r="AL74" s="4" t="n">
        <f aca="false">IF($B74=AL$1,1,0)</f>
        <v>0</v>
      </c>
      <c r="AM74" s="4" t="n">
        <f aca="false">IF($B74=AM$1,1,0)</f>
        <v>0</v>
      </c>
      <c r="AN74" s="4" t="n">
        <f aca="false">IF($B74=AN$1,1,0)</f>
        <v>0</v>
      </c>
      <c r="AO74" s="4" t="n">
        <f aca="false">IF($B74=AO$1,1,0)</f>
        <v>0</v>
      </c>
      <c r="AP74" s="4" t="n">
        <f aca="false">IF($B74=AP$1,1,0)</f>
        <v>0</v>
      </c>
      <c r="AQ74" s="4" t="n">
        <f aca="false">IF($B74=AQ$1,1,0)</f>
        <v>0</v>
      </c>
      <c r="AR74" s="4" t="n">
        <f aca="false">IF($B74=AR$1,1,0)</f>
        <v>0</v>
      </c>
      <c r="AS74" s="4" t="n">
        <f aca="false">IF($B74=AS$1,1,0)</f>
        <v>0</v>
      </c>
      <c r="AT74" s="4" t="n">
        <f aca="false">IF($B74=AT$1,1,0)</f>
        <v>0</v>
      </c>
      <c r="BB74" s="4" t="n">
        <f aca="false">A74</f>
        <v>73</v>
      </c>
      <c r="BC74" s="7" t="n">
        <f aca="false">ABS($T74-$AX$2)+ABS($U74-$AY$2)+ABS($V74-$AZ$2)</f>
        <v>6235.2323943662</v>
      </c>
      <c r="BD74" s="7" t="n">
        <f aca="false">ABS($T74-$AX$3)+ABS($U74-$AY$3)+ABS($V74-$AZ$3)</f>
        <v>30061.593220339</v>
      </c>
      <c r="BE74" s="7" t="n">
        <f aca="false">ABS($T74-$AX$4)+ABS($U74-$AY$4)+ABS($V74-$AZ$4)</f>
        <v>61192.0754716981</v>
      </c>
      <c r="BF74" s="7" t="n">
        <f aca="false">MIN(BC74:BE74)</f>
        <v>6235.2323943662</v>
      </c>
      <c r="BG74" s="4" t="n">
        <f aca="false">MATCH(BF74,BC74:BE74,0)</f>
        <v>1</v>
      </c>
      <c r="BH74" s="8" t="n">
        <v>1</v>
      </c>
      <c r="BI74" s="4" t="n">
        <f aca="false">IF(BG74=BH74,0,1)</f>
        <v>0</v>
      </c>
      <c r="BK74" s="8" t="n">
        <v>1</v>
      </c>
      <c r="BL74" s="8" t="n">
        <v>1</v>
      </c>
      <c r="BM74" s="8" t="n">
        <v>1</v>
      </c>
    </row>
    <row r="75" customFormat="false" ht="15" hidden="false" customHeight="false" outlineLevel="0" collapsed="false">
      <c r="A75" s="3" t="n">
        <v>74</v>
      </c>
      <c r="B75" s="3" t="s">
        <v>36</v>
      </c>
      <c r="C75" s="3" t="n">
        <v>0</v>
      </c>
      <c r="D75" s="3" t="n">
        <v>0</v>
      </c>
      <c r="E75" s="3" t="n">
        <v>1</v>
      </c>
      <c r="F75" s="3" t="n">
        <v>0</v>
      </c>
      <c r="G75" s="3" t="n">
        <v>0</v>
      </c>
      <c r="H75" s="3" t="n">
        <v>5</v>
      </c>
      <c r="I75" s="3" t="n">
        <v>4</v>
      </c>
      <c r="J75" s="3" t="n">
        <v>4</v>
      </c>
      <c r="K75" s="3" t="n">
        <v>4</v>
      </c>
      <c r="L75" s="3" t="n">
        <v>4</v>
      </c>
      <c r="M75" s="3" t="n">
        <v>4</v>
      </c>
      <c r="N75" s="3" t="n">
        <v>4</v>
      </c>
      <c r="O75" s="3" t="n">
        <v>3</v>
      </c>
      <c r="P75" s="3" t="n">
        <v>5</v>
      </c>
      <c r="Q75" s="3" t="n">
        <v>5</v>
      </c>
      <c r="R75" s="3" t="n">
        <v>5</v>
      </c>
      <c r="S75" s="3" t="n">
        <v>5</v>
      </c>
      <c r="T75" s="3" t="n">
        <v>1</v>
      </c>
      <c r="U75" s="3" t="n">
        <v>48</v>
      </c>
      <c r="V75" s="3" t="n">
        <v>16897</v>
      </c>
      <c r="W75" s="3" t="n">
        <v>2</v>
      </c>
      <c r="X75" s="3" t="n">
        <v>2</v>
      </c>
      <c r="Y75" s="3" t="n">
        <v>1</v>
      </c>
      <c r="Z75" s="3" t="n">
        <v>2</v>
      </c>
      <c r="AA75" s="4" t="n">
        <f aca="false">IF($B75=AA$1,1,0)</f>
        <v>0</v>
      </c>
      <c r="AB75" s="4" t="n">
        <f aca="false">IF($B75=AB$1,1,0)</f>
        <v>0</v>
      </c>
      <c r="AC75" s="4" t="n">
        <f aca="false">IF($B75=AC$1,1,0)</f>
        <v>0</v>
      </c>
      <c r="AD75" s="4" t="n">
        <f aca="false">IF($B75=AD$1,1,0)</f>
        <v>0</v>
      </c>
      <c r="AE75" s="4" t="n">
        <f aca="false">IF($B75=AE$1,1,0)</f>
        <v>0</v>
      </c>
      <c r="AF75" s="4" t="n">
        <f aca="false">IF($B75=AF$1,1,0)</f>
        <v>0</v>
      </c>
      <c r="AG75" s="4" t="n">
        <f aca="false">IF($B75=AG$1,1,0)</f>
        <v>0</v>
      </c>
      <c r="AH75" s="4" t="n">
        <f aca="false">IF($B75=AH$1,1,0)</f>
        <v>0</v>
      </c>
      <c r="AI75" s="4" t="n">
        <f aca="false">IF($B75=AI$1,1,0)</f>
        <v>0</v>
      </c>
      <c r="AJ75" s="4" t="n">
        <f aca="false">IF($B75=AJ$1,1,0)</f>
        <v>0</v>
      </c>
      <c r="AK75" s="4" t="n">
        <f aca="false">IF($B75=AK$1,1,0)</f>
        <v>1</v>
      </c>
      <c r="AL75" s="4" t="n">
        <f aca="false">IF($B75=AL$1,1,0)</f>
        <v>0</v>
      </c>
      <c r="AM75" s="4" t="n">
        <f aca="false">IF($B75=AM$1,1,0)</f>
        <v>0</v>
      </c>
      <c r="AN75" s="4" t="n">
        <f aca="false">IF($B75=AN$1,1,0)</f>
        <v>0</v>
      </c>
      <c r="AO75" s="4" t="n">
        <f aca="false">IF($B75=AO$1,1,0)</f>
        <v>0</v>
      </c>
      <c r="AP75" s="4" t="n">
        <f aca="false">IF($B75=AP$1,1,0)</f>
        <v>0</v>
      </c>
      <c r="AQ75" s="4" t="n">
        <f aca="false">IF($B75=AQ$1,1,0)</f>
        <v>0</v>
      </c>
      <c r="AR75" s="4" t="n">
        <f aca="false">IF($B75=AR$1,1,0)</f>
        <v>0</v>
      </c>
      <c r="AS75" s="4" t="n">
        <f aca="false">IF($B75=AS$1,1,0)</f>
        <v>0</v>
      </c>
      <c r="AT75" s="4" t="n">
        <f aca="false">IF($B75=AT$1,1,0)</f>
        <v>0</v>
      </c>
      <c r="BB75" s="4" t="n">
        <f aca="false">A75</f>
        <v>74</v>
      </c>
      <c r="BC75" s="7" t="n">
        <f aca="false">ABS($T75-$AX$2)+ABS($U75-$AY$2)+ABS($V75-$AZ$2)</f>
        <v>5947.2323943662</v>
      </c>
      <c r="BD75" s="7" t="n">
        <f aca="false">ABS($T75-$AX$3)+ABS($U75-$AY$3)+ABS($V75-$AZ$3)</f>
        <v>29773.593220339</v>
      </c>
      <c r="BE75" s="7" t="n">
        <f aca="false">ABS($T75-$AX$4)+ABS($U75-$AY$4)+ABS($V75-$AZ$4)</f>
        <v>60904.0754716981</v>
      </c>
      <c r="BF75" s="7" t="n">
        <f aca="false">MIN(BC75:BE75)</f>
        <v>5947.2323943662</v>
      </c>
      <c r="BG75" s="4" t="n">
        <f aca="false">MATCH(BF75,BC75:BE75,0)</f>
        <v>1</v>
      </c>
      <c r="BH75" s="8" t="n">
        <v>1</v>
      </c>
      <c r="BI75" s="4" t="n">
        <f aca="false">IF(BG75=BH75,0,1)</f>
        <v>0</v>
      </c>
      <c r="BK75" s="8" t="n">
        <v>1</v>
      </c>
      <c r="BL75" s="8" t="n">
        <v>1</v>
      </c>
      <c r="BM75" s="8" t="n">
        <v>1</v>
      </c>
    </row>
    <row r="76" customFormat="false" ht="15" hidden="false" customHeight="false" outlineLevel="0" collapsed="false">
      <c r="A76" s="3" t="n">
        <v>75</v>
      </c>
      <c r="B76" s="3" t="s">
        <v>31</v>
      </c>
      <c r="C76" s="3" t="n">
        <v>0</v>
      </c>
      <c r="D76" s="3" t="n">
        <v>1</v>
      </c>
      <c r="E76" s="3" t="n">
        <v>0</v>
      </c>
      <c r="F76" s="3" t="n">
        <v>0</v>
      </c>
      <c r="G76" s="3" t="n">
        <v>2</v>
      </c>
      <c r="H76" s="3" t="n">
        <v>4</v>
      </c>
      <c r="I76" s="3" t="n">
        <v>3</v>
      </c>
      <c r="J76" s="3" t="n">
        <v>3</v>
      </c>
      <c r="K76" s="3" t="n">
        <v>4</v>
      </c>
      <c r="L76" s="3" t="n">
        <v>5</v>
      </c>
      <c r="M76" s="3" t="n">
        <v>4</v>
      </c>
      <c r="N76" s="3" t="n">
        <v>2</v>
      </c>
      <c r="O76" s="3" t="n">
        <v>3</v>
      </c>
      <c r="P76" s="3" t="n">
        <v>3</v>
      </c>
      <c r="Q76" s="3" t="n">
        <v>4</v>
      </c>
      <c r="R76" s="3" t="n">
        <v>3</v>
      </c>
      <c r="S76" s="3" t="n">
        <v>3</v>
      </c>
      <c r="T76" s="3" t="n">
        <v>0</v>
      </c>
      <c r="U76" s="3" t="n">
        <v>33</v>
      </c>
      <c r="V76" s="3" t="n">
        <v>77253</v>
      </c>
      <c r="W76" s="3" t="n">
        <v>3</v>
      </c>
      <c r="X76" s="3" t="n">
        <v>4</v>
      </c>
      <c r="Y76" s="3" t="n">
        <v>2</v>
      </c>
      <c r="Z76" s="3" t="n">
        <v>2</v>
      </c>
      <c r="AA76" s="4" t="n">
        <f aca="false">IF($B76=AA$1,1,0)</f>
        <v>0</v>
      </c>
      <c r="AB76" s="4" t="n">
        <f aca="false">IF($B76=AB$1,1,0)</f>
        <v>0</v>
      </c>
      <c r="AC76" s="4" t="n">
        <f aca="false">IF($B76=AC$1,1,0)</f>
        <v>0</v>
      </c>
      <c r="AD76" s="4" t="n">
        <f aca="false">IF($B76=AD$1,1,0)</f>
        <v>0</v>
      </c>
      <c r="AE76" s="4" t="n">
        <f aca="false">IF($B76=AE$1,1,0)</f>
        <v>0</v>
      </c>
      <c r="AF76" s="4" t="n">
        <f aca="false">IF($B76=AF$1,1,0)</f>
        <v>1</v>
      </c>
      <c r="AG76" s="4" t="n">
        <f aca="false">IF($B76=AG$1,1,0)</f>
        <v>0</v>
      </c>
      <c r="AH76" s="4" t="n">
        <f aca="false">IF($B76=AH$1,1,0)</f>
        <v>0</v>
      </c>
      <c r="AI76" s="4" t="n">
        <f aca="false">IF($B76=AI$1,1,0)</f>
        <v>0</v>
      </c>
      <c r="AJ76" s="4" t="n">
        <f aca="false">IF($B76=AJ$1,1,0)</f>
        <v>0</v>
      </c>
      <c r="AK76" s="4" t="n">
        <f aca="false">IF($B76=AK$1,1,0)</f>
        <v>0</v>
      </c>
      <c r="AL76" s="4" t="n">
        <f aca="false">IF($B76=AL$1,1,0)</f>
        <v>0</v>
      </c>
      <c r="AM76" s="4" t="n">
        <f aca="false">IF($B76=AM$1,1,0)</f>
        <v>0</v>
      </c>
      <c r="AN76" s="4" t="n">
        <f aca="false">IF($B76=AN$1,1,0)</f>
        <v>0</v>
      </c>
      <c r="AO76" s="4" t="n">
        <f aca="false">IF($B76=AO$1,1,0)</f>
        <v>0</v>
      </c>
      <c r="AP76" s="4" t="n">
        <f aca="false">IF($B76=AP$1,1,0)</f>
        <v>0</v>
      </c>
      <c r="AQ76" s="4" t="n">
        <f aca="false">IF($B76=AQ$1,1,0)</f>
        <v>0</v>
      </c>
      <c r="AR76" s="4" t="n">
        <f aca="false">IF($B76=AR$1,1,0)</f>
        <v>0</v>
      </c>
      <c r="AS76" s="4" t="n">
        <f aca="false">IF($B76=AS$1,1,0)</f>
        <v>0</v>
      </c>
      <c r="AT76" s="4" t="n">
        <f aca="false">IF($B76=AT$1,1,0)</f>
        <v>0</v>
      </c>
      <c r="BB76" s="4" t="n">
        <f aca="false">A76</f>
        <v>75</v>
      </c>
      <c r="BC76" s="7" t="n">
        <f aca="false">ABS($T76-$AX$2)+ABS($U76-$AY$2)+ABS($V76-$AZ$2)</f>
        <v>54424.7676056338</v>
      </c>
      <c r="BD76" s="7" t="n">
        <f aca="false">ABS($T76-$AX$3)+ABS($U76-$AY$3)+ABS($V76-$AZ$3)</f>
        <v>30598.406779661</v>
      </c>
      <c r="BE76" s="7" t="n">
        <f aca="false">ABS($T76-$AX$4)+ABS($U76-$AY$4)+ABS($V76-$AZ$4)</f>
        <v>550.641509433964</v>
      </c>
      <c r="BF76" s="7" t="n">
        <f aca="false">MIN(BC76:BE76)</f>
        <v>550.641509433964</v>
      </c>
      <c r="BG76" s="4" t="n">
        <f aca="false">MATCH(BF76,BC76:BE76,0)</f>
        <v>3</v>
      </c>
      <c r="BH76" s="8" t="n">
        <v>3</v>
      </c>
      <c r="BI76" s="4" t="n">
        <f aca="false">IF(BG76=BH76,0,1)</f>
        <v>0</v>
      </c>
      <c r="BK76" s="8" t="n">
        <v>3</v>
      </c>
      <c r="BL76" s="8" t="n">
        <v>3</v>
      </c>
      <c r="BM76" s="8" t="n">
        <v>3</v>
      </c>
    </row>
    <row r="77" customFormat="false" ht="15" hidden="false" customHeight="false" outlineLevel="0" collapsed="false">
      <c r="A77" s="3" t="n">
        <v>76</v>
      </c>
      <c r="B77" s="3" t="s">
        <v>33</v>
      </c>
      <c r="C77" s="3" t="n">
        <v>0</v>
      </c>
      <c r="D77" s="3" t="n">
        <v>0</v>
      </c>
      <c r="E77" s="3" t="n">
        <v>1</v>
      </c>
      <c r="F77" s="3" t="n">
        <v>0</v>
      </c>
      <c r="G77" s="3" t="n">
        <v>0</v>
      </c>
      <c r="H77" s="3" t="n">
        <v>4</v>
      </c>
      <c r="I77" s="3" t="n">
        <v>4</v>
      </c>
      <c r="J77" s="3" t="n">
        <v>5</v>
      </c>
      <c r="K77" s="3" t="n">
        <v>5</v>
      </c>
      <c r="L77" s="3" t="n">
        <v>5</v>
      </c>
      <c r="M77" s="3" t="n">
        <v>5</v>
      </c>
      <c r="N77" s="3" t="n">
        <v>3</v>
      </c>
      <c r="O77" s="3" t="n">
        <v>3</v>
      </c>
      <c r="P77" s="3" t="n">
        <v>3</v>
      </c>
      <c r="Q77" s="3" t="n">
        <v>3</v>
      </c>
      <c r="R77" s="3" t="n">
        <v>3</v>
      </c>
      <c r="S77" s="3" t="n">
        <v>3</v>
      </c>
      <c r="T77" s="3" t="n">
        <v>0</v>
      </c>
      <c r="U77" s="3" t="n">
        <v>49</v>
      </c>
      <c r="V77" s="3" t="n">
        <v>54750</v>
      </c>
      <c r="W77" s="3" t="n">
        <v>1</v>
      </c>
      <c r="X77" s="3" t="n">
        <v>4</v>
      </c>
      <c r="Y77" s="3" t="n">
        <v>2</v>
      </c>
      <c r="Z77" s="3" t="n">
        <v>1</v>
      </c>
      <c r="AA77" s="4" t="n">
        <f aca="false">IF($B77=AA$1,1,0)</f>
        <v>0</v>
      </c>
      <c r="AB77" s="4" t="n">
        <f aca="false">IF($B77=AB$1,1,0)</f>
        <v>0</v>
      </c>
      <c r="AC77" s="4" t="n">
        <f aca="false">IF($B77=AC$1,1,0)</f>
        <v>0</v>
      </c>
      <c r="AD77" s="4" t="n">
        <f aca="false">IF($B77=AD$1,1,0)</f>
        <v>0</v>
      </c>
      <c r="AE77" s="4" t="n">
        <f aca="false">IF($B77=AE$1,1,0)</f>
        <v>0</v>
      </c>
      <c r="AF77" s="4" t="n">
        <f aca="false">IF($B77=AF$1,1,0)</f>
        <v>0</v>
      </c>
      <c r="AG77" s="4" t="n">
        <f aca="false">IF($B77=AG$1,1,0)</f>
        <v>0</v>
      </c>
      <c r="AH77" s="4" t="n">
        <f aca="false">IF($B77=AH$1,1,0)</f>
        <v>1</v>
      </c>
      <c r="AI77" s="4" t="n">
        <f aca="false">IF($B77=AI$1,1,0)</f>
        <v>0</v>
      </c>
      <c r="AJ77" s="4" t="n">
        <f aca="false">IF($B77=AJ$1,1,0)</f>
        <v>0</v>
      </c>
      <c r="AK77" s="4" t="n">
        <f aca="false">IF($B77=AK$1,1,0)</f>
        <v>0</v>
      </c>
      <c r="AL77" s="4" t="n">
        <f aca="false">IF($B77=AL$1,1,0)</f>
        <v>0</v>
      </c>
      <c r="AM77" s="4" t="n">
        <f aca="false">IF($B77=AM$1,1,0)</f>
        <v>0</v>
      </c>
      <c r="AN77" s="4" t="n">
        <f aca="false">IF($B77=AN$1,1,0)</f>
        <v>0</v>
      </c>
      <c r="AO77" s="4" t="n">
        <f aca="false">IF($B77=AO$1,1,0)</f>
        <v>0</v>
      </c>
      <c r="AP77" s="4" t="n">
        <f aca="false">IF($B77=AP$1,1,0)</f>
        <v>0</v>
      </c>
      <c r="AQ77" s="4" t="n">
        <f aca="false">IF($B77=AQ$1,1,0)</f>
        <v>0</v>
      </c>
      <c r="AR77" s="4" t="n">
        <f aca="false">IF($B77=AR$1,1,0)</f>
        <v>0</v>
      </c>
      <c r="AS77" s="4" t="n">
        <f aca="false">IF($B77=AS$1,1,0)</f>
        <v>0</v>
      </c>
      <c r="AT77" s="4" t="n">
        <f aca="false">IF($B77=AT$1,1,0)</f>
        <v>0</v>
      </c>
      <c r="BB77" s="4" t="n">
        <f aca="false">A77</f>
        <v>76</v>
      </c>
      <c r="BC77" s="7" t="n">
        <f aca="false">ABS($T77-$AX$2)+ABS($U77-$AY$2)+ABS($V77-$AZ$2)</f>
        <v>31926.2887323944</v>
      </c>
      <c r="BD77" s="7" t="n">
        <f aca="false">ABS($T77-$AX$3)+ABS($U77-$AY$3)+ABS($V77-$AZ$3)</f>
        <v>8094.64406779661</v>
      </c>
      <c r="BE77" s="7" t="n">
        <f aca="false">ABS($T77-$AX$4)+ABS($U77-$AY$4)+ABS($V77-$AZ$4)</f>
        <v>23051.6037735849</v>
      </c>
      <c r="BF77" s="7" t="n">
        <f aca="false">MIN(BC77:BE77)</f>
        <v>8094.64406779661</v>
      </c>
      <c r="BG77" s="4" t="n">
        <f aca="false">MATCH(BF77,BC77:BE77,0)</f>
        <v>2</v>
      </c>
      <c r="BH77" s="8" t="n">
        <v>2</v>
      </c>
      <c r="BI77" s="4" t="n">
        <f aca="false">IF(BG77=BH77,0,1)</f>
        <v>0</v>
      </c>
      <c r="BK77" s="8" t="n">
        <v>2</v>
      </c>
      <c r="BL77" s="8" t="n">
        <v>2</v>
      </c>
      <c r="BM77" s="8" t="n">
        <v>2</v>
      </c>
    </row>
    <row r="78" customFormat="false" ht="15" hidden="false" customHeight="false" outlineLevel="0" collapsed="false">
      <c r="A78" s="3" t="n">
        <v>77</v>
      </c>
      <c r="B78" s="3" t="s">
        <v>31</v>
      </c>
      <c r="C78" s="3" t="n">
        <v>1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5</v>
      </c>
      <c r="I78" s="3" t="n">
        <v>5</v>
      </c>
      <c r="J78" s="3" t="n">
        <v>5</v>
      </c>
      <c r="K78" s="3" t="n">
        <v>5</v>
      </c>
      <c r="L78" s="3" t="n">
        <v>5</v>
      </c>
      <c r="M78" s="3" t="n">
        <v>5</v>
      </c>
      <c r="N78" s="3" t="n">
        <v>3</v>
      </c>
      <c r="O78" s="3" t="n">
        <v>4</v>
      </c>
      <c r="P78" s="3" t="n">
        <v>3</v>
      </c>
      <c r="Q78" s="3" t="n">
        <v>4</v>
      </c>
      <c r="R78" s="3" t="n">
        <v>4</v>
      </c>
      <c r="S78" s="3" t="n">
        <v>4</v>
      </c>
      <c r="T78" s="3" t="n">
        <v>0</v>
      </c>
      <c r="U78" s="3" t="n">
        <v>29</v>
      </c>
      <c r="V78" s="3" t="n">
        <v>35972</v>
      </c>
      <c r="W78" s="3" t="n">
        <v>1</v>
      </c>
      <c r="X78" s="3" t="n">
        <v>4</v>
      </c>
      <c r="Y78" s="3" t="n">
        <v>1</v>
      </c>
      <c r="Z78" s="3" t="n">
        <v>1</v>
      </c>
      <c r="AA78" s="4" t="n">
        <f aca="false">IF($B78=AA$1,1,0)</f>
        <v>0</v>
      </c>
      <c r="AB78" s="4" t="n">
        <f aca="false">IF($B78=AB$1,1,0)</f>
        <v>0</v>
      </c>
      <c r="AC78" s="4" t="n">
        <f aca="false">IF($B78=AC$1,1,0)</f>
        <v>0</v>
      </c>
      <c r="AD78" s="4" t="n">
        <f aca="false">IF($B78=AD$1,1,0)</f>
        <v>0</v>
      </c>
      <c r="AE78" s="4" t="n">
        <f aca="false">IF($B78=AE$1,1,0)</f>
        <v>0</v>
      </c>
      <c r="AF78" s="4" t="n">
        <f aca="false">IF($B78=AF$1,1,0)</f>
        <v>1</v>
      </c>
      <c r="AG78" s="4" t="n">
        <f aca="false">IF($B78=AG$1,1,0)</f>
        <v>0</v>
      </c>
      <c r="AH78" s="4" t="n">
        <f aca="false">IF($B78=AH$1,1,0)</f>
        <v>0</v>
      </c>
      <c r="AI78" s="4" t="n">
        <f aca="false">IF($B78=AI$1,1,0)</f>
        <v>0</v>
      </c>
      <c r="AJ78" s="4" t="n">
        <f aca="false">IF($B78=AJ$1,1,0)</f>
        <v>0</v>
      </c>
      <c r="AK78" s="4" t="n">
        <f aca="false">IF($B78=AK$1,1,0)</f>
        <v>0</v>
      </c>
      <c r="AL78" s="4" t="n">
        <f aca="false">IF($B78=AL$1,1,0)</f>
        <v>0</v>
      </c>
      <c r="AM78" s="4" t="n">
        <f aca="false">IF($B78=AM$1,1,0)</f>
        <v>0</v>
      </c>
      <c r="AN78" s="4" t="n">
        <f aca="false">IF($B78=AN$1,1,0)</f>
        <v>0</v>
      </c>
      <c r="AO78" s="4" t="n">
        <f aca="false">IF($B78=AO$1,1,0)</f>
        <v>0</v>
      </c>
      <c r="AP78" s="4" t="n">
        <f aca="false">IF($B78=AP$1,1,0)</f>
        <v>0</v>
      </c>
      <c r="AQ78" s="4" t="n">
        <f aca="false">IF($B78=AQ$1,1,0)</f>
        <v>0</v>
      </c>
      <c r="AR78" s="4" t="n">
        <f aca="false">IF($B78=AR$1,1,0)</f>
        <v>0</v>
      </c>
      <c r="AS78" s="4" t="n">
        <f aca="false">IF($B78=AS$1,1,0)</f>
        <v>0</v>
      </c>
      <c r="AT78" s="4" t="n">
        <f aca="false">IF($B78=AT$1,1,0)</f>
        <v>0</v>
      </c>
      <c r="BB78" s="4" t="n">
        <f aca="false">A78</f>
        <v>77</v>
      </c>
      <c r="BC78" s="7" t="n">
        <f aca="false">ABS($T78-$AX$2)+ABS($U78-$AY$2)+ABS($V78-$AZ$2)</f>
        <v>13147.7676056338</v>
      </c>
      <c r="BD78" s="7" t="n">
        <f aca="false">ABS($T78-$AX$3)+ABS($U78-$AY$3)+ABS($V78-$AZ$3)</f>
        <v>10703.7288135593</v>
      </c>
      <c r="BE78" s="7" t="n">
        <f aca="false">ABS($T78-$AX$4)+ABS($U78-$AY$4)+ABS($V78-$AZ$4)</f>
        <v>41835.641509434</v>
      </c>
      <c r="BF78" s="7" t="n">
        <f aca="false">MIN(BC78:BE78)</f>
        <v>10703.7288135593</v>
      </c>
      <c r="BG78" s="4" t="n">
        <f aca="false">MATCH(BF78,BC78:BE78,0)</f>
        <v>2</v>
      </c>
      <c r="BH78" s="8" t="n">
        <v>2</v>
      </c>
      <c r="BI78" s="4" t="n">
        <f aca="false">IF(BG78=BH78,0,1)</f>
        <v>0</v>
      </c>
      <c r="BK78" s="8" t="n">
        <v>2</v>
      </c>
      <c r="BL78" s="8" t="n">
        <v>2</v>
      </c>
      <c r="BM78" s="8" t="n">
        <v>2</v>
      </c>
    </row>
    <row r="79" customFormat="false" ht="15" hidden="false" customHeight="false" outlineLevel="0" collapsed="false">
      <c r="A79" s="3" t="n">
        <v>78</v>
      </c>
      <c r="B79" s="3" t="s">
        <v>31</v>
      </c>
      <c r="C79" s="3" t="n">
        <v>1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4</v>
      </c>
      <c r="I79" s="3" t="n">
        <v>3</v>
      </c>
      <c r="J79" s="3" t="n">
        <v>5</v>
      </c>
      <c r="K79" s="3" t="n">
        <v>5</v>
      </c>
      <c r="L79" s="3" t="n">
        <v>5</v>
      </c>
      <c r="M79" s="3" t="n">
        <v>4</v>
      </c>
      <c r="N79" s="3" t="n">
        <v>3</v>
      </c>
      <c r="O79" s="3" t="n">
        <v>3</v>
      </c>
      <c r="P79" s="3" t="n">
        <v>2</v>
      </c>
      <c r="Q79" s="3" t="n">
        <v>5</v>
      </c>
      <c r="R79" s="3" t="n">
        <v>4</v>
      </c>
      <c r="S79" s="3" t="n">
        <v>4</v>
      </c>
      <c r="T79" s="3" t="n">
        <v>0</v>
      </c>
      <c r="U79" s="3" t="n">
        <v>33</v>
      </c>
      <c r="V79" s="3" t="n">
        <v>35714</v>
      </c>
      <c r="W79" s="3" t="n">
        <v>1</v>
      </c>
      <c r="X79" s="3" t="n">
        <v>3</v>
      </c>
      <c r="Y79" s="3" t="n">
        <v>2</v>
      </c>
      <c r="Z79" s="3" t="n">
        <v>1</v>
      </c>
      <c r="AA79" s="4" t="n">
        <f aca="false">IF($B79=AA$1,1,0)</f>
        <v>0</v>
      </c>
      <c r="AB79" s="4" t="n">
        <f aca="false">IF($B79=AB$1,1,0)</f>
        <v>0</v>
      </c>
      <c r="AC79" s="4" t="n">
        <f aca="false">IF($B79=AC$1,1,0)</f>
        <v>0</v>
      </c>
      <c r="AD79" s="4" t="n">
        <f aca="false">IF($B79=AD$1,1,0)</f>
        <v>0</v>
      </c>
      <c r="AE79" s="4" t="n">
        <f aca="false">IF($B79=AE$1,1,0)</f>
        <v>0</v>
      </c>
      <c r="AF79" s="4" t="n">
        <f aca="false">IF($B79=AF$1,1,0)</f>
        <v>1</v>
      </c>
      <c r="AG79" s="4" t="n">
        <f aca="false">IF($B79=AG$1,1,0)</f>
        <v>0</v>
      </c>
      <c r="AH79" s="4" t="n">
        <f aca="false">IF($B79=AH$1,1,0)</f>
        <v>0</v>
      </c>
      <c r="AI79" s="4" t="n">
        <f aca="false">IF($B79=AI$1,1,0)</f>
        <v>0</v>
      </c>
      <c r="AJ79" s="4" t="n">
        <f aca="false">IF($B79=AJ$1,1,0)</f>
        <v>0</v>
      </c>
      <c r="AK79" s="4" t="n">
        <f aca="false">IF($B79=AK$1,1,0)</f>
        <v>0</v>
      </c>
      <c r="AL79" s="4" t="n">
        <f aca="false">IF($B79=AL$1,1,0)</f>
        <v>0</v>
      </c>
      <c r="AM79" s="4" t="n">
        <f aca="false">IF($B79=AM$1,1,0)</f>
        <v>0</v>
      </c>
      <c r="AN79" s="4" t="n">
        <f aca="false">IF($B79=AN$1,1,0)</f>
        <v>0</v>
      </c>
      <c r="AO79" s="4" t="n">
        <f aca="false">IF($B79=AO$1,1,0)</f>
        <v>0</v>
      </c>
      <c r="AP79" s="4" t="n">
        <f aca="false">IF($B79=AP$1,1,0)</f>
        <v>0</v>
      </c>
      <c r="AQ79" s="4" t="n">
        <f aca="false">IF($B79=AQ$1,1,0)</f>
        <v>0</v>
      </c>
      <c r="AR79" s="4" t="n">
        <f aca="false">IF($B79=AR$1,1,0)</f>
        <v>0</v>
      </c>
      <c r="AS79" s="4" t="n">
        <f aca="false">IF($B79=AS$1,1,0)</f>
        <v>0</v>
      </c>
      <c r="AT79" s="4" t="n">
        <f aca="false">IF($B79=AT$1,1,0)</f>
        <v>0</v>
      </c>
      <c r="BB79" s="4" t="n">
        <f aca="false">A79</f>
        <v>78</v>
      </c>
      <c r="BC79" s="7" t="n">
        <f aca="false">ABS($T79-$AX$2)+ABS($U79-$AY$2)+ABS($V79-$AZ$2)</f>
        <v>12885.7676056338</v>
      </c>
      <c r="BD79" s="7" t="n">
        <f aca="false">ABS($T79-$AX$3)+ABS($U79-$AY$3)+ABS($V79-$AZ$3)</f>
        <v>10957.7288135593</v>
      </c>
      <c r="BE79" s="7" t="n">
        <f aca="false">ABS($T79-$AX$4)+ABS($U79-$AY$4)+ABS($V79-$AZ$4)</f>
        <v>42089.641509434</v>
      </c>
      <c r="BF79" s="7" t="n">
        <f aca="false">MIN(BC79:BE79)</f>
        <v>10957.7288135593</v>
      </c>
      <c r="BG79" s="4" t="n">
        <f aca="false">MATCH(BF79,BC79:BE79,0)</f>
        <v>2</v>
      </c>
      <c r="BH79" s="8" t="n">
        <v>2</v>
      </c>
      <c r="BI79" s="4" t="n">
        <f aca="false">IF(BG79=BH79,0,1)</f>
        <v>0</v>
      </c>
      <c r="BK79" s="8" t="n">
        <v>2</v>
      </c>
      <c r="BL79" s="8" t="n">
        <v>2</v>
      </c>
      <c r="BM79" s="8" t="n">
        <v>2</v>
      </c>
    </row>
    <row r="80" customFormat="false" ht="15" hidden="false" customHeight="false" outlineLevel="0" collapsed="false">
      <c r="A80" s="3" t="n">
        <v>79</v>
      </c>
      <c r="B80" s="3" t="s">
        <v>38</v>
      </c>
      <c r="C80" s="3" t="n">
        <v>1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5</v>
      </c>
      <c r="I80" s="3" t="n">
        <v>5</v>
      </c>
      <c r="J80" s="3" t="n">
        <v>5</v>
      </c>
      <c r="K80" s="3" t="n">
        <v>5</v>
      </c>
      <c r="L80" s="3" t="n">
        <v>5</v>
      </c>
      <c r="M80" s="3" t="n">
        <v>5</v>
      </c>
      <c r="N80" s="3" t="n">
        <v>2</v>
      </c>
      <c r="O80" s="3" t="n">
        <v>2</v>
      </c>
      <c r="P80" s="3" t="n">
        <v>3</v>
      </c>
      <c r="Q80" s="3" t="n">
        <v>4</v>
      </c>
      <c r="R80" s="3" t="n">
        <v>5</v>
      </c>
      <c r="S80" s="3" t="n">
        <v>4</v>
      </c>
      <c r="T80" s="3" t="n">
        <v>0</v>
      </c>
      <c r="U80" s="3" t="n">
        <v>18</v>
      </c>
      <c r="V80" s="3" t="n">
        <v>18631</v>
      </c>
      <c r="W80" s="3" t="n">
        <v>1</v>
      </c>
      <c r="X80" s="3" t="n">
        <v>2</v>
      </c>
      <c r="Y80" s="3" t="n">
        <v>1</v>
      </c>
      <c r="Z80" s="3" t="n">
        <v>2</v>
      </c>
      <c r="AA80" s="4" t="n">
        <f aca="false">IF($B80=AA$1,1,0)</f>
        <v>0</v>
      </c>
      <c r="AB80" s="4" t="n">
        <f aca="false">IF($B80=AB$1,1,0)</f>
        <v>0</v>
      </c>
      <c r="AC80" s="4" t="n">
        <f aca="false">IF($B80=AC$1,1,0)</f>
        <v>0</v>
      </c>
      <c r="AD80" s="4" t="n">
        <f aca="false">IF($B80=AD$1,1,0)</f>
        <v>0</v>
      </c>
      <c r="AE80" s="4" t="n">
        <f aca="false">IF($B80=AE$1,1,0)</f>
        <v>0</v>
      </c>
      <c r="AF80" s="4" t="n">
        <f aca="false">IF($B80=AF$1,1,0)</f>
        <v>0</v>
      </c>
      <c r="AG80" s="4" t="n">
        <f aca="false">IF($B80=AG$1,1,0)</f>
        <v>0</v>
      </c>
      <c r="AH80" s="4" t="n">
        <f aca="false">IF($B80=AH$1,1,0)</f>
        <v>0</v>
      </c>
      <c r="AI80" s="4" t="n">
        <f aca="false">IF($B80=AI$1,1,0)</f>
        <v>0</v>
      </c>
      <c r="AJ80" s="4" t="n">
        <f aca="false">IF($B80=AJ$1,1,0)</f>
        <v>0</v>
      </c>
      <c r="AK80" s="4" t="n">
        <f aca="false">IF($B80=AK$1,1,0)</f>
        <v>0</v>
      </c>
      <c r="AL80" s="4" t="n">
        <f aca="false">IF($B80=AL$1,1,0)</f>
        <v>0</v>
      </c>
      <c r="AM80" s="4" t="n">
        <f aca="false">IF($B80=AM$1,1,0)</f>
        <v>1</v>
      </c>
      <c r="AN80" s="4" t="n">
        <f aca="false">IF($B80=AN$1,1,0)</f>
        <v>0</v>
      </c>
      <c r="AO80" s="4" t="n">
        <f aca="false">IF($B80=AO$1,1,0)</f>
        <v>0</v>
      </c>
      <c r="AP80" s="4" t="n">
        <f aca="false">IF($B80=AP$1,1,0)</f>
        <v>0</v>
      </c>
      <c r="AQ80" s="4" t="n">
        <f aca="false">IF($B80=AQ$1,1,0)</f>
        <v>0</v>
      </c>
      <c r="AR80" s="4" t="n">
        <f aca="false">IF($B80=AR$1,1,0)</f>
        <v>0</v>
      </c>
      <c r="AS80" s="4" t="n">
        <f aca="false">IF($B80=AS$1,1,0)</f>
        <v>0</v>
      </c>
      <c r="AT80" s="4" t="n">
        <f aca="false">IF($B80=AT$1,1,0)</f>
        <v>0</v>
      </c>
      <c r="BB80" s="4" t="n">
        <f aca="false">A80</f>
        <v>79</v>
      </c>
      <c r="BC80" s="7" t="n">
        <f aca="false">ABS($T80-$AX$2)+ABS($U80-$AY$2)+ABS($V80-$AZ$2)</f>
        <v>4224.14788732395</v>
      </c>
      <c r="BD80" s="7" t="n">
        <f aca="false">ABS($T80-$AX$3)+ABS($U80-$AY$3)+ABS($V80-$AZ$3)</f>
        <v>28055.7288135593</v>
      </c>
      <c r="BE80" s="7" t="n">
        <f aca="false">ABS($T80-$AX$4)+ABS($U80-$AY$4)+ABS($V80-$AZ$4)</f>
        <v>59187.641509434</v>
      </c>
      <c r="BF80" s="7" t="n">
        <f aca="false">MIN(BC80:BE80)</f>
        <v>4224.14788732395</v>
      </c>
      <c r="BG80" s="4" t="n">
        <f aca="false">MATCH(BF80,BC80:BE80,0)</f>
        <v>1</v>
      </c>
      <c r="BH80" s="8" t="n">
        <v>1</v>
      </c>
      <c r="BI80" s="4" t="n">
        <f aca="false">IF(BG80=BH80,0,1)</f>
        <v>0</v>
      </c>
      <c r="BK80" s="8" t="n">
        <v>1</v>
      </c>
      <c r="BL80" s="8" t="n">
        <v>1</v>
      </c>
      <c r="BM80" s="8" t="n">
        <v>1</v>
      </c>
    </row>
    <row r="81" customFormat="false" ht="15" hidden="false" customHeight="false" outlineLevel="0" collapsed="false">
      <c r="A81" s="3" t="n">
        <v>80</v>
      </c>
      <c r="B81" s="3" t="s">
        <v>29</v>
      </c>
      <c r="C81" s="3" t="n">
        <v>0</v>
      </c>
      <c r="D81" s="3" t="n">
        <v>0</v>
      </c>
      <c r="E81" s="3" t="n">
        <v>1</v>
      </c>
      <c r="F81" s="3" t="n">
        <v>0</v>
      </c>
      <c r="G81" s="3" t="n">
        <v>0</v>
      </c>
      <c r="H81" s="3" t="n">
        <v>4</v>
      </c>
      <c r="I81" s="3" t="n">
        <v>4</v>
      </c>
      <c r="J81" s="3" t="n">
        <v>4</v>
      </c>
      <c r="K81" s="3" t="n">
        <v>4</v>
      </c>
      <c r="L81" s="3" t="n">
        <v>4</v>
      </c>
      <c r="M81" s="3" t="n">
        <v>4</v>
      </c>
      <c r="N81" s="3" t="n">
        <v>3</v>
      </c>
      <c r="O81" s="3" t="n">
        <v>3</v>
      </c>
      <c r="P81" s="3" t="n">
        <v>3</v>
      </c>
      <c r="Q81" s="3" t="n">
        <v>3</v>
      </c>
      <c r="R81" s="3" t="n">
        <v>3</v>
      </c>
      <c r="S81" s="3" t="n">
        <v>3</v>
      </c>
      <c r="T81" s="3" t="n">
        <v>0</v>
      </c>
      <c r="U81" s="3" t="n">
        <v>49</v>
      </c>
      <c r="V81" s="3" t="n">
        <v>28872</v>
      </c>
      <c r="W81" s="3" t="n">
        <v>2</v>
      </c>
      <c r="X81" s="3" t="n">
        <v>2</v>
      </c>
      <c r="Y81" s="3" t="n">
        <v>2</v>
      </c>
      <c r="Z81" s="3" t="n">
        <v>2</v>
      </c>
      <c r="AA81" s="4" t="n">
        <f aca="false">IF($B81=AA$1,1,0)</f>
        <v>0</v>
      </c>
      <c r="AB81" s="4" t="n">
        <f aca="false">IF($B81=AB$1,1,0)</f>
        <v>0</v>
      </c>
      <c r="AC81" s="4" t="n">
        <f aca="false">IF($B81=AC$1,1,0)</f>
        <v>0</v>
      </c>
      <c r="AD81" s="4" t="n">
        <f aca="false">IF($B81=AD$1,1,0)</f>
        <v>1</v>
      </c>
      <c r="AE81" s="4" t="n">
        <f aca="false">IF($B81=AE$1,1,0)</f>
        <v>0</v>
      </c>
      <c r="AF81" s="4" t="n">
        <f aca="false">IF($B81=AF$1,1,0)</f>
        <v>0</v>
      </c>
      <c r="AG81" s="4" t="n">
        <f aca="false">IF($B81=AG$1,1,0)</f>
        <v>0</v>
      </c>
      <c r="AH81" s="4" t="n">
        <f aca="false">IF($B81=AH$1,1,0)</f>
        <v>0</v>
      </c>
      <c r="AI81" s="4" t="n">
        <f aca="false">IF($B81=AI$1,1,0)</f>
        <v>0</v>
      </c>
      <c r="AJ81" s="4" t="n">
        <f aca="false">IF($B81=AJ$1,1,0)</f>
        <v>0</v>
      </c>
      <c r="AK81" s="4" t="n">
        <f aca="false">IF($B81=AK$1,1,0)</f>
        <v>0</v>
      </c>
      <c r="AL81" s="4" t="n">
        <f aca="false">IF($B81=AL$1,1,0)</f>
        <v>0</v>
      </c>
      <c r="AM81" s="4" t="n">
        <f aca="false">IF($B81=AM$1,1,0)</f>
        <v>0</v>
      </c>
      <c r="AN81" s="4" t="n">
        <f aca="false">IF($B81=AN$1,1,0)</f>
        <v>0</v>
      </c>
      <c r="AO81" s="4" t="n">
        <f aca="false">IF($B81=AO$1,1,0)</f>
        <v>0</v>
      </c>
      <c r="AP81" s="4" t="n">
        <f aca="false">IF($B81=AP$1,1,0)</f>
        <v>0</v>
      </c>
      <c r="AQ81" s="4" t="n">
        <f aca="false">IF($B81=AQ$1,1,0)</f>
        <v>0</v>
      </c>
      <c r="AR81" s="4" t="n">
        <f aca="false">IF($B81=AR$1,1,0)</f>
        <v>0</v>
      </c>
      <c r="AS81" s="4" t="n">
        <f aca="false">IF($B81=AS$1,1,0)</f>
        <v>0</v>
      </c>
      <c r="AT81" s="4" t="n">
        <f aca="false">IF($B81=AT$1,1,0)</f>
        <v>0</v>
      </c>
      <c r="BB81" s="4" t="n">
        <f aca="false">A81</f>
        <v>80</v>
      </c>
      <c r="BC81" s="7" t="n">
        <f aca="false">ABS($T81-$AX$2)+ABS($U81-$AY$2)+ABS($V81-$AZ$2)</f>
        <v>6048.28873239436</v>
      </c>
      <c r="BD81" s="7" t="n">
        <f aca="false">ABS($T81-$AX$3)+ABS($U81-$AY$3)+ABS($V81-$AZ$3)</f>
        <v>17798.9661016949</v>
      </c>
      <c r="BE81" s="7" t="n">
        <f aca="false">ABS($T81-$AX$4)+ABS($U81-$AY$4)+ABS($V81-$AZ$4)</f>
        <v>48929.6037735849</v>
      </c>
      <c r="BF81" s="7" t="n">
        <f aca="false">MIN(BC81:BE81)</f>
        <v>6048.28873239436</v>
      </c>
      <c r="BG81" s="4" t="n">
        <f aca="false">MATCH(BF81,BC81:BE81,0)</f>
        <v>1</v>
      </c>
      <c r="BH81" s="8" t="n">
        <v>1</v>
      </c>
      <c r="BI81" s="4" t="n">
        <f aca="false">IF(BG81=BH81,0,1)</f>
        <v>0</v>
      </c>
      <c r="BK81" s="8" t="n">
        <v>1</v>
      </c>
      <c r="BL81" s="8" t="n">
        <v>1</v>
      </c>
      <c r="BM81" s="8" t="n">
        <v>1</v>
      </c>
    </row>
    <row r="82" customFormat="false" ht="15" hidden="false" customHeight="false" outlineLevel="0" collapsed="false">
      <c r="A82" s="3" t="n">
        <v>81</v>
      </c>
      <c r="B82" s="3" t="s">
        <v>31</v>
      </c>
      <c r="C82" s="3" t="n">
        <v>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5</v>
      </c>
      <c r="I82" s="3" t="n">
        <v>5</v>
      </c>
      <c r="J82" s="3" t="n">
        <v>5</v>
      </c>
      <c r="K82" s="3" t="n">
        <v>5</v>
      </c>
      <c r="L82" s="3" t="n">
        <v>5</v>
      </c>
      <c r="M82" s="3" t="n">
        <v>4</v>
      </c>
      <c r="N82" s="3" t="n">
        <v>5</v>
      </c>
      <c r="O82" s="3" t="n">
        <v>5</v>
      </c>
      <c r="P82" s="3" t="n">
        <v>3</v>
      </c>
      <c r="Q82" s="3" t="n">
        <v>5</v>
      </c>
      <c r="R82" s="3" t="n">
        <v>5</v>
      </c>
      <c r="S82" s="3" t="n">
        <v>4</v>
      </c>
      <c r="T82" s="3" t="n">
        <v>0</v>
      </c>
      <c r="U82" s="3" t="n">
        <v>40</v>
      </c>
      <c r="V82" s="3" t="n">
        <v>31310</v>
      </c>
      <c r="W82" s="3" t="n">
        <v>1</v>
      </c>
      <c r="X82" s="3" t="n">
        <v>4</v>
      </c>
      <c r="Y82" s="3" t="n">
        <v>2</v>
      </c>
      <c r="Z82" s="3" t="n">
        <v>1</v>
      </c>
      <c r="AA82" s="4" t="n">
        <f aca="false">IF($B82=AA$1,1,0)</f>
        <v>0</v>
      </c>
      <c r="AB82" s="4" t="n">
        <f aca="false">IF($B82=AB$1,1,0)</f>
        <v>0</v>
      </c>
      <c r="AC82" s="4" t="n">
        <f aca="false">IF($B82=AC$1,1,0)</f>
        <v>0</v>
      </c>
      <c r="AD82" s="4" t="n">
        <f aca="false">IF($B82=AD$1,1,0)</f>
        <v>0</v>
      </c>
      <c r="AE82" s="4" t="n">
        <f aca="false">IF($B82=AE$1,1,0)</f>
        <v>0</v>
      </c>
      <c r="AF82" s="4" t="n">
        <f aca="false">IF($B82=AF$1,1,0)</f>
        <v>1</v>
      </c>
      <c r="AG82" s="4" t="n">
        <f aca="false">IF($B82=AG$1,1,0)</f>
        <v>0</v>
      </c>
      <c r="AH82" s="4" t="n">
        <f aca="false">IF($B82=AH$1,1,0)</f>
        <v>0</v>
      </c>
      <c r="AI82" s="4" t="n">
        <f aca="false">IF($B82=AI$1,1,0)</f>
        <v>0</v>
      </c>
      <c r="AJ82" s="4" t="n">
        <f aca="false">IF($B82=AJ$1,1,0)</f>
        <v>0</v>
      </c>
      <c r="AK82" s="4" t="n">
        <f aca="false">IF($B82=AK$1,1,0)</f>
        <v>0</v>
      </c>
      <c r="AL82" s="4" t="n">
        <f aca="false">IF($B82=AL$1,1,0)</f>
        <v>0</v>
      </c>
      <c r="AM82" s="4" t="n">
        <f aca="false">IF($B82=AM$1,1,0)</f>
        <v>0</v>
      </c>
      <c r="AN82" s="4" t="n">
        <f aca="false">IF($B82=AN$1,1,0)</f>
        <v>0</v>
      </c>
      <c r="AO82" s="4" t="n">
        <f aca="false">IF($B82=AO$1,1,0)</f>
        <v>0</v>
      </c>
      <c r="AP82" s="4" t="n">
        <f aca="false">IF($B82=AP$1,1,0)</f>
        <v>0</v>
      </c>
      <c r="AQ82" s="4" t="n">
        <f aca="false">IF($B82=AQ$1,1,0)</f>
        <v>0</v>
      </c>
      <c r="AR82" s="4" t="n">
        <f aca="false">IF($B82=AR$1,1,0)</f>
        <v>0</v>
      </c>
      <c r="AS82" s="4" t="n">
        <f aca="false">IF($B82=AS$1,1,0)</f>
        <v>0</v>
      </c>
      <c r="AT82" s="4" t="n">
        <f aca="false">IF($B82=AT$1,1,0)</f>
        <v>0</v>
      </c>
      <c r="BB82" s="4" t="n">
        <f aca="false">A82</f>
        <v>81</v>
      </c>
      <c r="BC82" s="7" t="n">
        <f aca="false">ABS($T82-$AX$2)+ABS($U82-$AY$2)+ABS($V82-$AZ$2)</f>
        <v>8477.28873239437</v>
      </c>
      <c r="BD82" s="7" t="n">
        <f aca="false">ABS($T82-$AX$3)+ABS($U82-$AY$3)+ABS($V82-$AZ$3)</f>
        <v>15354.7288135593</v>
      </c>
      <c r="BE82" s="7" t="n">
        <f aca="false">ABS($T82-$AX$4)+ABS($U82-$AY$4)+ABS($V82-$AZ$4)</f>
        <v>46486.641509434</v>
      </c>
      <c r="BF82" s="7" t="n">
        <f aca="false">MIN(BC82:BE82)</f>
        <v>8477.28873239437</v>
      </c>
      <c r="BG82" s="4" t="n">
        <f aca="false">MATCH(BF82,BC82:BE82,0)</f>
        <v>1</v>
      </c>
      <c r="BH82" s="8" t="n">
        <v>1</v>
      </c>
      <c r="BI82" s="4" t="n">
        <f aca="false">IF(BG82=BH82,0,1)</f>
        <v>0</v>
      </c>
      <c r="BK82" s="8" t="n">
        <v>2</v>
      </c>
      <c r="BL82" s="8" t="n">
        <v>1</v>
      </c>
      <c r="BM82" s="8" t="n">
        <v>1</v>
      </c>
    </row>
    <row r="83" customFormat="false" ht="15" hidden="false" customHeight="false" outlineLevel="0" collapsed="false">
      <c r="A83" s="3" t="n">
        <v>82</v>
      </c>
      <c r="B83" s="3" t="s">
        <v>43</v>
      </c>
      <c r="C83" s="3" t="n">
        <v>1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4</v>
      </c>
      <c r="I83" s="3" t="n">
        <v>3</v>
      </c>
      <c r="J83" s="3" t="n">
        <v>5</v>
      </c>
      <c r="K83" s="3" t="n">
        <v>4</v>
      </c>
      <c r="L83" s="3" t="n">
        <v>5</v>
      </c>
      <c r="M83" s="3" t="n">
        <v>3</v>
      </c>
      <c r="N83" s="3" t="n">
        <v>4</v>
      </c>
      <c r="O83" s="3" t="n">
        <v>3</v>
      </c>
      <c r="P83" s="3" t="n">
        <v>2</v>
      </c>
      <c r="Q83" s="3" t="n">
        <v>5</v>
      </c>
      <c r="R83" s="3" t="n">
        <v>5</v>
      </c>
      <c r="S83" s="3" t="n">
        <v>4</v>
      </c>
      <c r="T83" s="3" t="n">
        <v>0</v>
      </c>
      <c r="U83" s="3" t="n">
        <v>29</v>
      </c>
      <c r="V83" s="3" t="n">
        <v>11059</v>
      </c>
      <c r="W83" s="3" t="n">
        <v>2</v>
      </c>
      <c r="X83" s="3" t="n">
        <v>3</v>
      </c>
      <c r="Y83" s="3" t="n">
        <v>2</v>
      </c>
      <c r="Z83" s="3" t="n">
        <v>3</v>
      </c>
      <c r="AA83" s="4" t="n">
        <f aca="false">IF($B83=AA$1,1,0)</f>
        <v>0</v>
      </c>
      <c r="AB83" s="4" t="n">
        <f aca="false">IF($B83=AB$1,1,0)</f>
        <v>0</v>
      </c>
      <c r="AC83" s="4" t="n">
        <f aca="false">IF($B83=AC$1,1,0)</f>
        <v>0</v>
      </c>
      <c r="AD83" s="4" t="n">
        <f aca="false">IF($B83=AD$1,1,0)</f>
        <v>0</v>
      </c>
      <c r="AE83" s="4" t="n">
        <f aca="false">IF($B83=AE$1,1,0)</f>
        <v>0</v>
      </c>
      <c r="AF83" s="4" t="n">
        <f aca="false">IF($B83=AF$1,1,0)</f>
        <v>0</v>
      </c>
      <c r="AG83" s="4" t="n">
        <f aca="false">IF($B83=AG$1,1,0)</f>
        <v>0</v>
      </c>
      <c r="AH83" s="4" t="n">
        <f aca="false">IF($B83=AH$1,1,0)</f>
        <v>0</v>
      </c>
      <c r="AI83" s="4" t="n">
        <f aca="false">IF($B83=AI$1,1,0)</f>
        <v>0</v>
      </c>
      <c r="AJ83" s="4" t="n">
        <f aca="false">IF($B83=AJ$1,1,0)</f>
        <v>0</v>
      </c>
      <c r="AK83" s="4" t="n">
        <f aca="false">IF($B83=AK$1,1,0)</f>
        <v>0</v>
      </c>
      <c r="AL83" s="4" t="n">
        <f aca="false">IF($B83=AL$1,1,0)</f>
        <v>0</v>
      </c>
      <c r="AM83" s="4" t="n">
        <f aca="false">IF($B83=AM$1,1,0)</f>
        <v>0</v>
      </c>
      <c r="AN83" s="4" t="n">
        <f aca="false">IF($B83=AN$1,1,0)</f>
        <v>0</v>
      </c>
      <c r="AO83" s="4" t="n">
        <f aca="false">IF($B83=AO$1,1,0)</f>
        <v>0</v>
      </c>
      <c r="AP83" s="4" t="n">
        <f aca="false">IF($B83=AP$1,1,0)</f>
        <v>0</v>
      </c>
      <c r="AQ83" s="4" t="n">
        <f aca="false">IF($B83=AQ$1,1,0)</f>
        <v>0</v>
      </c>
      <c r="AR83" s="4" t="n">
        <f aca="false">IF($B83=AR$1,1,0)</f>
        <v>1</v>
      </c>
      <c r="AS83" s="4" t="n">
        <f aca="false">IF($B83=AS$1,1,0)</f>
        <v>0</v>
      </c>
      <c r="AT83" s="4" t="n">
        <f aca="false">IF($B83=AT$1,1,0)</f>
        <v>0</v>
      </c>
      <c r="BB83" s="4" t="n">
        <f aca="false">A83</f>
        <v>82</v>
      </c>
      <c r="BC83" s="7" t="n">
        <f aca="false">ABS($T83-$AX$2)+ABS($U83-$AY$2)+ABS($V83-$AZ$2)</f>
        <v>11785.1478873239</v>
      </c>
      <c r="BD83" s="7" t="n">
        <f aca="false">ABS($T83-$AX$3)+ABS($U83-$AY$3)+ABS($V83-$AZ$3)</f>
        <v>35616.7288135593</v>
      </c>
      <c r="BE83" s="7" t="n">
        <f aca="false">ABS($T83-$AX$4)+ABS($U83-$AY$4)+ABS($V83-$AZ$4)</f>
        <v>66748.641509434</v>
      </c>
      <c r="BF83" s="7" t="n">
        <f aca="false">MIN(BC83:BE83)</f>
        <v>11785.1478873239</v>
      </c>
      <c r="BG83" s="4" t="n">
        <f aca="false">MATCH(BF83,BC83:BE83,0)</f>
        <v>1</v>
      </c>
      <c r="BH83" s="8" t="n">
        <v>1</v>
      </c>
      <c r="BI83" s="4" t="n">
        <f aca="false">IF(BG83=BH83,0,1)</f>
        <v>0</v>
      </c>
      <c r="BK83" s="8" t="n">
        <v>1</v>
      </c>
      <c r="BL83" s="8" t="n">
        <v>1</v>
      </c>
      <c r="BM83" s="8" t="n">
        <v>1</v>
      </c>
    </row>
    <row r="84" customFormat="false" ht="15" hidden="false" customHeight="false" outlineLevel="0" collapsed="false">
      <c r="A84" s="3" t="n">
        <v>83</v>
      </c>
      <c r="B84" s="3" t="s">
        <v>42</v>
      </c>
      <c r="C84" s="3" t="n">
        <v>0</v>
      </c>
      <c r="D84" s="3" t="n">
        <v>0</v>
      </c>
      <c r="E84" s="3" t="n">
        <v>1</v>
      </c>
      <c r="F84" s="3" t="n">
        <v>1</v>
      </c>
      <c r="G84" s="3" t="n">
        <v>0</v>
      </c>
      <c r="H84" s="3" t="n">
        <v>5</v>
      </c>
      <c r="I84" s="3" t="n">
        <v>4</v>
      </c>
      <c r="J84" s="3" t="n">
        <v>5</v>
      </c>
      <c r="K84" s="3" t="n">
        <v>4</v>
      </c>
      <c r="L84" s="3" t="n">
        <v>4</v>
      </c>
      <c r="M84" s="3" t="n">
        <v>4</v>
      </c>
      <c r="N84" s="3" t="n">
        <v>5</v>
      </c>
      <c r="O84" s="3" t="n">
        <v>5</v>
      </c>
      <c r="P84" s="3" t="n">
        <v>5</v>
      </c>
      <c r="Q84" s="3" t="n">
        <v>5</v>
      </c>
      <c r="R84" s="3" t="n">
        <v>5</v>
      </c>
      <c r="S84" s="3" t="n">
        <v>5</v>
      </c>
      <c r="T84" s="3" t="n">
        <v>1</v>
      </c>
      <c r="U84" s="3" t="n">
        <v>30</v>
      </c>
      <c r="V84" s="3" t="n">
        <v>24737</v>
      </c>
      <c r="W84" s="3" t="n">
        <v>3</v>
      </c>
      <c r="X84" s="3" t="n">
        <v>2</v>
      </c>
      <c r="Y84" s="3" t="n">
        <v>2</v>
      </c>
      <c r="Z84" s="3" t="n">
        <v>2</v>
      </c>
      <c r="AA84" s="4" t="n">
        <f aca="false">IF($B84=AA$1,1,0)</f>
        <v>0</v>
      </c>
      <c r="AB84" s="4" t="n">
        <f aca="false">IF($B84=AB$1,1,0)</f>
        <v>0</v>
      </c>
      <c r="AC84" s="4" t="n">
        <f aca="false">IF($B84=AC$1,1,0)</f>
        <v>0</v>
      </c>
      <c r="AD84" s="4" t="n">
        <f aca="false">IF($B84=AD$1,1,0)</f>
        <v>0</v>
      </c>
      <c r="AE84" s="4" t="n">
        <f aca="false">IF($B84=AE$1,1,0)</f>
        <v>0</v>
      </c>
      <c r="AF84" s="4" t="n">
        <f aca="false">IF($B84=AF$1,1,0)</f>
        <v>0</v>
      </c>
      <c r="AG84" s="4" t="n">
        <f aca="false">IF($B84=AG$1,1,0)</f>
        <v>0</v>
      </c>
      <c r="AH84" s="4" t="n">
        <f aca="false">IF($B84=AH$1,1,0)</f>
        <v>0</v>
      </c>
      <c r="AI84" s="4" t="n">
        <f aca="false">IF($B84=AI$1,1,0)</f>
        <v>0</v>
      </c>
      <c r="AJ84" s="4" t="n">
        <f aca="false">IF($B84=AJ$1,1,0)</f>
        <v>0</v>
      </c>
      <c r="AK84" s="4" t="n">
        <f aca="false">IF($B84=AK$1,1,0)</f>
        <v>0</v>
      </c>
      <c r="AL84" s="4" t="n">
        <f aca="false">IF($B84=AL$1,1,0)</f>
        <v>0</v>
      </c>
      <c r="AM84" s="4" t="n">
        <f aca="false">IF($B84=AM$1,1,0)</f>
        <v>0</v>
      </c>
      <c r="AN84" s="4" t="n">
        <f aca="false">IF($B84=AN$1,1,0)</f>
        <v>0</v>
      </c>
      <c r="AO84" s="4" t="n">
        <f aca="false">IF($B84=AO$1,1,0)</f>
        <v>0</v>
      </c>
      <c r="AP84" s="4" t="n">
        <f aca="false">IF($B84=AP$1,1,0)</f>
        <v>0</v>
      </c>
      <c r="AQ84" s="4" t="n">
        <f aca="false">IF($B84=AQ$1,1,0)</f>
        <v>1</v>
      </c>
      <c r="AR84" s="4" t="n">
        <f aca="false">IF($B84=AR$1,1,0)</f>
        <v>0</v>
      </c>
      <c r="AS84" s="4" t="n">
        <f aca="false">IF($B84=AS$1,1,0)</f>
        <v>0</v>
      </c>
      <c r="AT84" s="4" t="n">
        <f aca="false">IF($B84=AT$1,1,0)</f>
        <v>0</v>
      </c>
      <c r="BB84" s="4" t="n">
        <f aca="false">A84</f>
        <v>83</v>
      </c>
      <c r="BC84" s="7" t="n">
        <f aca="false">ABS($T84-$AX$2)+ABS($U84-$AY$2)+ABS($V84-$AZ$2)</f>
        <v>1912.33098591549</v>
      </c>
      <c r="BD84" s="7" t="n">
        <f aca="false">ABS($T84-$AX$3)+ABS($U84-$AY$3)+ABS($V84-$AZ$3)</f>
        <v>21938.3559322034</v>
      </c>
      <c r="BE84" s="7" t="n">
        <f aca="false">ABS($T84-$AX$4)+ABS($U84-$AY$4)+ABS($V84-$AZ$4)</f>
        <v>53070.1132075472</v>
      </c>
      <c r="BF84" s="7" t="n">
        <f aca="false">MIN(BC84:BE84)</f>
        <v>1912.33098591549</v>
      </c>
      <c r="BG84" s="4" t="n">
        <f aca="false">MATCH(BF84,BC84:BE84,0)</f>
        <v>1</v>
      </c>
      <c r="BH84" s="8" t="n">
        <v>1</v>
      </c>
      <c r="BI84" s="4" t="n">
        <f aca="false">IF(BG84=BH84,0,1)</f>
        <v>0</v>
      </c>
      <c r="BK84" s="8" t="n">
        <v>1</v>
      </c>
      <c r="BL84" s="8" t="n">
        <v>1</v>
      </c>
      <c r="BM84" s="8" t="n">
        <v>1</v>
      </c>
    </row>
    <row r="85" customFormat="false" ht="15" hidden="false" customHeight="false" outlineLevel="0" collapsed="false">
      <c r="A85" s="3" t="n">
        <v>84</v>
      </c>
      <c r="B85" s="3" t="s">
        <v>41</v>
      </c>
      <c r="C85" s="3" t="n">
        <v>0</v>
      </c>
      <c r="D85" s="3" t="n">
        <v>0</v>
      </c>
      <c r="E85" s="3" t="n">
        <v>1</v>
      </c>
      <c r="F85" s="3" t="n">
        <v>0</v>
      </c>
      <c r="G85" s="3" t="n">
        <v>0</v>
      </c>
      <c r="H85" s="3" t="n">
        <v>4</v>
      </c>
      <c r="I85" s="3" t="n">
        <v>4</v>
      </c>
      <c r="J85" s="3" t="n">
        <v>5</v>
      </c>
      <c r="K85" s="3" t="n">
        <v>4</v>
      </c>
      <c r="L85" s="3" t="n">
        <v>5</v>
      </c>
      <c r="M85" s="3" t="n">
        <v>4</v>
      </c>
      <c r="N85" s="3" t="n">
        <v>3</v>
      </c>
      <c r="O85" s="3" t="n">
        <v>4</v>
      </c>
      <c r="P85" s="3" t="n">
        <v>2</v>
      </c>
      <c r="Q85" s="3" t="n">
        <v>4</v>
      </c>
      <c r="R85" s="3" t="n">
        <v>4</v>
      </c>
      <c r="S85" s="3" t="n">
        <v>3</v>
      </c>
      <c r="T85" s="3" t="n">
        <v>0</v>
      </c>
      <c r="U85" s="3" t="n">
        <v>31</v>
      </c>
      <c r="V85" s="3" t="n">
        <v>27458</v>
      </c>
      <c r="W85" s="3" t="n">
        <v>2</v>
      </c>
      <c r="X85" s="3" t="n">
        <v>3</v>
      </c>
      <c r="Y85" s="3" t="n">
        <v>2</v>
      </c>
      <c r="Z85" s="3" t="n">
        <v>2</v>
      </c>
      <c r="AA85" s="4" t="n">
        <f aca="false">IF($B85=AA$1,1,0)</f>
        <v>0</v>
      </c>
      <c r="AB85" s="4" t="n">
        <f aca="false">IF($B85=AB$1,1,0)</f>
        <v>0</v>
      </c>
      <c r="AC85" s="4" t="n">
        <f aca="false">IF($B85=AC$1,1,0)</f>
        <v>0</v>
      </c>
      <c r="AD85" s="4" t="n">
        <f aca="false">IF($B85=AD$1,1,0)</f>
        <v>0</v>
      </c>
      <c r="AE85" s="4" t="n">
        <f aca="false">IF($B85=AE$1,1,0)</f>
        <v>0</v>
      </c>
      <c r="AF85" s="4" t="n">
        <f aca="false">IF($B85=AF$1,1,0)</f>
        <v>0</v>
      </c>
      <c r="AG85" s="4" t="n">
        <f aca="false">IF($B85=AG$1,1,0)</f>
        <v>0</v>
      </c>
      <c r="AH85" s="4" t="n">
        <f aca="false">IF($B85=AH$1,1,0)</f>
        <v>0</v>
      </c>
      <c r="AI85" s="4" t="n">
        <f aca="false">IF($B85=AI$1,1,0)</f>
        <v>0</v>
      </c>
      <c r="AJ85" s="4" t="n">
        <f aca="false">IF($B85=AJ$1,1,0)</f>
        <v>0</v>
      </c>
      <c r="AK85" s="4" t="n">
        <f aca="false">IF($B85=AK$1,1,0)</f>
        <v>0</v>
      </c>
      <c r="AL85" s="4" t="n">
        <f aca="false">IF($B85=AL$1,1,0)</f>
        <v>0</v>
      </c>
      <c r="AM85" s="4" t="n">
        <f aca="false">IF($B85=AM$1,1,0)</f>
        <v>0</v>
      </c>
      <c r="AN85" s="4" t="n">
        <f aca="false">IF($B85=AN$1,1,0)</f>
        <v>0</v>
      </c>
      <c r="AO85" s="4" t="n">
        <f aca="false">IF($B85=AO$1,1,0)</f>
        <v>0</v>
      </c>
      <c r="AP85" s="4" t="n">
        <f aca="false">IF($B85=AP$1,1,0)</f>
        <v>1</v>
      </c>
      <c r="AQ85" s="4" t="n">
        <f aca="false">IF($B85=AQ$1,1,0)</f>
        <v>0</v>
      </c>
      <c r="AR85" s="4" t="n">
        <f aca="false">IF($B85=AR$1,1,0)</f>
        <v>0</v>
      </c>
      <c r="AS85" s="4" t="n">
        <f aca="false">IF($B85=AS$1,1,0)</f>
        <v>0</v>
      </c>
      <c r="AT85" s="4" t="n">
        <f aca="false">IF($B85=AT$1,1,0)</f>
        <v>0</v>
      </c>
      <c r="BB85" s="4" t="n">
        <f aca="false">A85</f>
        <v>84</v>
      </c>
      <c r="BC85" s="7" t="n">
        <f aca="false">ABS($T85-$AX$2)+ABS($U85-$AY$2)+ABS($V85-$AZ$2)</f>
        <v>4631.7676056338</v>
      </c>
      <c r="BD85" s="7" t="n">
        <f aca="false">ABS($T85-$AX$3)+ABS($U85-$AY$3)+ABS($V85-$AZ$3)</f>
        <v>19215.7288135593</v>
      </c>
      <c r="BE85" s="7" t="n">
        <f aca="false">ABS($T85-$AX$4)+ABS($U85-$AY$4)+ABS($V85-$AZ$4)</f>
        <v>50347.641509434</v>
      </c>
      <c r="BF85" s="7" t="n">
        <f aca="false">MIN(BC85:BE85)</f>
        <v>4631.7676056338</v>
      </c>
      <c r="BG85" s="4" t="n">
        <f aca="false">MATCH(BF85,BC85:BE85,0)</f>
        <v>1</v>
      </c>
      <c r="BH85" s="8" t="n">
        <v>1</v>
      </c>
      <c r="BI85" s="4" t="n">
        <f aca="false">IF(BG85=BH85,0,1)</f>
        <v>0</v>
      </c>
      <c r="BK85" s="8" t="n">
        <v>1</v>
      </c>
      <c r="BL85" s="8" t="n">
        <v>1</v>
      </c>
      <c r="BM85" s="8" t="n">
        <v>1</v>
      </c>
    </row>
    <row r="86" customFormat="false" ht="15" hidden="false" customHeight="false" outlineLevel="0" collapsed="false">
      <c r="A86" s="3" t="n">
        <v>85</v>
      </c>
      <c r="B86" s="3" t="s">
        <v>44</v>
      </c>
      <c r="C86" s="3" t="n">
        <v>1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4</v>
      </c>
      <c r="I86" s="3" t="n">
        <v>4</v>
      </c>
      <c r="J86" s="3" t="n">
        <v>4</v>
      </c>
      <c r="K86" s="3" t="n">
        <v>5</v>
      </c>
      <c r="L86" s="3" t="n">
        <v>5</v>
      </c>
      <c r="M86" s="3" t="n">
        <v>4</v>
      </c>
      <c r="N86" s="3" t="n">
        <v>4</v>
      </c>
      <c r="O86" s="3" t="n">
        <v>5</v>
      </c>
      <c r="P86" s="3" t="n">
        <v>4</v>
      </c>
      <c r="Q86" s="3" t="n">
        <v>5</v>
      </c>
      <c r="R86" s="3" t="n">
        <v>5</v>
      </c>
      <c r="S86" s="3" t="n">
        <v>5</v>
      </c>
      <c r="T86" s="3" t="n">
        <v>0</v>
      </c>
      <c r="U86" s="3" t="n">
        <v>33</v>
      </c>
      <c r="V86" s="3" t="n">
        <v>44358</v>
      </c>
      <c r="W86" s="3" t="n">
        <v>2</v>
      </c>
      <c r="X86" s="3" t="n">
        <v>2</v>
      </c>
      <c r="Y86" s="3" t="n">
        <v>2</v>
      </c>
      <c r="Z86" s="3" t="n">
        <v>2</v>
      </c>
      <c r="AA86" s="4" t="n">
        <f aca="false">IF($B86=AA$1,1,0)</f>
        <v>0</v>
      </c>
      <c r="AB86" s="4" t="n">
        <f aca="false">IF($B86=AB$1,1,0)</f>
        <v>0</v>
      </c>
      <c r="AC86" s="4" t="n">
        <f aca="false">IF($B86=AC$1,1,0)</f>
        <v>0</v>
      </c>
      <c r="AD86" s="4" t="n">
        <f aca="false">IF($B86=AD$1,1,0)</f>
        <v>0</v>
      </c>
      <c r="AE86" s="4" t="n">
        <f aca="false">IF($B86=AE$1,1,0)</f>
        <v>0</v>
      </c>
      <c r="AF86" s="4" t="n">
        <f aca="false">IF($B86=AF$1,1,0)</f>
        <v>0</v>
      </c>
      <c r="AG86" s="4" t="n">
        <f aca="false">IF($B86=AG$1,1,0)</f>
        <v>0</v>
      </c>
      <c r="AH86" s="4" t="n">
        <f aca="false">IF($B86=AH$1,1,0)</f>
        <v>0</v>
      </c>
      <c r="AI86" s="4" t="n">
        <f aca="false">IF($B86=AI$1,1,0)</f>
        <v>0</v>
      </c>
      <c r="AJ86" s="4" t="n">
        <f aca="false">IF($B86=AJ$1,1,0)</f>
        <v>0</v>
      </c>
      <c r="AK86" s="4" t="n">
        <f aca="false">IF($B86=AK$1,1,0)</f>
        <v>0</v>
      </c>
      <c r="AL86" s="4" t="n">
        <f aca="false">IF($B86=AL$1,1,0)</f>
        <v>0</v>
      </c>
      <c r="AM86" s="4" t="n">
        <f aca="false">IF($B86=AM$1,1,0)</f>
        <v>0</v>
      </c>
      <c r="AN86" s="4" t="n">
        <f aca="false">IF($B86=AN$1,1,0)</f>
        <v>0</v>
      </c>
      <c r="AO86" s="4" t="n">
        <f aca="false">IF($B86=AO$1,1,0)</f>
        <v>0</v>
      </c>
      <c r="AP86" s="4" t="n">
        <f aca="false">IF($B86=AP$1,1,0)</f>
        <v>0</v>
      </c>
      <c r="AQ86" s="4" t="n">
        <f aca="false">IF($B86=AQ$1,1,0)</f>
        <v>0</v>
      </c>
      <c r="AR86" s="4" t="n">
        <f aca="false">IF($B86=AR$1,1,0)</f>
        <v>0</v>
      </c>
      <c r="AS86" s="4" t="n">
        <f aca="false">IF($B86=AS$1,1,0)</f>
        <v>1</v>
      </c>
      <c r="AT86" s="4" t="n">
        <f aca="false">IF($B86=AT$1,1,0)</f>
        <v>0</v>
      </c>
      <c r="BB86" s="4" t="n">
        <f aca="false">A86</f>
        <v>85</v>
      </c>
      <c r="BC86" s="7" t="n">
        <f aca="false">ABS($T86-$AX$2)+ABS($U86-$AY$2)+ABS($V86-$AZ$2)</f>
        <v>21529.7676056338</v>
      </c>
      <c r="BD86" s="7" t="n">
        <f aca="false">ABS($T86-$AX$3)+ABS($U86-$AY$3)+ABS($V86-$AZ$3)</f>
        <v>2313.72881355932</v>
      </c>
      <c r="BE86" s="7" t="n">
        <f aca="false">ABS($T86-$AX$4)+ABS($U86-$AY$4)+ABS($V86-$AZ$4)</f>
        <v>33445.641509434</v>
      </c>
      <c r="BF86" s="7" t="n">
        <f aca="false">MIN(BC86:BE86)</f>
        <v>2313.72881355932</v>
      </c>
      <c r="BG86" s="4" t="n">
        <f aca="false">MATCH(BF86,BC86:BE86,0)</f>
        <v>2</v>
      </c>
      <c r="BH86" s="8" t="n">
        <v>2</v>
      </c>
      <c r="BI86" s="4" t="n">
        <f aca="false">IF(BG86=BH86,0,1)</f>
        <v>0</v>
      </c>
      <c r="BK86" s="8" t="n">
        <v>2</v>
      </c>
      <c r="BL86" s="8" t="n">
        <v>2</v>
      </c>
      <c r="BM86" s="8" t="n">
        <v>2</v>
      </c>
    </row>
    <row r="87" customFormat="false" ht="15" hidden="false" customHeight="false" outlineLevel="0" collapsed="false">
      <c r="A87" s="3" t="n">
        <v>86</v>
      </c>
      <c r="B87" s="3" t="s">
        <v>31</v>
      </c>
      <c r="C87" s="3" t="n">
        <v>1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5</v>
      </c>
      <c r="I87" s="3" t="n">
        <v>4</v>
      </c>
      <c r="J87" s="3" t="n">
        <v>5</v>
      </c>
      <c r="K87" s="3" t="n">
        <v>5</v>
      </c>
      <c r="L87" s="3" t="n">
        <v>5</v>
      </c>
      <c r="M87" s="3" t="n">
        <v>4</v>
      </c>
      <c r="N87" s="3" t="n">
        <v>4</v>
      </c>
      <c r="O87" s="3" t="n">
        <v>3</v>
      </c>
      <c r="P87" s="3" t="n">
        <v>4</v>
      </c>
      <c r="Q87" s="3" t="n">
        <v>4</v>
      </c>
      <c r="R87" s="3" t="n">
        <v>4</v>
      </c>
      <c r="S87" s="3" t="n">
        <v>3</v>
      </c>
      <c r="T87" s="3" t="n">
        <v>0</v>
      </c>
      <c r="U87" s="3" t="n">
        <v>38</v>
      </c>
      <c r="V87" s="3" t="n">
        <v>24582</v>
      </c>
      <c r="W87" s="3" t="n">
        <v>2</v>
      </c>
      <c r="X87" s="3" t="n">
        <v>3</v>
      </c>
      <c r="Y87" s="3" t="n">
        <v>2</v>
      </c>
      <c r="Z87" s="3" t="n">
        <v>2</v>
      </c>
      <c r="AA87" s="4" t="n">
        <f aca="false">IF($B87=AA$1,1,0)</f>
        <v>0</v>
      </c>
      <c r="AB87" s="4" t="n">
        <f aca="false">IF($B87=AB$1,1,0)</f>
        <v>0</v>
      </c>
      <c r="AC87" s="4" t="n">
        <f aca="false">IF($B87=AC$1,1,0)</f>
        <v>0</v>
      </c>
      <c r="AD87" s="4" t="n">
        <f aca="false">IF($B87=AD$1,1,0)</f>
        <v>0</v>
      </c>
      <c r="AE87" s="4" t="n">
        <f aca="false">IF($B87=AE$1,1,0)</f>
        <v>0</v>
      </c>
      <c r="AF87" s="4" t="n">
        <f aca="false">IF($B87=AF$1,1,0)</f>
        <v>1</v>
      </c>
      <c r="AG87" s="4" t="n">
        <f aca="false">IF($B87=AG$1,1,0)</f>
        <v>0</v>
      </c>
      <c r="AH87" s="4" t="n">
        <f aca="false">IF($B87=AH$1,1,0)</f>
        <v>0</v>
      </c>
      <c r="AI87" s="4" t="n">
        <f aca="false">IF($B87=AI$1,1,0)</f>
        <v>0</v>
      </c>
      <c r="AJ87" s="4" t="n">
        <f aca="false">IF($B87=AJ$1,1,0)</f>
        <v>0</v>
      </c>
      <c r="AK87" s="4" t="n">
        <f aca="false">IF($B87=AK$1,1,0)</f>
        <v>0</v>
      </c>
      <c r="AL87" s="4" t="n">
        <f aca="false">IF($B87=AL$1,1,0)</f>
        <v>0</v>
      </c>
      <c r="AM87" s="4" t="n">
        <f aca="false">IF($B87=AM$1,1,0)</f>
        <v>0</v>
      </c>
      <c r="AN87" s="4" t="n">
        <f aca="false">IF($B87=AN$1,1,0)</f>
        <v>0</v>
      </c>
      <c r="AO87" s="4" t="n">
        <f aca="false">IF($B87=AO$1,1,0)</f>
        <v>0</v>
      </c>
      <c r="AP87" s="4" t="n">
        <f aca="false">IF($B87=AP$1,1,0)</f>
        <v>0</v>
      </c>
      <c r="AQ87" s="4" t="n">
        <f aca="false">IF($B87=AQ$1,1,0)</f>
        <v>0</v>
      </c>
      <c r="AR87" s="4" t="n">
        <f aca="false">IF($B87=AR$1,1,0)</f>
        <v>0</v>
      </c>
      <c r="AS87" s="4" t="n">
        <f aca="false">IF($B87=AS$1,1,0)</f>
        <v>0</v>
      </c>
      <c r="AT87" s="4" t="n">
        <f aca="false">IF($B87=AT$1,1,0)</f>
        <v>0</v>
      </c>
      <c r="BB87" s="4" t="n">
        <f aca="false">A87</f>
        <v>86</v>
      </c>
      <c r="BC87" s="7" t="n">
        <f aca="false">ABS($T87-$AX$2)+ABS($U87-$AY$2)+ABS($V87-$AZ$2)</f>
        <v>1748.7676056338</v>
      </c>
      <c r="BD87" s="7" t="n">
        <f aca="false">ABS($T87-$AX$3)+ABS($U87-$AY$3)+ABS($V87-$AZ$3)</f>
        <v>22084.7288135593</v>
      </c>
      <c r="BE87" s="7" t="n">
        <f aca="false">ABS($T87-$AX$4)+ABS($U87-$AY$4)+ABS($V87-$AZ$4)</f>
        <v>53216.641509434</v>
      </c>
      <c r="BF87" s="7" t="n">
        <f aca="false">MIN(BC87:BE87)</f>
        <v>1748.7676056338</v>
      </c>
      <c r="BG87" s="4" t="n">
        <f aca="false">MATCH(BF87,BC87:BE87,0)</f>
        <v>1</v>
      </c>
      <c r="BH87" s="8" t="n">
        <v>1</v>
      </c>
      <c r="BI87" s="4" t="n">
        <f aca="false">IF(BG87=BH87,0,1)</f>
        <v>0</v>
      </c>
      <c r="BK87" s="8" t="n">
        <v>1</v>
      </c>
      <c r="BL87" s="8" t="n">
        <v>1</v>
      </c>
      <c r="BM87" s="8" t="n">
        <v>1</v>
      </c>
    </row>
    <row r="88" customFormat="false" ht="15" hidden="false" customHeight="false" outlineLevel="0" collapsed="false">
      <c r="A88" s="3" t="n">
        <v>87</v>
      </c>
      <c r="B88" s="3" t="s">
        <v>27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4</v>
      </c>
      <c r="I88" s="3" t="n">
        <v>4</v>
      </c>
      <c r="J88" s="3" t="n">
        <v>5</v>
      </c>
      <c r="K88" s="3" t="n">
        <v>5</v>
      </c>
      <c r="L88" s="3" t="n">
        <v>5</v>
      </c>
      <c r="M88" s="3" t="n">
        <v>4</v>
      </c>
      <c r="N88" s="3" t="n">
        <v>4</v>
      </c>
      <c r="O88" s="3" t="n">
        <v>5</v>
      </c>
      <c r="P88" s="3" t="n">
        <v>4</v>
      </c>
      <c r="Q88" s="3" t="n">
        <v>5</v>
      </c>
      <c r="R88" s="3" t="n">
        <v>5</v>
      </c>
      <c r="S88" s="3" t="n">
        <v>4</v>
      </c>
      <c r="T88" s="3" t="n">
        <v>1</v>
      </c>
      <c r="U88" s="3" t="n">
        <v>34</v>
      </c>
      <c r="V88" s="3" t="n">
        <v>39134</v>
      </c>
      <c r="W88" s="3" t="n">
        <v>1</v>
      </c>
      <c r="X88" s="3" t="n">
        <v>4</v>
      </c>
      <c r="Y88" s="3" t="n">
        <v>1</v>
      </c>
      <c r="Z88" s="3" t="n">
        <v>1</v>
      </c>
      <c r="AA88" s="4" t="n">
        <f aca="false">IF($B88=AA$1,1,0)</f>
        <v>0</v>
      </c>
      <c r="AB88" s="4" t="n">
        <f aca="false">IF($B88=AB$1,1,0)</f>
        <v>1</v>
      </c>
      <c r="AC88" s="4" t="n">
        <f aca="false">IF($B88=AC$1,1,0)</f>
        <v>0</v>
      </c>
      <c r="AD88" s="4" t="n">
        <f aca="false">IF($B88=AD$1,1,0)</f>
        <v>0</v>
      </c>
      <c r="AE88" s="4" t="n">
        <f aca="false">IF($B88=AE$1,1,0)</f>
        <v>0</v>
      </c>
      <c r="AF88" s="4" t="n">
        <f aca="false">IF($B88=AF$1,1,0)</f>
        <v>0</v>
      </c>
      <c r="AG88" s="4" t="n">
        <f aca="false">IF($B88=AG$1,1,0)</f>
        <v>0</v>
      </c>
      <c r="AH88" s="4" t="n">
        <f aca="false">IF($B88=AH$1,1,0)</f>
        <v>0</v>
      </c>
      <c r="AI88" s="4" t="n">
        <f aca="false">IF($B88=AI$1,1,0)</f>
        <v>0</v>
      </c>
      <c r="AJ88" s="4" t="n">
        <f aca="false">IF($B88=AJ$1,1,0)</f>
        <v>0</v>
      </c>
      <c r="AK88" s="4" t="n">
        <f aca="false">IF($B88=AK$1,1,0)</f>
        <v>0</v>
      </c>
      <c r="AL88" s="4" t="n">
        <f aca="false">IF($B88=AL$1,1,0)</f>
        <v>0</v>
      </c>
      <c r="AM88" s="4" t="n">
        <f aca="false">IF($B88=AM$1,1,0)</f>
        <v>0</v>
      </c>
      <c r="AN88" s="4" t="n">
        <f aca="false">IF($B88=AN$1,1,0)</f>
        <v>0</v>
      </c>
      <c r="AO88" s="4" t="n">
        <f aca="false">IF($B88=AO$1,1,0)</f>
        <v>0</v>
      </c>
      <c r="AP88" s="4" t="n">
        <f aca="false">IF($B88=AP$1,1,0)</f>
        <v>0</v>
      </c>
      <c r="AQ88" s="4" t="n">
        <f aca="false">IF($B88=AQ$1,1,0)</f>
        <v>0</v>
      </c>
      <c r="AR88" s="4" t="n">
        <f aca="false">IF($B88=AR$1,1,0)</f>
        <v>0</v>
      </c>
      <c r="AS88" s="4" t="n">
        <f aca="false">IF($B88=AS$1,1,0)</f>
        <v>0</v>
      </c>
      <c r="AT88" s="4" t="n">
        <f aca="false">IF($B88=AT$1,1,0)</f>
        <v>0</v>
      </c>
      <c r="BB88" s="4" t="n">
        <f aca="false">A88</f>
        <v>87</v>
      </c>
      <c r="BC88" s="7" t="n">
        <f aca="false">ABS($T88-$AX$2)+ABS($U88-$AY$2)+ABS($V88-$AZ$2)</f>
        <v>16305.3309859155</v>
      </c>
      <c r="BD88" s="7" t="n">
        <f aca="false">ABS($T88-$AX$3)+ABS($U88-$AY$3)+ABS($V88-$AZ$3)</f>
        <v>7537.35593220339</v>
      </c>
      <c r="BE88" s="7" t="n">
        <f aca="false">ABS($T88-$AX$4)+ABS($U88-$AY$4)+ABS($V88-$AZ$4)</f>
        <v>38669.1132075472</v>
      </c>
      <c r="BF88" s="7" t="n">
        <f aca="false">MIN(BC88:BE88)</f>
        <v>7537.35593220339</v>
      </c>
      <c r="BG88" s="4" t="n">
        <f aca="false">MATCH(BF88,BC88:BE88,0)</f>
        <v>2</v>
      </c>
      <c r="BH88" s="8" t="n">
        <v>2</v>
      </c>
      <c r="BI88" s="4" t="n">
        <f aca="false">IF(BG88=BH88,0,1)</f>
        <v>0</v>
      </c>
      <c r="BK88" s="8" t="n">
        <v>2</v>
      </c>
      <c r="BL88" s="8" t="n">
        <v>2</v>
      </c>
      <c r="BM88" s="8" t="n">
        <v>2</v>
      </c>
    </row>
    <row r="89" customFormat="false" ht="15" hidden="false" customHeight="false" outlineLevel="0" collapsed="false">
      <c r="A89" s="3" t="n">
        <v>88</v>
      </c>
      <c r="B89" s="3" t="s">
        <v>31</v>
      </c>
      <c r="C89" s="3" t="n">
        <v>1</v>
      </c>
      <c r="D89" s="3" t="n">
        <v>0</v>
      </c>
      <c r="E89" s="3" t="n">
        <v>0</v>
      </c>
      <c r="F89" s="3" t="n">
        <v>0</v>
      </c>
      <c r="G89" s="3" t="n">
        <v>1</v>
      </c>
      <c r="H89" s="3" t="n">
        <v>4</v>
      </c>
      <c r="I89" s="3" t="n">
        <v>4</v>
      </c>
      <c r="J89" s="3" t="n">
        <v>5</v>
      </c>
      <c r="K89" s="3" t="n">
        <v>4</v>
      </c>
      <c r="L89" s="3" t="n">
        <v>5</v>
      </c>
      <c r="M89" s="3" t="n">
        <v>3</v>
      </c>
      <c r="N89" s="3" t="n">
        <v>4</v>
      </c>
      <c r="O89" s="3" t="n">
        <v>4</v>
      </c>
      <c r="P89" s="3" t="n">
        <v>2</v>
      </c>
      <c r="Q89" s="3" t="n">
        <v>5</v>
      </c>
      <c r="R89" s="3" t="n">
        <v>5</v>
      </c>
      <c r="S89" s="3" t="n">
        <v>3</v>
      </c>
      <c r="T89" s="3" t="n">
        <v>1</v>
      </c>
      <c r="U89" s="3" t="n">
        <v>45</v>
      </c>
      <c r="V89" s="3" t="n">
        <v>11601</v>
      </c>
      <c r="W89" s="3" t="n">
        <v>2</v>
      </c>
      <c r="X89" s="3" t="n">
        <v>3</v>
      </c>
      <c r="Y89" s="3" t="n">
        <v>2</v>
      </c>
      <c r="Z89" s="3" t="n">
        <v>2</v>
      </c>
      <c r="AA89" s="4" t="n">
        <f aca="false">IF($B89=AA$1,1,0)</f>
        <v>0</v>
      </c>
      <c r="AB89" s="4" t="n">
        <f aca="false">IF($B89=AB$1,1,0)</f>
        <v>0</v>
      </c>
      <c r="AC89" s="4" t="n">
        <f aca="false">IF($B89=AC$1,1,0)</f>
        <v>0</v>
      </c>
      <c r="AD89" s="4" t="n">
        <f aca="false">IF($B89=AD$1,1,0)</f>
        <v>0</v>
      </c>
      <c r="AE89" s="4" t="n">
        <f aca="false">IF($B89=AE$1,1,0)</f>
        <v>0</v>
      </c>
      <c r="AF89" s="4" t="n">
        <f aca="false">IF($B89=AF$1,1,0)</f>
        <v>1</v>
      </c>
      <c r="AG89" s="4" t="n">
        <f aca="false">IF($B89=AG$1,1,0)</f>
        <v>0</v>
      </c>
      <c r="AH89" s="4" t="n">
        <f aca="false">IF($B89=AH$1,1,0)</f>
        <v>0</v>
      </c>
      <c r="AI89" s="4" t="n">
        <f aca="false">IF($B89=AI$1,1,0)</f>
        <v>0</v>
      </c>
      <c r="AJ89" s="4" t="n">
        <f aca="false">IF($B89=AJ$1,1,0)</f>
        <v>0</v>
      </c>
      <c r="AK89" s="4" t="n">
        <f aca="false">IF($B89=AK$1,1,0)</f>
        <v>0</v>
      </c>
      <c r="AL89" s="4" t="n">
        <f aca="false">IF($B89=AL$1,1,0)</f>
        <v>0</v>
      </c>
      <c r="AM89" s="4" t="n">
        <f aca="false">IF($B89=AM$1,1,0)</f>
        <v>0</v>
      </c>
      <c r="AN89" s="4" t="n">
        <f aca="false">IF($B89=AN$1,1,0)</f>
        <v>0</v>
      </c>
      <c r="AO89" s="4" t="n">
        <f aca="false">IF($B89=AO$1,1,0)</f>
        <v>0</v>
      </c>
      <c r="AP89" s="4" t="n">
        <f aca="false">IF($B89=AP$1,1,0)</f>
        <v>0</v>
      </c>
      <c r="AQ89" s="4" t="n">
        <f aca="false">IF($B89=AQ$1,1,0)</f>
        <v>0</v>
      </c>
      <c r="AR89" s="4" t="n">
        <f aca="false">IF($B89=AR$1,1,0)</f>
        <v>0</v>
      </c>
      <c r="AS89" s="4" t="n">
        <f aca="false">IF($B89=AS$1,1,0)</f>
        <v>0</v>
      </c>
      <c r="AT89" s="4" t="n">
        <f aca="false">IF($B89=AT$1,1,0)</f>
        <v>0</v>
      </c>
      <c r="BB89" s="4" t="n">
        <f aca="false">A89</f>
        <v>88</v>
      </c>
      <c r="BC89" s="7" t="n">
        <f aca="false">ABS($T89-$AX$2)+ABS($U89-$AY$2)+ABS($V89-$AZ$2)</f>
        <v>11240.2323943662</v>
      </c>
      <c r="BD89" s="7" t="n">
        <f aca="false">ABS($T89-$AX$3)+ABS($U89-$AY$3)+ABS($V89-$AZ$3)</f>
        <v>35066.593220339</v>
      </c>
      <c r="BE89" s="7" t="n">
        <f aca="false">ABS($T89-$AX$4)+ABS($U89-$AY$4)+ABS($V89-$AZ$4)</f>
        <v>66197.0754716981</v>
      </c>
      <c r="BF89" s="7" t="n">
        <f aca="false">MIN(BC89:BE89)</f>
        <v>11240.2323943662</v>
      </c>
      <c r="BG89" s="4" t="n">
        <f aca="false">MATCH(BF89,BC89:BE89,0)</f>
        <v>1</v>
      </c>
      <c r="BH89" s="8" t="n">
        <v>1</v>
      </c>
      <c r="BI89" s="4" t="n">
        <f aca="false">IF(BG89=BH89,0,1)</f>
        <v>0</v>
      </c>
      <c r="BK89" s="8" t="n">
        <v>1</v>
      </c>
      <c r="BL89" s="8" t="n">
        <v>1</v>
      </c>
      <c r="BM89" s="8" t="n">
        <v>1</v>
      </c>
    </row>
    <row r="90" customFormat="false" ht="15" hidden="false" customHeight="false" outlineLevel="0" collapsed="false">
      <c r="A90" s="3" t="n">
        <v>89</v>
      </c>
      <c r="B90" s="3" t="s">
        <v>40</v>
      </c>
      <c r="C90" s="3" t="n">
        <v>1</v>
      </c>
      <c r="D90" s="3" t="n">
        <v>0</v>
      </c>
      <c r="E90" s="3" t="n">
        <v>0</v>
      </c>
      <c r="F90" s="3" t="n">
        <v>0</v>
      </c>
      <c r="G90" s="3" t="n">
        <v>1</v>
      </c>
      <c r="H90" s="3" t="n">
        <v>4</v>
      </c>
      <c r="I90" s="3" t="n">
        <v>5</v>
      </c>
      <c r="J90" s="3" t="n">
        <v>5</v>
      </c>
      <c r="K90" s="3" t="n">
        <v>4</v>
      </c>
      <c r="L90" s="3" t="n">
        <v>5</v>
      </c>
      <c r="M90" s="3" t="n">
        <v>3</v>
      </c>
      <c r="N90" s="3" t="n">
        <v>3</v>
      </c>
      <c r="O90" s="3" t="n">
        <v>4</v>
      </c>
      <c r="P90" s="3" t="n">
        <v>2</v>
      </c>
      <c r="Q90" s="3" t="n">
        <v>5</v>
      </c>
      <c r="R90" s="3" t="n">
        <v>5</v>
      </c>
      <c r="S90" s="3" t="n">
        <v>4</v>
      </c>
      <c r="T90" s="3" t="n">
        <v>1</v>
      </c>
      <c r="U90" s="3" t="n">
        <v>39</v>
      </c>
      <c r="V90" s="3" t="n">
        <v>45758</v>
      </c>
      <c r="W90" s="3" t="n">
        <v>2</v>
      </c>
      <c r="X90" s="3" t="n">
        <v>3</v>
      </c>
      <c r="Y90" s="3" t="n">
        <v>2</v>
      </c>
      <c r="Z90" s="3" t="n">
        <v>2</v>
      </c>
      <c r="AA90" s="4" t="n">
        <f aca="false">IF($B90=AA$1,1,0)</f>
        <v>0</v>
      </c>
      <c r="AB90" s="4" t="n">
        <f aca="false">IF($B90=AB$1,1,0)</f>
        <v>0</v>
      </c>
      <c r="AC90" s="4" t="n">
        <f aca="false">IF($B90=AC$1,1,0)</f>
        <v>0</v>
      </c>
      <c r="AD90" s="4" t="n">
        <f aca="false">IF($B90=AD$1,1,0)</f>
        <v>0</v>
      </c>
      <c r="AE90" s="4" t="n">
        <f aca="false">IF($B90=AE$1,1,0)</f>
        <v>0</v>
      </c>
      <c r="AF90" s="4" t="n">
        <f aca="false">IF($B90=AF$1,1,0)</f>
        <v>0</v>
      </c>
      <c r="AG90" s="4" t="n">
        <f aca="false">IF($B90=AG$1,1,0)</f>
        <v>0</v>
      </c>
      <c r="AH90" s="4" t="n">
        <f aca="false">IF($B90=AH$1,1,0)</f>
        <v>0</v>
      </c>
      <c r="AI90" s="4" t="n">
        <f aca="false">IF($B90=AI$1,1,0)</f>
        <v>0</v>
      </c>
      <c r="AJ90" s="4" t="n">
        <f aca="false">IF($B90=AJ$1,1,0)</f>
        <v>0</v>
      </c>
      <c r="AK90" s="4" t="n">
        <f aca="false">IF($B90=AK$1,1,0)</f>
        <v>0</v>
      </c>
      <c r="AL90" s="4" t="n">
        <f aca="false">IF($B90=AL$1,1,0)</f>
        <v>0</v>
      </c>
      <c r="AM90" s="4" t="n">
        <f aca="false">IF($B90=AM$1,1,0)</f>
        <v>0</v>
      </c>
      <c r="AN90" s="4" t="n">
        <f aca="false">IF($B90=AN$1,1,0)</f>
        <v>0</v>
      </c>
      <c r="AO90" s="4" t="n">
        <f aca="false">IF($B90=AO$1,1,0)</f>
        <v>1</v>
      </c>
      <c r="AP90" s="4" t="n">
        <f aca="false">IF($B90=AP$1,1,0)</f>
        <v>0</v>
      </c>
      <c r="AQ90" s="4" t="n">
        <f aca="false">IF($B90=AQ$1,1,0)</f>
        <v>0</v>
      </c>
      <c r="AR90" s="4" t="n">
        <f aca="false">IF($B90=AR$1,1,0)</f>
        <v>0</v>
      </c>
      <c r="AS90" s="4" t="n">
        <f aca="false">IF($B90=AS$1,1,0)</f>
        <v>0</v>
      </c>
      <c r="AT90" s="4" t="n">
        <f aca="false">IF($B90=AT$1,1,0)</f>
        <v>0</v>
      </c>
      <c r="BB90" s="4" t="n">
        <f aca="false">A90</f>
        <v>89</v>
      </c>
      <c r="BC90" s="7" t="n">
        <f aca="false">ABS($T90-$AX$2)+ABS($U90-$AY$2)+ABS($V90-$AZ$2)</f>
        <v>22924.8521126761</v>
      </c>
      <c r="BD90" s="7" t="n">
        <f aca="false">ABS($T90-$AX$3)+ABS($U90-$AY$3)+ABS($V90-$AZ$3)</f>
        <v>908.355932203392</v>
      </c>
      <c r="BE90" s="7" t="n">
        <f aca="false">ABS($T90-$AX$4)+ABS($U90-$AY$4)+ABS($V90-$AZ$4)</f>
        <v>32040.1132075472</v>
      </c>
      <c r="BF90" s="7" t="n">
        <f aca="false">MIN(BC90:BE90)</f>
        <v>908.355932203392</v>
      </c>
      <c r="BG90" s="4" t="n">
        <f aca="false">MATCH(BF90,BC90:BE90,0)</f>
        <v>2</v>
      </c>
      <c r="BH90" s="8" t="n">
        <v>2</v>
      </c>
      <c r="BI90" s="4" t="n">
        <f aca="false">IF(BG90=BH90,0,1)</f>
        <v>0</v>
      </c>
      <c r="BK90" s="8" t="n">
        <v>2</v>
      </c>
      <c r="BL90" s="8" t="n">
        <v>2</v>
      </c>
      <c r="BM90" s="8" t="n">
        <v>2</v>
      </c>
    </row>
    <row r="91" customFormat="false" ht="15" hidden="false" customHeight="false" outlineLevel="0" collapsed="false">
      <c r="A91" s="3" t="n">
        <v>90</v>
      </c>
      <c r="B91" s="3" t="s">
        <v>31</v>
      </c>
      <c r="C91" s="3" t="n">
        <v>0</v>
      </c>
      <c r="D91" s="3" t="n">
        <v>0</v>
      </c>
      <c r="E91" s="3" t="n">
        <v>1</v>
      </c>
      <c r="F91" s="3" t="n">
        <v>0</v>
      </c>
      <c r="G91" s="3" t="n">
        <v>0</v>
      </c>
      <c r="H91" s="3" t="n">
        <v>5</v>
      </c>
      <c r="I91" s="3" t="n">
        <v>5</v>
      </c>
      <c r="J91" s="3" t="n">
        <v>5</v>
      </c>
      <c r="K91" s="3" t="n">
        <v>5</v>
      </c>
      <c r="L91" s="3" t="n">
        <v>5</v>
      </c>
      <c r="M91" s="3" t="n">
        <v>4</v>
      </c>
      <c r="N91" s="3" t="n">
        <v>4</v>
      </c>
      <c r="O91" s="3" t="n">
        <v>5</v>
      </c>
      <c r="P91" s="3" t="n">
        <v>4</v>
      </c>
      <c r="Q91" s="3" t="n">
        <v>5</v>
      </c>
      <c r="R91" s="3" t="n">
        <v>5</v>
      </c>
      <c r="S91" s="3" t="n">
        <v>4</v>
      </c>
      <c r="T91" s="3" t="n">
        <v>0</v>
      </c>
      <c r="U91" s="3" t="n">
        <v>33</v>
      </c>
      <c r="V91" s="3" t="n">
        <v>57942</v>
      </c>
      <c r="W91" s="3" t="n">
        <v>3</v>
      </c>
      <c r="X91" s="3" t="n">
        <v>2</v>
      </c>
      <c r="Y91" s="3" t="n">
        <v>2</v>
      </c>
      <c r="Z91" s="3" t="n">
        <v>2</v>
      </c>
      <c r="AA91" s="4" t="n">
        <f aca="false">IF($B91=AA$1,1,0)</f>
        <v>0</v>
      </c>
      <c r="AB91" s="4" t="n">
        <f aca="false">IF($B91=AB$1,1,0)</f>
        <v>0</v>
      </c>
      <c r="AC91" s="4" t="n">
        <f aca="false">IF($B91=AC$1,1,0)</f>
        <v>0</v>
      </c>
      <c r="AD91" s="4" t="n">
        <f aca="false">IF($B91=AD$1,1,0)</f>
        <v>0</v>
      </c>
      <c r="AE91" s="4" t="n">
        <f aca="false">IF($B91=AE$1,1,0)</f>
        <v>0</v>
      </c>
      <c r="AF91" s="4" t="n">
        <f aca="false">IF($B91=AF$1,1,0)</f>
        <v>1</v>
      </c>
      <c r="AG91" s="4" t="n">
        <f aca="false">IF($B91=AG$1,1,0)</f>
        <v>0</v>
      </c>
      <c r="AH91" s="4" t="n">
        <f aca="false">IF($B91=AH$1,1,0)</f>
        <v>0</v>
      </c>
      <c r="AI91" s="4" t="n">
        <f aca="false">IF($B91=AI$1,1,0)</f>
        <v>0</v>
      </c>
      <c r="AJ91" s="4" t="n">
        <f aca="false">IF($B91=AJ$1,1,0)</f>
        <v>0</v>
      </c>
      <c r="AK91" s="4" t="n">
        <f aca="false">IF($B91=AK$1,1,0)</f>
        <v>0</v>
      </c>
      <c r="AL91" s="4" t="n">
        <f aca="false">IF($B91=AL$1,1,0)</f>
        <v>0</v>
      </c>
      <c r="AM91" s="4" t="n">
        <f aca="false">IF($B91=AM$1,1,0)</f>
        <v>0</v>
      </c>
      <c r="AN91" s="4" t="n">
        <f aca="false">IF($B91=AN$1,1,0)</f>
        <v>0</v>
      </c>
      <c r="AO91" s="4" t="n">
        <f aca="false">IF($B91=AO$1,1,0)</f>
        <v>0</v>
      </c>
      <c r="AP91" s="4" t="n">
        <f aca="false">IF($B91=AP$1,1,0)</f>
        <v>0</v>
      </c>
      <c r="AQ91" s="4" t="n">
        <f aca="false">IF($B91=AQ$1,1,0)</f>
        <v>0</v>
      </c>
      <c r="AR91" s="4" t="n">
        <f aca="false">IF($B91=AR$1,1,0)</f>
        <v>0</v>
      </c>
      <c r="AS91" s="4" t="n">
        <f aca="false">IF($B91=AS$1,1,0)</f>
        <v>0</v>
      </c>
      <c r="AT91" s="4" t="n">
        <f aca="false">IF($B91=AT$1,1,0)</f>
        <v>0</v>
      </c>
      <c r="BB91" s="4" t="n">
        <f aca="false">A91</f>
        <v>90</v>
      </c>
      <c r="BC91" s="7" t="n">
        <f aca="false">ABS($T91-$AX$2)+ABS($U91-$AY$2)+ABS($V91-$AZ$2)</f>
        <v>35113.7676056338</v>
      </c>
      <c r="BD91" s="7" t="n">
        <f aca="false">ABS($T91-$AX$3)+ABS($U91-$AY$3)+ABS($V91-$AZ$3)</f>
        <v>11287.406779661</v>
      </c>
      <c r="BE91" s="7" t="n">
        <f aca="false">ABS($T91-$AX$4)+ABS($U91-$AY$4)+ABS($V91-$AZ$4)</f>
        <v>19861.641509434</v>
      </c>
      <c r="BF91" s="7" t="n">
        <f aca="false">MIN(BC91:BE91)</f>
        <v>11287.406779661</v>
      </c>
      <c r="BG91" s="4" t="n">
        <f aca="false">MATCH(BF91,BC91:BE91,0)</f>
        <v>2</v>
      </c>
      <c r="BH91" s="8" t="n">
        <v>2</v>
      </c>
      <c r="BI91" s="4" t="n">
        <f aca="false">IF(BG91=BH91,0,1)</f>
        <v>0</v>
      </c>
      <c r="BK91" s="8" t="n">
        <v>2</v>
      </c>
      <c r="BL91" s="8" t="n">
        <v>2</v>
      </c>
      <c r="BM91" s="8" t="n">
        <v>2</v>
      </c>
    </row>
    <row r="92" customFormat="false" ht="15" hidden="false" customHeight="false" outlineLevel="0" collapsed="false">
      <c r="A92" s="3" t="n">
        <v>91</v>
      </c>
      <c r="B92" s="3" t="s">
        <v>38</v>
      </c>
      <c r="C92" s="3" t="n">
        <v>0</v>
      </c>
      <c r="D92" s="3" t="n">
        <v>0</v>
      </c>
      <c r="E92" s="3" t="n">
        <v>1</v>
      </c>
      <c r="F92" s="3" t="n">
        <v>0</v>
      </c>
      <c r="G92" s="3" t="n">
        <v>0</v>
      </c>
      <c r="H92" s="3" t="n">
        <v>4</v>
      </c>
      <c r="I92" s="3" t="n">
        <v>4</v>
      </c>
      <c r="J92" s="3" t="n">
        <v>5</v>
      </c>
      <c r="K92" s="3" t="n">
        <v>5</v>
      </c>
      <c r="L92" s="3" t="n">
        <v>4</v>
      </c>
      <c r="M92" s="3" t="n">
        <v>4</v>
      </c>
      <c r="N92" s="3" t="n">
        <v>4</v>
      </c>
      <c r="O92" s="3" t="n">
        <v>4</v>
      </c>
      <c r="P92" s="3" t="n">
        <v>3</v>
      </c>
      <c r="Q92" s="3" t="n">
        <v>5</v>
      </c>
      <c r="R92" s="3" t="n">
        <v>5</v>
      </c>
      <c r="S92" s="3" t="n">
        <v>5</v>
      </c>
      <c r="T92" s="3" t="n">
        <v>0</v>
      </c>
      <c r="U92" s="3" t="n">
        <v>29</v>
      </c>
      <c r="V92" s="3" t="n">
        <v>24323</v>
      </c>
      <c r="W92" s="3" t="n">
        <v>1</v>
      </c>
      <c r="X92" s="3" t="n">
        <v>4</v>
      </c>
      <c r="Y92" s="3" t="n">
        <v>2</v>
      </c>
      <c r="Z92" s="3" t="n">
        <v>1</v>
      </c>
      <c r="AA92" s="4" t="n">
        <f aca="false">IF($B92=AA$1,1,0)</f>
        <v>0</v>
      </c>
      <c r="AB92" s="4" t="n">
        <f aca="false">IF($B92=AB$1,1,0)</f>
        <v>0</v>
      </c>
      <c r="AC92" s="4" t="n">
        <f aca="false">IF($B92=AC$1,1,0)</f>
        <v>0</v>
      </c>
      <c r="AD92" s="4" t="n">
        <f aca="false">IF($B92=AD$1,1,0)</f>
        <v>0</v>
      </c>
      <c r="AE92" s="4" t="n">
        <f aca="false">IF($B92=AE$1,1,0)</f>
        <v>0</v>
      </c>
      <c r="AF92" s="4" t="n">
        <f aca="false">IF($B92=AF$1,1,0)</f>
        <v>0</v>
      </c>
      <c r="AG92" s="4" t="n">
        <f aca="false">IF($B92=AG$1,1,0)</f>
        <v>0</v>
      </c>
      <c r="AH92" s="4" t="n">
        <f aca="false">IF($B92=AH$1,1,0)</f>
        <v>0</v>
      </c>
      <c r="AI92" s="4" t="n">
        <f aca="false">IF($B92=AI$1,1,0)</f>
        <v>0</v>
      </c>
      <c r="AJ92" s="4" t="n">
        <f aca="false">IF($B92=AJ$1,1,0)</f>
        <v>0</v>
      </c>
      <c r="AK92" s="4" t="n">
        <f aca="false">IF($B92=AK$1,1,0)</f>
        <v>0</v>
      </c>
      <c r="AL92" s="4" t="n">
        <f aca="false">IF($B92=AL$1,1,0)</f>
        <v>0</v>
      </c>
      <c r="AM92" s="4" t="n">
        <f aca="false">IF($B92=AM$1,1,0)</f>
        <v>1</v>
      </c>
      <c r="AN92" s="4" t="n">
        <f aca="false">IF($B92=AN$1,1,0)</f>
        <v>0</v>
      </c>
      <c r="AO92" s="4" t="n">
        <f aca="false">IF($B92=AO$1,1,0)</f>
        <v>0</v>
      </c>
      <c r="AP92" s="4" t="n">
        <f aca="false">IF($B92=AP$1,1,0)</f>
        <v>0</v>
      </c>
      <c r="AQ92" s="4" t="n">
        <f aca="false">IF($B92=AQ$1,1,0)</f>
        <v>0</v>
      </c>
      <c r="AR92" s="4" t="n">
        <f aca="false">IF($B92=AR$1,1,0)</f>
        <v>0</v>
      </c>
      <c r="AS92" s="4" t="n">
        <f aca="false">IF($B92=AS$1,1,0)</f>
        <v>0</v>
      </c>
      <c r="AT92" s="4" t="n">
        <f aca="false">IF($B92=AT$1,1,0)</f>
        <v>0</v>
      </c>
      <c r="BB92" s="4" t="n">
        <f aca="false">A92</f>
        <v>91</v>
      </c>
      <c r="BC92" s="7" t="n">
        <f aca="false">ABS($T92-$AX$2)+ABS($U92-$AY$2)+ABS($V92-$AZ$2)</f>
        <v>1498.7676056338</v>
      </c>
      <c r="BD92" s="7" t="n">
        <f aca="false">ABS($T92-$AX$3)+ABS($U92-$AY$3)+ABS($V92-$AZ$3)</f>
        <v>22352.7288135593</v>
      </c>
      <c r="BE92" s="7" t="n">
        <f aca="false">ABS($T92-$AX$4)+ABS($U92-$AY$4)+ABS($V92-$AZ$4)</f>
        <v>53484.641509434</v>
      </c>
      <c r="BF92" s="7" t="n">
        <f aca="false">MIN(BC92:BE92)</f>
        <v>1498.7676056338</v>
      </c>
      <c r="BG92" s="4" t="n">
        <f aca="false">MATCH(BF92,BC92:BE92,0)</f>
        <v>1</v>
      </c>
      <c r="BH92" s="8" t="n">
        <v>1</v>
      </c>
      <c r="BI92" s="4" t="n">
        <f aca="false">IF(BG92=BH92,0,1)</f>
        <v>0</v>
      </c>
      <c r="BK92" s="8" t="n">
        <v>1</v>
      </c>
      <c r="BL92" s="8" t="n">
        <v>1</v>
      </c>
      <c r="BM92" s="8" t="n">
        <v>1</v>
      </c>
    </row>
    <row r="93" customFormat="false" ht="15" hidden="false" customHeight="false" outlineLevel="0" collapsed="false">
      <c r="A93" s="3" t="n">
        <v>92</v>
      </c>
      <c r="B93" s="3" t="s">
        <v>34</v>
      </c>
      <c r="C93" s="3" t="n">
        <v>0</v>
      </c>
      <c r="D93" s="3" t="n">
        <v>0</v>
      </c>
      <c r="E93" s="3" t="n">
        <v>1</v>
      </c>
      <c r="F93" s="3" t="n">
        <v>0</v>
      </c>
      <c r="G93" s="3" t="n">
        <v>0</v>
      </c>
      <c r="H93" s="3" t="n">
        <v>3</v>
      </c>
      <c r="I93" s="3" t="n">
        <v>4</v>
      </c>
      <c r="J93" s="3" t="n">
        <v>4</v>
      </c>
      <c r="K93" s="3" t="n">
        <v>4</v>
      </c>
      <c r="L93" s="3" t="n">
        <v>5</v>
      </c>
      <c r="M93" s="3" t="n">
        <v>3</v>
      </c>
      <c r="N93" s="3" t="n">
        <v>3</v>
      </c>
      <c r="O93" s="3" t="n">
        <v>4</v>
      </c>
      <c r="P93" s="3" t="n">
        <v>2</v>
      </c>
      <c r="Q93" s="3" t="n">
        <v>4</v>
      </c>
      <c r="R93" s="3" t="n">
        <v>4</v>
      </c>
      <c r="S93" s="3" t="n">
        <v>3</v>
      </c>
      <c r="T93" s="3" t="n">
        <v>0</v>
      </c>
      <c r="U93" s="3" t="n">
        <v>45</v>
      </c>
      <c r="V93" s="3" t="n">
        <v>89076</v>
      </c>
      <c r="W93" s="3" t="n">
        <v>2</v>
      </c>
      <c r="X93" s="3" t="n">
        <v>4</v>
      </c>
      <c r="Y93" s="3" t="n">
        <v>1</v>
      </c>
      <c r="Z93" s="3" t="n">
        <v>2</v>
      </c>
      <c r="AA93" s="4" t="n">
        <f aca="false">IF($B93=AA$1,1,0)</f>
        <v>0</v>
      </c>
      <c r="AB93" s="4" t="n">
        <f aca="false">IF($B93=AB$1,1,0)</f>
        <v>0</v>
      </c>
      <c r="AC93" s="4" t="n">
        <f aca="false">IF($B93=AC$1,1,0)</f>
        <v>0</v>
      </c>
      <c r="AD93" s="4" t="n">
        <f aca="false">IF($B93=AD$1,1,0)</f>
        <v>0</v>
      </c>
      <c r="AE93" s="4" t="n">
        <f aca="false">IF($B93=AE$1,1,0)</f>
        <v>0</v>
      </c>
      <c r="AF93" s="4" t="n">
        <f aca="false">IF($B93=AF$1,1,0)</f>
        <v>0</v>
      </c>
      <c r="AG93" s="4" t="n">
        <f aca="false">IF($B93=AG$1,1,0)</f>
        <v>0</v>
      </c>
      <c r="AH93" s="4" t="n">
        <f aca="false">IF($B93=AH$1,1,0)</f>
        <v>0</v>
      </c>
      <c r="AI93" s="4" t="n">
        <f aca="false">IF($B93=AI$1,1,0)</f>
        <v>1</v>
      </c>
      <c r="AJ93" s="4" t="n">
        <f aca="false">IF($B93=AJ$1,1,0)</f>
        <v>0</v>
      </c>
      <c r="AK93" s="4" t="n">
        <f aca="false">IF($B93=AK$1,1,0)</f>
        <v>0</v>
      </c>
      <c r="AL93" s="4" t="n">
        <f aca="false">IF($B93=AL$1,1,0)</f>
        <v>0</v>
      </c>
      <c r="AM93" s="4" t="n">
        <f aca="false">IF($B93=AM$1,1,0)</f>
        <v>0</v>
      </c>
      <c r="AN93" s="4" t="n">
        <f aca="false">IF($B93=AN$1,1,0)</f>
        <v>0</v>
      </c>
      <c r="AO93" s="4" t="n">
        <f aca="false">IF($B93=AO$1,1,0)</f>
        <v>0</v>
      </c>
      <c r="AP93" s="4" t="n">
        <f aca="false">IF($B93=AP$1,1,0)</f>
        <v>0</v>
      </c>
      <c r="AQ93" s="4" t="n">
        <f aca="false">IF($B93=AQ$1,1,0)</f>
        <v>0</v>
      </c>
      <c r="AR93" s="4" t="n">
        <f aca="false">IF($B93=AR$1,1,0)</f>
        <v>0</v>
      </c>
      <c r="AS93" s="4" t="n">
        <f aca="false">IF($B93=AS$1,1,0)</f>
        <v>0</v>
      </c>
      <c r="AT93" s="4" t="n">
        <f aca="false">IF($B93=AT$1,1,0)</f>
        <v>0</v>
      </c>
      <c r="BB93" s="4" t="n">
        <f aca="false">A93</f>
        <v>92</v>
      </c>
      <c r="BC93" s="7" t="n">
        <f aca="false">ABS($T93-$AX$2)+ABS($U93-$AY$2)+ABS($V93-$AZ$2)</f>
        <v>66248.2887323944</v>
      </c>
      <c r="BD93" s="7" t="n">
        <f aca="false">ABS($T93-$AX$3)+ABS($U93-$AY$3)+ABS($V93-$AZ$3)</f>
        <v>42416.6440677966</v>
      </c>
      <c r="BE93" s="7" t="n">
        <f aca="false">ABS($T93-$AX$4)+ABS($U93-$AY$4)+ABS($V93-$AZ$4)</f>
        <v>11284.8867924528</v>
      </c>
      <c r="BF93" s="7" t="n">
        <f aca="false">MIN(BC93:BE93)</f>
        <v>11284.8867924528</v>
      </c>
      <c r="BG93" s="4" t="n">
        <f aca="false">MATCH(BF93,BC93:BE93,0)</f>
        <v>3</v>
      </c>
      <c r="BH93" s="8" t="n">
        <v>3</v>
      </c>
      <c r="BI93" s="4" t="n">
        <f aca="false">IF(BG93=BH93,0,1)</f>
        <v>0</v>
      </c>
      <c r="BK93" s="8" t="n">
        <v>3</v>
      </c>
      <c r="BL93" s="8" t="n">
        <v>3</v>
      </c>
      <c r="BM93" s="8" t="n">
        <v>3</v>
      </c>
    </row>
    <row r="94" customFormat="false" ht="15" hidden="false" customHeight="false" outlineLevel="0" collapsed="false">
      <c r="A94" s="3" t="n">
        <v>93</v>
      </c>
      <c r="B94" s="3" t="s">
        <v>31</v>
      </c>
      <c r="C94" s="3" t="n">
        <v>0</v>
      </c>
      <c r="D94" s="3" t="n">
        <v>0</v>
      </c>
      <c r="E94" s="3" t="n">
        <v>1</v>
      </c>
      <c r="F94" s="3" t="n">
        <v>0</v>
      </c>
      <c r="G94" s="3" t="n">
        <v>0</v>
      </c>
      <c r="H94" s="3" t="n">
        <v>3</v>
      </c>
      <c r="I94" s="3" t="n">
        <v>3</v>
      </c>
      <c r="J94" s="3" t="n">
        <v>5</v>
      </c>
      <c r="K94" s="3" t="n">
        <v>3</v>
      </c>
      <c r="L94" s="3" t="n">
        <v>5</v>
      </c>
      <c r="M94" s="3" t="n">
        <v>5</v>
      </c>
      <c r="N94" s="3" t="n">
        <v>3</v>
      </c>
      <c r="O94" s="3" t="n">
        <v>2</v>
      </c>
      <c r="P94" s="3" t="n">
        <v>4</v>
      </c>
      <c r="Q94" s="3" t="n">
        <v>5</v>
      </c>
      <c r="R94" s="3" t="n">
        <v>4</v>
      </c>
      <c r="S94" s="3" t="n">
        <v>2</v>
      </c>
      <c r="T94" s="3" t="n">
        <v>0</v>
      </c>
      <c r="U94" s="3" t="n">
        <v>33</v>
      </c>
      <c r="V94" s="3" t="n">
        <v>87381</v>
      </c>
      <c r="W94" s="3" t="n">
        <v>2</v>
      </c>
      <c r="X94" s="3" t="n">
        <v>3</v>
      </c>
      <c r="Y94" s="3" t="n">
        <v>2</v>
      </c>
      <c r="Z94" s="3" t="n">
        <v>3</v>
      </c>
      <c r="AA94" s="4" t="n">
        <f aca="false">IF($B94=AA$1,1,0)</f>
        <v>0</v>
      </c>
      <c r="AB94" s="4" t="n">
        <f aca="false">IF($B94=AB$1,1,0)</f>
        <v>0</v>
      </c>
      <c r="AC94" s="4" t="n">
        <f aca="false">IF($B94=AC$1,1,0)</f>
        <v>0</v>
      </c>
      <c r="AD94" s="4" t="n">
        <f aca="false">IF($B94=AD$1,1,0)</f>
        <v>0</v>
      </c>
      <c r="AE94" s="4" t="n">
        <f aca="false">IF($B94=AE$1,1,0)</f>
        <v>0</v>
      </c>
      <c r="AF94" s="4" t="n">
        <f aca="false">IF($B94=AF$1,1,0)</f>
        <v>1</v>
      </c>
      <c r="AG94" s="4" t="n">
        <f aca="false">IF($B94=AG$1,1,0)</f>
        <v>0</v>
      </c>
      <c r="AH94" s="4" t="n">
        <f aca="false">IF($B94=AH$1,1,0)</f>
        <v>0</v>
      </c>
      <c r="AI94" s="4" t="n">
        <f aca="false">IF($B94=AI$1,1,0)</f>
        <v>0</v>
      </c>
      <c r="AJ94" s="4" t="n">
        <f aca="false">IF($B94=AJ$1,1,0)</f>
        <v>0</v>
      </c>
      <c r="AK94" s="4" t="n">
        <f aca="false">IF($B94=AK$1,1,0)</f>
        <v>0</v>
      </c>
      <c r="AL94" s="4" t="n">
        <f aca="false">IF($B94=AL$1,1,0)</f>
        <v>0</v>
      </c>
      <c r="AM94" s="4" t="n">
        <f aca="false">IF($B94=AM$1,1,0)</f>
        <v>0</v>
      </c>
      <c r="AN94" s="4" t="n">
        <f aca="false">IF($B94=AN$1,1,0)</f>
        <v>0</v>
      </c>
      <c r="AO94" s="4" t="n">
        <f aca="false">IF($B94=AO$1,1,0)</f>
        <v>0</v>
      </c>
      <c r="AP94" s="4" t="n">
        <f aca="false">IF($B94=AP$1,1,0)</f>
        <v>0</v>
      </c>
      <c r="AQ94" s="4" t="n">
        <f aca="false">IF($B94=AQ$1,1,0)</f>
        <v>0</v>
      </c>
      <c r="AR94" s="4" t="n">
        <f aca="false">IF($B94=AR$1,1,0)</f>
        <v>0</v>
      </c>
      <c r="AS94" s="4" t="n">
        <f aca="false">IF($B94=AS$1,1,0)</f>
        <v>0</v>
      </c>
      <c r="AT94" s="4" t="n">
        <f aca="false">IF($B94=AT$1,1,0)</f>
        <v>0</v>
      </c>
      <c r="BB94" s="4" t="n">
        <f aca="false">A94</f>
        <v>93</v>
      </c>
      <c r="BC94" s="7" t="n">
        <f aca="false">ABS($T94-$AX$2)+ABS($U94-$AY$2)+ABS($V94-$AZ$2)</f>
        <v>64552.7676056338</v>
      </c>
      <c r="BD94" s="7" t="n">
        <f aca="false">ABS($T94-$AX$3)+ABS($U94-$AY$3)+ABS($V94-$AZ$3)</f>
        <v>40726.406779661</v>
      </c>
      <c r="BE94" s="7" t="n">
        <f aca="false">ABS($T94-$AX$4)+ABS($U94-$AY$4)+ABS($V94-$AZ$4)</f>
        <v>9595.92452830189</v>
      </c>
      <c r="BF94" s="7" t="n">
        <f aca="false">MIN(BC94:BE94)</f>
        <v>9595.92452830189</v>
      </c>
      <c r="BG94" s="4" t="n">
        <f aca="false">MATCH(BF94,BC94:BE94,0)</f>
        <v>3</v>
      </c>
      <c r="BH94" s="8" t="n">
        <v>3</v>
      </c>
      <c r="BI94" s="4" t="n">
        <f aca="false">IF(BG94=BH94,0,1)</f>
        <v>0</v>
      </c>
      <c r="BK94" s="8" t="n">
        <v>3</v>
      </c>
      <c r="BL94" s="8" t="n">
        <v>3</v>
      </c>
      <c r="BM94" s="8" t="n">
        <v>3</v>
      </c>
    </row>
    <row r="95" customFormat="false" ht="15" hidden="false" customHeight="false" outlineLevel="0" collapsed="false">
      <c r="A95" s="3" t="n">
        <v>94</v>
      </c>
      <c r="B95" s="3" t="s">
        <v>29</v>
      </c>
      <c r="C95" s="3" t="n">
        <v>1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4</v>
      </c>
      <c r="I95" s="3" t="n">
        <v>4</v>
      </c>
      <c r="J95" s="3" t="n">
        <v>5</v>
      </c>
      <c r="K95" s="3" t="n">
        <v>5</v>
      </c>
      <c r="L95" s="3" t="n">
        <v>5</v>
      </c>
      <c r="M95" s="3" t="n">
        <v>4</v>
      </c>
      <c r="N95" s="3" t="n">
        <v>5</v>
      </c>
      <c r="O95" s="3" t="n">
        <v>5</v>
      </c>
      <c r="P95" s="3" t="n">
        <v>3</v>
      </c>
      <c r="Q95" s="3" t="n">
        <v>4</v>
      </c>
      <c r="R95" s="3" t="n">
        <v>5</v>
      </c>
      <c r="S95" s="3" t="n">
        <v>3</v>
      </c>
      <c r="T95" s="3" t="n">
        <v>0</v>
      </c>
      <c r="U95" s="3" t="n">
        <v>36</v>
      </c>
      <c r="V95" s="3" t="n">
        <v>84261</v>
      </c>
      <c r="W95" s="3" t="n">
        <v>2</v>
      </c>
      <c r="X95" s="3" t="n">
        <v>2</v>
      </c>
      <c r="Y95" s="3" t="n">
        <v>2</v>
      </c>
      <c r="Z95" s="3" t="n">
        <v>1</v>
      </c>
      <c r="AA95" s="4" t="n">
        <f aca="false">IF($B95=AA$1,1,0)</f>
        <v>0</v>
      </c>
      <c r="AB95" s="4" t="n">
        <f aca="false">IF($B95=AB$1,1,0)</f>
        <v>0</v>
      </c>
      <c r="AC95" s="4" t="n">
        <f aca="false">IF($B95=AC$1,1,0)</f>
        <v>0</v>
      </c>
      <c r="AD95" s="4" t="n">
        <f aca="false">IF($B95=AD$1,1,0)</f>
        <v>1</v>
      </c>
      <c r="AE95" s="4" t="n">
        <f aca="false">IF($B95=AE$1,1,0)</f>
        <v>0</v>
      </c>
      <c r="AF95" s="4" t="n">
        <f aca="false">IF($B95=AF$1,1,0)</f>
        <v>0</v>
      </c>
      <c r="AG95" s="4" t="n">
        <f aca="false">IF($B95=AG$1,1,0)</f>
        <v>0</v>
      </c>
      <c r="AH95" s="4" t="n">
        <f aca="false">IF($B95=AH$1,1,0)</f>
        <v>0</v>
      </c>
      <c r="AI95" s="4" t="n">
        <f aca="false">IF($B95=AI$1,1,0)</f>
        <v>0</v>
      </c>
      <c r="AJ95" s="4" t="n">
        <f aca="false">IF($B95=AJ$1,1,0)</f>
        <v>0</v>
      </c>
      <c r="AK95" s="4" t="n">
        <f aca="false">IF($B95=AK$1,1,0)</f>
        <v>0</v>
      </c>
      <c r="AL95" s="4" t="n">
        <f aca="false">IF($B95=AL$1,1,0)</f>
        <v>0</v>
      </c>
      <c r="AM95" s="4" t="n">
        <f aca="false">IF($B95=AM$1,1,0)</f>
        <v>0</v>
      </c>
      <c r="AN95" s="4" t="n">
        <f aca="false">IF($B95=AN$1,1,0)</f>
        <v>0</v>
      </c>
      <c r="AO95" s="4" t="n">
        <f aca="false">IF($B95=AO$1,1,0)</f>
        <v>0</v>
      </c>
      <c r="AP95" s="4" t="n">
        <f aca="false">IF($B95=AP$1,1,0)</f>
        <v>0</v>
      </c>
      <c r="AQ95" s="4" t="n">
        <f aca="false">IF($B95=AQ$1,1,0)</f>
        <v>0</v>
      </c>
      <c r="AR95" s="4" t="n">
        <f aca="false">IF($B95=AR$1,1,0)</f>
        <v>0</v>
      </c>
      <c r="AS95" s="4" t="n">
        <f aca="false">IF($B95=AS$1,1,0)</f>
        <v>0</v>
      </c>
      <c r="AT95" s="4" t="n">
        <f aca="false">IF($B95=AT$1,1,0)</f>
        <v>0</v>
      </c>
      <c r="BB95" s="4" t="n">
        <f aca="false">A95</f>
        <v>94</v>
      </c>
      <c r="BC95" s="7" t="n">
        <f aca="false">ABS($T95-$AX$2)+ABS($U95-$AY$2)+ABS($V95-$AZ$2)</f>
        <v>61429.7676056338</v>
      </c>
      <c r="BD95" s="7" t="n">
        <f aca="false">ABS($T95-$AX$3)+ABS($U95-$AY$3)+ABS($V95-$AZ$3)</f>
        <v>37603.406779661</v>
      </c>
      <c r="BE95" s="7" t="n">
        <f aca="false">ABS($T95-$AX$4)+ABS($U95-$AY$4)+ABS($V95-$AZ$4)</f>
        <v>6472.92452830189</v>
      </c>
      <c r="BF95" s="7" t="n">
        <f aca="false">MIN(BC95:BE95)</f>
        <v>6472.92452830189</v>
      </c>
      <c r="BG95" s="4" t="n">
        <f aca="false">MATCH(BF95,BC95:BE95,0)</f>
        <v>3</v>
      </c>
      <c r="BH95" s="8" t="n">
        <v>3</v>
      </c>
      <c r="BI95" s="4" t="n">
        <f aca="false">IF(BG95=BH95,0,1)</f>
        <v>0</v>
      </c>
      <c r="BK95" s="8" t="n">
        <v>3</v>
      </c>
      <c r="BL95" s="8" t="n">
        <v>3</v>
      </c>
      <c r="BM95" s="8" t="n">
        <v>3</v>
      </c>
    </row>
    <row r="96" customFormat="false" ht="15" hidden="false" customHeight="false" outlineLevel="0" collapsed="false">
      <c r="A96" s="3" t="n">
        <v>95</v>
      </c>
      <c r="B96" s="3" t="s">
        <v>31</v>
      </c>
      <c r="C96" s="3" t="n">
        <v>0</v>
      </c>
      <c r="D96" s="3" t="n">
        <v>0</v>
      </c>
      <c r="E96" s="3" t="n">
        <v>1</v>
      </c>
      <c r="F96" s="3" t="n">
        <v>0</v>
      </c>
      <c r="G96" s="3" t="n">
        <v>0</v>
      </c>
      <c r="H96" s="3" t="n">
        <v>5</v>
      </c>
      <c r="I96" s="3" t="n">
        <v>4</v>
      </c>
      <c r="J96" s="3" t="n">
        <v>5</v>
      </c>
      <c r="K96" s="3" t="n">
        <v>5</v>
      </c>
      <c r="L96" s="3" t="n">
        <v>5</v>
      </c>
      <c r="M96" s="3" t="n">
        <v>5</v>
      </c>
      <c r="N96" s="3" t="n">
        <v>2</v>
      </c>
      <c r="O96" s="3" t="n">
        <v>4</v>
      </c>
      <c r="P96" s="3" t="n">
        <v>3</v>
      </c>
      <c r="Q96" s="3" t="n">
        <v>5</v>
      </c>
      <c r="R96" s="3" t="n">
        <v>5</v>
      </c>
      <c r="S96" s="3" t="n">
        <v>4</v>
      </c>
      <c r="T96" s="3" t="n">
        <v>0</v>
      </c>
      <c r="U96" s="3" t="n">
        <v>20</v>
      </c>
      <c r="V96" s="3" t="n">
        <v>40048</v>
      </c>
      <c r="W96" s="3" t="n">
        <v>2</v>
      </c>
      <c r="X96" s="3" t="n">
        <v>3</v>
      </c>
      <c r="Y96" s="3" t="n">
        <v>1</v>
      </c>
      <c r="Z96" s="3" t="n">
        <v>2</v>
      </c>
      <c r="AA96" s="4" t="n">
        <f aca="false">IF($B96=AA$1,1,0)</f>
        <v>0</v>
      </c>
      <c r="AB96" s="4" t="n">
        <f aca="false">IF($B96=AB$1,1,0)</f>
        <v>0</v>
      </c>
      <c r="AC96" s="4" t="n">
        <f aca="false">IF($B96=AC$1,1,0)</f>
        <v>0</v>
      </c>
      <c r="AD96" s="4" t="n">
        <f aca="false">IF($B96=AD$1,1,0)</f>
        <v>0</v>
      </c>
      <c r="AE96" s="4" t="n">
        <f aca="false">IF($B96=AE$1,1,0)</f>
        <v>0</v>
      </c>
      <c r="AF96" s="4" t="n">
        <f aca="false">IF($B96=AF$1,1,0)</f>
        <v>1</v>
      </c>
      <c r="AG96" s="4" t="n">
        <f aca="false">IF($B96=AG$1,1,0)</f>
        <v>0</v>
      </c>
      <c r="AH96" s="4" t="n">
        <f aca="false">IF($B96=AH$1,1,0)</f>
        <v>0</v>
      </c>
      <c r="AI96" s="4" t="n">
        <f aca="false">IF($B96=AI$1,1,0)</f>
        <v>0</v>
      </c>
      <c r="AJ96" s="4" t="n">
        <f aca="false">IF($B96=AJ$1,1,0)</f>
        <v>0</v>
      </c>
      <c r="AK96" s="4" t="n">
        <f aca="false">IF($B96=AK$1,1,0)</f>
        <v>0</v>
      </c>
      <c r="AL96" s="4" t="n">
        <f aca="false">IF($B96=AL$1,1,0)</f>
        <v>0</v>
      </c>
      <c r="AM96" s="4" t="n">
        <f aca="false">IF($B96=AM$1,1,0)</f>
        <v>0</v>
      </c>
      <c r="AN96" s="4" t="n">
        <f aca="false">IF($B96=AN$1,1,0)</f>
        <v>0</v>
      </c>
      <c r="AO96" s="4" t="n">
        <f aca="false">IF($B96=AO$1,1,0)</f>
        <v>0</v>
      </c>
      <c r="AP96" s="4" t="n">
        <f aca="false">IF($B96=AP$1,1,0)</f>
        <v>0</v>
      </c>
      <c r="AQ96" s="4" t="n">
        <f aca="false">IF($B96=AQ$1,1,0)</f>
        <v>0</v>
      </c>
      <c r="AR96" s="4" t="n">
        <f aca="false">IF($B96=AR$1,1,0)</f>
        <v>0</v>
      </c>
      <c r="AS96" s="4" t="n">
        <f aca="false">IF($B96=AS$1,1,0)</f>
        <v>0</v>
      </c>
      <c r="AT96" s="4" t="n">
        <f aca="false">IF($B96=AT$1,1,0)</f>
        <v>0</v>
      </c>
      <c r="BB96" s="4" t="n">
        <f aca="false">A96</f>
        <v>95</v>
      </c>
      <c r="BC96" s="7" t="n">
        <f aca="false">ABS($T96-$AX$2)+ABS($U96-$AY$2)+ABS($V96-$AZ$2)</f>
        <v>17232.7676056338</v>
      </c>
      <c r="BD96" s="7" t="n">
        <f aca="false">ABS($T96-$AX$3)+ABS($U96-$AY$3)+ABS($V96-$AZ$3)</f>
        <v>6636.72881355932</v>
      </c>
      <c r="BE96" s="7" t="n">
        <f aca="false">ABS($T96-$AX$4)+ABS($U96-$AY$4)+ABS($V96-$AZ$4)</f>
        <v>37768.641509434</v>
      </c>
      <c r="BF96" s="7" t="n">
        <f aca="false">MIN(BC96:BE96)</f>
        <v>6636.72881355932</v>
      </c>
      <c r="BG96" s="4" t="n">
        <f aca="false">MATCH(BF96,BC96:BE96,0)</f>
        <v>2</v>
      </c>
      <c r="BH96" s="8" t="n">
        <v>2</v>
      </c>
      <c r="BI96" s="4" t="n">
        <f aca="false">IF(BG96=BH96,0,1)</f>
        <v>0</v>
      </c>
      <c r="BK96" s="8" t="n">
        <v>2</v>
      </c>
      <c r="BL96" s="8" t="n">
        <v>2</v>
      </c>
      <c r="BM96" s="8" t="n">
        <v>2</v>
      </c>
    </row>
    <row r="97" customFormat="false" ht="15" hidden="false" customHeight="false" outlineLevel="0" collapsed="false">
      <c r="A97" s="3" t="n">
        <v>96</v>
      </c>
      <c r="B97" s="3" t="s">
        <v>28</v>
      </c>
      <c r="C97" s="3" t="n">
        <v>0</v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4</v>
      </c>
      <c r="I97" s="3" t="n">
        <v>5</v>
      </c>
      <c r="J97" s="3" t="n">
        <v>5</v>
      </c>
      <c r="K97" s="3" t="n">
        <v>5</v>
      </c>
      <c r="L97" s="3" t="n">
        <v>5</v>
      </c>
      <c r="M97" s="3" t="n">
        <v>5</v>
      </c>
      <c r="N97" s="3" t="n">
        <v>3</v>
      </c>
      <c r="O97" s="3" t="n">
        <v>4</v>
      </c>
      <c r="P97" s="3" t="n">
        <v>4</v>
      </c>
      <c r="Q97" s="3" t="n">
        <v>5</v>
      </c>
      <c r="R97" s="3" t="n">
        <v>3</v>
      </c>
      <c r="S97" s="3" t="n">
        <v>3</v>
      </c>
      <c r="T97" s="3" t="n">
        <v>0</v>
      </c>
      <c r="U97" s="3" t="n">
        <v>45</v>
      </c>
      <c r="V97" s="3" t="n">
        <v>30362</v>
      </c>
      <c r="W97" s="3" t="n">
        <v>2</v>
      </c>
      <c r="X97" s="3" t="n">
        <v>2</v>
      </c>
      <c r="Y97" s="3" t="n">
        <v>2</v>
      </c>
      <c r="Z97" s="3" t="n">
        <v>2</v>
      </c>
      <c r="AA97" s="4" t="n">
        <f aca="false">IF($B97=AA$1,1,0)</f>
        <v>0</v>
      </c>
      <c r="AB97" s="4" t="n">
        <f aca="false">IF($B97=AB$1,1,0)</f>
        <v>0</v>
      </c>
      <c r="AC97" s="4" t="n">
        <f aca="false">IF($B97=AC$1,1,0)</f>
        <v>1</v>
      </c>
      <c r="AD97" s="4" t="n">
        <f aca="false">IF($B97=AD$1,1,0)</f>
        <v>0</v>
      </c>
      <c r="AE97" s="4" t="n">
        <f aca="false">IF($B97=AE$1,1,0)</f>
        <v>0</v>
      </c>
      <c r="AF97" s="4" t="n">
        <f aca="false">IF($B97=AF$1,1,0)</f>
        <v>0</v>
      </c>
      <c r="AG97" s="4" t="n">
        <f aca="false">IF($B97=AG$1,1,0)</f>
        <v>0</v>
      </c>
      <c r="AH97" s="4" t="n">
        <f aca="false">IF($B97=AH$1,1,0)</f>
        <v>0</v>
      </c>
      <c r="AI97" s="4" t="n">
        <f aca="false">IF($B97=AI$1,1,0)</f>
        <v>0</v>
      </c>
      <c r="AJ97" s="4" t="n">
        <f aca="false">IF($B97=AJ$1,1,0)</f>
        <v>0</v>
      </c>
      <c r="AK97" s="4" t="n">
        <f aca="false">IF($B97=AK$1,1,0)</f>
        <v>0</v>
      </c>
      <c r="AL97" s="4" t="n">
        <f aca="false">IF($B97=AL$1,1,0)</f>
        <v>0</v>
      </c>
      <c r="AM97" s="4" t="n">
        <f aca="false">IF($B97=AM$1,1,0)</f>
        <v>0</v>
      </c>
      <c r="AN97" s="4" t="n">
        <f aca="false">IF($B97=AN$1,1,0)</f>
        <v>0</v>
      </c>
      <c r="AO97" s="4" t="n">
        <f aca="false">IF($B97=AO$1,1,0)</f>
        <v>0</v>
      </c>
      <c r="AP97" s="4" t="n">
        <f aca="false">IF($B97=AP$1,1,0)</f>
        <v>0</v>
      </c>
      <c r="AQ97" s="4" t="n">
        <f aca="false">IF($B97=AQ$1,1,0)</f>
        <v>0</v>
      </c>
      <c r="AR97" s="4" t="n">
        <f aca="false">IF($B97=AR$1,1,0)</f>
        <v>0</v>
      </c>
      <c r="AS97" s="4" t="n">
        <f aca="false">IF($B97=AS$1,1,0)</f>
        <v>0</v>
      </c>
      <c r="AT97" s="4" t="n">
        <f aca="false">IF($B97=AT$1,1,0)</f>
        <v>0</v>
      </c>
      <c r="BB97" s="4" t="n">
        <f aca="false">A97</f>
        <v>96</v>
      </c>
      <c r="BC97" s="7" t="n">
        <f aca="false">ABS($T97-$AX$2)+ABS($U97-$AY$2)+ABS($V97-$AZ$2)</f>
        <v>7534.28873239436</v>
      </c>
      <c r="BD97" s="7" t="n">
        <f aca="false">ABS($T97-$AX$3)+ABS($U97-$AY$3)+ABS($V97-$AZ$3)</f>
        <v>16304.9661016949</v>
      </c>
      <c r="BE97" s="7" t="n">
        <f aca="false">ABS($T97-$AX$4)+ABS($U97-$AY$4)+ABS($V97-$AZ$4)</f>
        <v>47435.6037735849</v>
      </c>
      <c r="BF97" s="7" t="n">
        <f aca="false">MIN(BC97:BE97)</f>
        <v>7534.28873239436</v>
      </c>
      <c r="BG97" s="4" t="n">
        <f aca="false">MATCH(BF97,BC97:BE97,0)</f>
        <v>1</v>
      </c>
      <c r="BH97" s="8" t="n">
        <v>1</v>
      </c>
      <c r="BI97" s="4" t="n">
        <f aca="false">IF(BG97=BH97,0,1)</f>
        <v>0</v>
      </c>
      <c r="BK97" s="8" t="n">
        <v>1</v>
      </c>
      <c r="BL97" s="8" t="n">
        <v>1</v>
      </c>
      <c r="BM97" s="8" t="n">
        <v>1</v>
      </c>
    </row>
    <row r="98" customFormat="false" ht="15" hidden="false" customHeight="false" outlineLevel="0" collapsed="false">
      <c r="A98" s="3" t="n">
        <v>97</v>
      </c>
      <c r="B98" s="3" t="s">
        <v>31</v>
      </c>
      <c r="C98" s="3" t="n">
        <v>0</v>
      </c>
      <c r="D98" s="3" t="n">
        <v>0</v>
      </c>
      <c r="E98" s="3" t="n">
        <v>1</v>
      </c>
      <c r="F98" s="3" t="n">
        <v>0</v>
      </c>
      <c r="G98" s="3" t="n">
        <v>0</v>
      </c>
      <c r="H98" s="3" t="n">
        <v>4</v>
      </c>
      <c r="I98" s="3" t="n">
        <v>5</v>
      </c>
      <c r="J98" s="3" t="n">
        <v>5</v>
      </c>
      <c r="K98" s="3" t="n">
        <v>4</v>
      </c>
      <c r="L98" s="3" t="n">
        <v>5</v>
      </c>
      <c r="M98" s="3" t="n">
        <v>4</v>
      </c>
      <c r="N98" s="3" t="n">
        <v>4</v>
      </c>
      <c r="O98" s="3" t="n">
        <v>2</v>
      </c>
      <c r="P98" s="3" t="n">
        <v>5</v>
      </c>
      <c r="Q98" s="3" t="n">
        <v>5</v>
      </c>
      <c r="R98" s="3" t="n">
        <v>2</v>
      </c>
      <c r="S98" s="3" t="n">
        <v>3</v>
      </c>
      <c r="T98" s="3" t="n">
        <v>1</v>
      </c>
      <c r="U98" s="3" t="n">
        <v>49</v>
      </c>
      <c r="V98" s="3" t="n">
        <v>40104</v>
      </c>
      <c r="W98" s="3" t="n">
        <v>2</v>
      </c>
      <c r="X98" s="3" t="n">
        <v>2</v>
      </c>
      <c r="Y98" s="3" t="n">
        <v>1</v>
      </c>
      <c r="Z98" s="3" t="n">
        <v>2</v>
      </c>
      <c r="AA98" s="4" t="n">
        <f aca="false">IF($B98=AA$1,1,0)</f>
        <v>0</v>
      </c>
      <c r="AB98" s="4" t="n">
        <f aca="false">IF($B98=AB$1,1,0)</f>
        <v>0</v>
      </c>
      <c r="AC98" s="4" t="n">
        <f aca="false">IF($B98=AC$1,1,0)</f>
        <v>0</v>
      </c>
      <c r="AD98" s="4" t="n">
        <f aca="false">IF($B98=AD$1,1,0)</f>
        <v>0</v>
      </c>
      <c r="AE98" s="4" t="n">
        <f aca="false">IF($B98=AE$1,1,0)</f>
        <v>0</v>
      </c>
      <c r="AF98" s="4" t="n">
        <f aca="false">IF($B98=AF$1,1,0)</f>
        <v>1</v>
      </c>
      <c r="AG98" s="4" t="n">
        <f aca="false">IF($B98=AG$1,1,0)</f>
        <v>0</v>
      </c>
      <c r="AH98" s="4" t="n">
        <f aca="false">IF($B98=AH$1,1,0)</f>
        <v>0</v>
      </c>
      <c r="AI98" s="4" t="n">
        <f aca="false">IF($B98=AI$1,1,0)</f>
        <v>0</v>
      </c>
      <c r="AJ98" s="4" t="n">
        <f aca="false">IF($B98=AJ$1,1,0)</f>
        <v>0</v>
      </c>
      <c r="AK98" s="4" t="n">
        <f aca="false">IF($B98=AK$1,1,0)</f>
        <v>0</v>
      </c>
      <c r="AL98" s="4" t="n">
        <f aca="false">IF($B98=AL$1,1,0)</f>
        <v>0</v>
      </c>
      <c r="AM98" s="4" t="n">
        <f aca="false">IF($B98=AM$1,1,0)</f>
        <v>0</v>
      </c>
      <c r="AN98" s="4" t="n">
        <f aca="false">IF($B98=AN$1,1,0)</f>
        <v>0</v>
      </c>
      <c r="AO98" s="4" t="n">
        <f aca="false">IF($B98=AO$1,1,0)</f>
        <v>0</v>
      </c>
      <c r="AP98" s="4" t="n">
        <f aca="false">IF($B98=AP$1,1,0)</f>
        <v>0</v>
      </c>
      <c r="AQ98" s="4" t="n">
        <f aca="false">IF($B98=AQ$1,1,0)</f>
        <v>0</v>
      </c>
      <c r="AR98" s="4" t="n">
        <f aca="false">IF($B98=AR$1,1,0)</f>
        <v>0</v>
      </c>
      <c r="AS98" s="4" t="n">
        <f aca="false">IF($B98=AS$1,1,0)</f>
        <v>0</v>
      </c>
      <c r="AT98" s="4" t="n">
        <f aca="false">IF($B98=AT$1,1,0)</f>
        <v>0</v>
      </c>
      <c r="BB98" s="4" t="n">
        <f aca="false">A98</f>
        <v>97</v>
      </c>
      <c r="BC98" s="7" t="n">
        <f aca="false">ABS($T98-$AX$2)+ABS($U98-$AY$2)+ABS($V98-$AZ$2)</f>
        <v>17280.8521126761</v>
      </c>
      <c r="BD98" s="7" t="n">
        <f aca="false">ABS($T98-$AX$3)+ABS($U98-$AY$3)+ABS($V98-$AZ$3)</f>
        <v>6567.59322033899</v>
      </c>
      <c r="BE98" s="7" t="n">
        <f aca="false">ABS($T98-$AX$4)+ABS($U98-$AY$4)+ABS($V98-$AZ$4)</f>
        <v>37698.0754716981</v>
      </c>
      <c r="BF98" s="7" t="n">
        <f aca="false">MIN(BC98:BE98)</f>
        <v>6567.59322033899</v>
      </c>
      <c r="BG98" s="4" t="n">
        <f aca="false">MATCH(BF98,BC98:BE98,0)</f>
        <v>2</v>
      </c>
      <c r="BH98" s="8" t="n">
        <v>2</v>
      </c>
      <c r="BI98" s="4" t="n">
        <f aca="false">IF(BG98=BH98,0,1)</f>
        <v>0</v>
      </c>
      <c r="BK98" s="8" t="n">
        <v>2</v>
      </c>
      <c r="BL98" s="8" t="n">
        <v>2</v>
      </c>
      <c r="BM98" s="8" t="n">
        <v>2</v>
      </c>
    </row>
    <row r="99" customFormat="false" ht="15" hidden="false" customHeight="false" outlineLevel="0" collapsed="false">
      <c r="A99" s="3" t="n">
        <v>98</v>
      </c>
      <c r="B99" s="3" t="s">
        <v>31</v>
      </c>
      <c r="C99" s="3" t="n">
        <v>1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4</v>
      </c>
      <c r="I99" s="3" t="n">
        <v>3</v>
      </c>
      <c r="J99" s="3" t="n">
        <v>3</v>
      </c>
      <c r="K99" s="3" t="n">
        <v>4</v>
      </c>
      <c r="L99" s="3" t="n">
        <v>5</v>
      </c>
      <c r="M99" s="3" t="n">
        <v>5</v>
      </c>
      <c r="N99" s="3" t="n">
        <v>4</v>
      </c>
      <c r="O99" s="3" t="n">
        <v>3</v>
      </c>
      <c r="P99" s="3" t="n">
        <v>3</v>
      </c>
      <c r="Q99" s="3" t="n">
        <v>5</v>
      </c>
      <c r="R99" s="3" t="n">
        <v>3</v>
      </c>
      <c r="S99" s="3" t="n">
        <v>2</v>
      </c>
      <c r="T99" s="3" t="n">
        <v>0</v>
      </c>
      <c r="U99" s="3" t="n">
        <v>55</v>
      </c>
      <c r="V99" s="3" t="n">
        <v>52712</v>
      </c>
      <c r="W99" s="3" t="n">
        <v>3</v>
      </c>
      <c r="X99" s="3" t="n">
        <v>4</v>
      </c>
      <c r="Y99" s="3" t="n">
        <v>1</v>
      </c>
      <c r="Z99" s="3" t="n">
        <v>2</v>
      </c>
      <c r="AA99" s="4" t="n">
        <f aca="false">IF($B99=AA$1,1,0)</f>
        <v>0</v>
      </c>
      <c r="AB99" s="4" t="n">
        <f aca="false">IF($B99=AB$1,1,0)</f>
        <v>0</v>
      </c>
      <c r="AC99" s="4" t="n">
        <f aca="false">IF($B99=AC$1,1,0)</f>
        <v>0</v>
      </c>
      <c r="AD99" s="4" t="n">
        <f aca="false">IF($B99=AD$1,1,0)</f>
        <v>0</v>
      </c>
      <c r="AE99" s="4" t="n">
        <f aca="false">IF($B99=AE$1,1,0)</f>
        <v>0</v>
      </c>
      <c r="AF99" s="4" t="n">
        <f aca="false">IF($B99=AF$1,1,0)</f>
        <v>1</v>
      </c>
      <c r="AG99" s="4" t="n">
        <f aca="false">IF($B99=AG$1,1,0)</f>
        <v>0</v>
      </c>
      <c r="AH99" s="4" t="n">
        <f aca="false">IF($B99=AH$1,1,0)</f>
        <v>0</v>
      </c>
      <c r="AI99" s="4" t="n">
        <f aca="false">IF($B99=AI$1,1,0)</f>
        <v>0</v>
      </c>
      <c r="AJ99" s="4" t="n">
        <f aca="false">IF($B99=AJ$1,1,0)</f>
        <v>0</v>
      </c>
      <c r="AK99" s="4" t="n">
        <f aca="false">IF($B99=AK$1,1,0)</f>
        <v>0</v>
      </c>
      <c r="AL99" s="4" t="n">
        <f aca="false">IF($B99=AL$1,1,0)</f>
        <v>0</v>
      </c>
      <c r="AM99" s="4" t="n">
        <f aca="false">IF($B99=AM$1,1,0)</f>
        <v>0</v>
      </c>
      <c r="AN99" s="4" t="n">
        <f aca="false">IF($B99=AN$1,1,0)</f>
        <v>0</v>
      </c>
      <c r="AO99" s="4" t="n">
        <f aca="false">IF($B99=AO$1,1,0)</f>
        <v>0</v>
      </c>
      <c r="AP99" s="4" t="n">
        <f aca="false">IF($B99=AP$1,1,0)</f>
        <v>0</v>
      </c>
      <c r="AQ99" s="4" t="n">
        <f aca="false">IF($B99=AQ$1,1,0)</f>
        <v>0</v>
      </c>
      <c r="AR99" s="4" t="n">
        <f aca="false">IF($B99=AR$1,1,0)</f>
        <v>0</v>
      </c>
      <c r="AS99" s="4" t="n">
        <f aca="false">IF($B99=AS$1,1,0)</f>
        <v>0</v>
      </c>
      <c r="AT99" s="4" t="n">
        <f aca="false">IF($B99=AT$1,1,0)</f>
        <v>0</v>
      </c>
      <c r="BB99" s="4" t="n">
        <f aca="false">A99</f>
        <v>98</v>
      </c>
      <c r="BC99" s="7" t="n">
        <f aca="false">ABS($T99-$AX$2)+ABS($U99-$AY$2)+ABS($V99-$AZ$2)</f>
        <v>29894.2887323944</v>
      </c>
      <c r="BD99" s="7" t="n">
        <f aca="false">ABS($T99-$AX$3)+ABS($U99-$AY$3)+ABS($V99-$AZ$3)</f>
        <v>6062.64406779661</v>
      </c>
      <c r="BE99" s="7" t="n">
        <f aca="false">ABS($T99-$AX$4)+ABS($U99-$AY$4)+ABS($V99-$AZ$4)</f>
        <v>25095.6037735849</v>
      </c>
      <c r="BF99" s="7" t="n">
        <f aca="false">MIN(BC99:BE99)</f>
        <v>6062.64406779661</v>
      </c>
      <c r="BG99" s="4" t="n">
        <f aca="false">MATCH(BF99,BC99:BE99,0)</f>
        <v>2</v>
      </c>
      <c r="BH99" s="8" t="n">
        <v>2</v>
      </c>
      <c r="BI99" s="4" t="n">
        <f aca="false">IF(BG99=BH99,0,1)</f>
        <v>0</v>
      </c>
      <c r="BK99" s="8" t="n">
        <v>2</v>
      </c>
      <c r="BL99" s="8" t="n">
        <v>2</v>
      </c>
      <c r="BM99" s="8" t="n">
        <v>2</v>
      </c>
    </row>
    <row r="100" customFormat="false" ht="15" hidden="false" customHeight="false" outlineLevel="0" collapsed="false">
      <c r="A100" s="3" t="n">
        <v>99</v>
      </c>
      <c r="B100" s="3" t="s">
        <v>42</v>
      </c>
      <c r="C100" s="3" t="n">
        <v>0</v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5</v>
      </c>
      <c r="I100" s="3" t="n">
        <v>5</v>
      </c>
      <c r="J100" s="3" t="n">
        <v>5</v>
      </c>
      <c r="K100" s="3" t="n">
        <v>4</v>
      </c>
      <c r="L100" s="3" t="n">
        <v>5</v>
      </c>
      <c r="M100" s="3" t="n">
        <v>5</v>
      </c>
      <c r="N100" s="3" t="n">
        <v>4</v>
      </c>
      <c r="O100" s="3" t="n">
        <v>3</v>
      </c>
      <c r="P100" s="3" t="n">
        <v>3</v>
      </c>
      <c r="Q100" s="3" t="n">
        <v>4</v>
      </c>
      <c r="R100" s="3" t="n">
        <v>3</v>
      </c>
      <c r="S100" s="3" t="n">
        <v>4</v>
      </c>
      <c r="T100" s="3" t="n">
        <v>0</v>
      </c>
      <c r="U100" s="3" t="n">
        <v>29</v>
      </c>
      <c r="V100" s="3" t="n">
        <v>20196</v>
      </c>
      <c r="W100" s="3" t="n">
        <v>2</v>
      </c>
      <c r="X100" s="3" t="n">
        <v>2</v>
      </c>
      <c r="Y100" s="3" t="n">
        <v>2</v>
      </c>
      <c r="Z100" s="3" t="n">
        <v>3</v>
      </c>
      <c r="AA100" s="4" t="n">
        <f aca="false">IF($B100=AA$1,1,0)</f>
        <v>0</v>
      </c>
      <c r="AB100" s="4" t="n">
        <f aca="false">IF($B100=AB$1,1,0)</f>
        <v>0</v>
      </c>
      <c r="AC100" s="4" t="n">
        <f aca="false">IF($B100=AC$1,1,0)</f>
        <v>0</v>
      </c>
      <c r="AD100" s="4" t="n">
        <f aca="false">IF($B100=AD$1,1,0)</f>
        <v>0</v>
      </c>
      <c r="AE100" s="4" t="n">
        <f aca="false">IF($B100=AE$1,1,0)</f>
        <v>0</v>
      </c>
      <c r="AF100" s="4" t="n">
        <f aca="false">IF($B100=AF$1,1,0)</f>
        <v>0</v>
      </c>
      <c r="AG100" s="4" t="n">
        <f aca="false">IF($B100=AG$1,1,0)</f>
        <v>0</v>
      </c>
      <c r="AH100" s="4" t="n">
        <f aca="false">IF($B100=AH$1,1,0)</f>
        <v>0</v>
      </c>
      <c r="AI100" s="4" t="n">
        <f aca="false">IF($B100=AI$1,1,0)</f>
        <v>0</v>
      </c>
      <c r="AJ100" s="4" t="n">
        <f aca="false">IF($B100=AJ$1,1,0)</f>
        <v>0</v>
      </c>
      <c r="AK100" s="4" t="n">
        <f aca="false">IF($B100=AK$1,1,0)</f>
        <v>0</v>
      </c>
      <c r="AL100" s="4" t="n">
        <f aca="false">IF($B100=AL$1,1,0)</f>
        <v>0</v>
      </c>
      <c r="AM100" s="4" t="n">
        <f aca="false">IF($B100=AM$1,1,0)</f>
        <v>0</v>
      </c>
      <c r="AN100" s="4" t="n">
        <f aca="false">IF($B100=AN$1,1,0)</f>
        <v>0</v>
      </c>
      <c r="AO100" s="4" t="n">
        <f aca="false">IF($B100=AO$1,1,0)</f>
        <v>0</v>
      </c>
      <c r="AP100" s="4" t="n">
        <f aca="false">IF($B100=AP$1,1,0)</f>
        <v>0</v>
      </c>
      <c r="AQ100" s="4" t="n">
        <f aca="false">IF($B100=AQ$1,1,0)</f>
        <v>1</v>
      </c>
      <c r="AR100" s="4" t="n">
        <f aca="false">IF($B100=AR$1,1,0)</f>
        <v>0</v>
      </c>
      <c r="AS100" s="4" t="n">
        <f aca="false">IF($B100=AS$1,1,0)</f>
        <v>0</v>
      </c>
      <c r="AT100" s="4" t="n">
        <f aca="false">IF($B100=AT$1,1,0)</f>
        <v>0</v>
      </c>
      <c r="BB100" s="4" t="n">
        <f aca="false">A100</f>
        <v>99</v>
      </c>
      <c r="BC100" s="7" t="n">
        <f aca="false">ABS($T100-$AX$2)+ABS($U100-$AY$2)+ABS($V100-$AZ$2)</f>
        <v>2648.14788732395</v>
      </c>
      <c r="BD100" s="7" t="n">
        <f aca="false">ABS($T100-$AX$3)+ABS($U100-$AY$3)+ABS($V100-$AZ$3)</f>
        <v>26479.7288135593</v>
      </c>
      <c r="BE100" s="7" t="n">
        <f aca="false">ABS($T100-$AX$4)+ABS($U100-$AY$4)+ABS($V100-$AZ$4)</f>
        <v>57611.641509434</v>
      </c>
      <c r="BF100" s="7" t="n">
        <f aca="false">MIN(BC100:BE100)</f>
        <v>2648.14788732395</v>
      </c>
      <c r="BG100" s="4" t="n">
        <f aca="false">MATCH(BF100,BC100:BE100,0)</f>
        <v>1</v>
      </c>
      <c r="BH100" s="8" t="n">
        <v>1</v>
      </c>
      <c r="BI100" s="4" t="n">
        <f aca="false">IF(BG100=BH100,0,1)</f>
        <v>0</v>
      </c>
      <c r="BK100" s="8" t="n">
        <v>1</v>
      </c>
      <c r="BL100" s="8" t="n">
        <v>1</v>
      </c>
      <c r="BM100" s="8" t="n">
        <v>1</v>
      </c>
    </row>
    <row r="101" customFormat="false" ht="15" hidden="false" customHeight="false" outlineLevel="0" collapsed="false">
      <c r="A101" s="3" t="n">
        <v>100</v>
      </c>
      <c r="B101" s="3" t="s">
        <v>31</v>
      </c>
      <c r="C101" s="3" t="n">
        <v>1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5</v>
      </c>
      <c r="I101" s="3" t="n">
        <v>5</v>
      </c>
      <c r="J101" s="3" t="n">
        <v>5</v>
      </c>
      <c r="K101" s="3" t="n">
        <v>4</v>
      </c>
      <c r="L101" s="3" t="n">
        <v>5</v>
      </c>
      <c r="M101" s="3" t="n">
        <v>4</v>
      </c>
      <c r="N101" s="3" t="n">
        <v>5</v>
      </c>
      <c r="O101" s="3" t="n">
        <v>3</v>
      </c>
      <c r="P101" s="3" t="n">
        <v>5</v>
      </c>
      <c r="Q101" s="3" t="n">
        <v>5</v>
      </c>
      <c r="R101" s="3" t="n">
        <v>5</v>
      </c>
      <c r="S101" s="3" t="n">
        <v>5</v>
      </c>
      <c r="T101" s="3" t="n">
        <v>1</v>
      </c>
      <c r="U101" s="3" t="n">
        <v>45</v>
      </c>
      <c r="V101" s="3" t="n">
        <v>23515</v>
      </c>
      <c r="W101" s="3" t="n">
        <v>2</v>
      </c>
      <c r="X101" s="3" t="n">
        <v>3</v>
      </c>
      <c r="Y101" s="3" t="n">
        <v>3</v>
      </c>
      <c r="Z101" s="3" t="n">
        <v>3</v>
      </c>
      <c r="AA101" s="4" t="n">
        <f aca="false">IF($B101=AA$1,1,0)</f>
        <v>0</v>
      </c>
      <c r="AB101" s="4" t="n">
        <f aca="false">IF($B101=AB$1,1,0)</f>
        <v>0</v>
      </c>
      <c r="AC101" s="4" t="n">
        <f aca="false">IF($B101=AC$1,1,0)</f>
        <v>0</v>
      </c>
      <c r="AD101" s="4" t="n">
        <f aca="false">IF($B101=AD$1,1,0)</f>
        <v>0</v>
      </c>
      <c r="AE101" s="4" t="n">
        <f aca="false">IF($B101=AE$1,1,0)</f>
        <v>0</v>
      </c>
      <c r="AF101" s="4" t="n">
        <f aca="false">IF($B101=AF$1,1,0)</f>
        <v>1</v>
      </c>
      <c r="AG101" s="4" t="n">
        <f aca="false">IF($B101=AG$1,1,0)</f>
        <v>0</v>
      </c>
      <c r="AH101" s="4" t="n">
        <f aca="false">IF($B101=AH$1,1,0)</f>
        <v>0</v>
      </c>
      <c r="AI101" s="4" t="n">
        <f aca="false">IF($B101=AI$1,1,0)</f>
        <v>0</v>
      </c>
      <c r="AJ101" s="4" t="n">
        <f aca="false">IF($B101=AJ$1,1,0)</f>
        <v>0</v>
      </c>
      <c r="AK101" s="4" t="n">
        <f aca="false">IF($B101=AK$1,1,0)</f>
        <v>0</v>
      </c>
      <c r="AL101" s="4" t="n">
        <f aca="false">IF($B101=AL$1,1,0)</f>
        <v>0</v>
      </c>
      <c r="AM101" s="4" t="n">
        <f aca="false">IF($B101=AM$1,1,0)</f>
        <v>0</v>
      </c>
      <c r="AN101" s="4" t="n">
        <f aca="false">IF($B101=AN$1,1,0)</f>
        <v>0</v>
      </c>
      <c r="AO101" s="4" t="n">
        <f aca="false">IF($B101=AO$1,1,0)</f>
        <v>0</v>
      </c>
      <c r="AP101" s="4" t="n">
        <f aca="false">IF($B101=AP$1,1,0)</f>
        <v>0</v>
      </c>
      <c r="AQ101" s="4" t="n">
        <f aca="false">IF($B101=AQ$1,1,0)</f>
        <v>0</v>
      </c>
      <c r="AR101" s="4" t="n">
        <f aca="false">IF($B101=AR$1,1,0)</f>
        <v>0</v>
      </c>
      <c r="AS101" s="4" t="n">
        <f aca="false">IF($B101=AS$1,1,0)</f>
        <v>0</v>
      </c>
      <c r="AT101" s="4" t="n">
        <f aca="false">IF($B101=AT$1,1,0)</f>
        <v>0</v>
      </c>
      <c r="BB101" s="4" t="n">
        <f aca="false">A101</f>
        <v>100</v>
      </c>
      <c r="BC101" s="7" t="n">
        <f aca="false">ABS($T101-$AX$2)+ABS($U101-$AY$2)+ABS($V101-$AZ$2)</f>
        <v>687.852112676055</v>
      </c>
      <c r="BD101" s="7" t="n">
        <f aca="false">ABS($T101-$AX$3)+ABS($U101-$AY$3)+ABS($V101-$AZ$3)</f>
        <v>23152.593220339</v>
      </c>
      <c r="BE101" s="7" t="n">
        <f aca="false">ABS($T101-$AX$4)+ABS($U101-$AY$4)+ABS($V101-$AZ$4)</f>
        <v>54283.0754716981</v>
      </c>
      <c r="BF101" s="7" t="n">
        <f aca="false">MIN(BC101:BE101)</f>
        <v>687.852112676055</v>
      </c>
      <c r="BG101" s="4" t="n">
        <f aca="false">MATCH(BF101,BC101:BE101,0)</f>
        <v>1</v>
      </c>
      <c r="BH101" s="8" t="n">
        <v>1</v>
      </c>
      <c r="BI101" s="4" t="n">
        <f aca="false">IF(BG101=BH101,0,1)</f>
        <v>0</v>
      </c>
      <c r="BK101" s="8" t="n">
        <v>1</v>
      </c>
      <c r="BL101" s="8" t="n">
        <v>1</v>
      </c>
      <c r="BM101" s="8" t="n">
        <v>1</v>
      </c>
    </row>
    <row r="102" customFormat="false" ht="15" hidden="false" customHeight="false" outlineLevel="0" collapsed="false">
      <c r="A102" s="3" t="n">
        <v>101</v>
      </c>
      <c r="B102" s="3" t="s">
        <v>34</v>
      </c>
      <c r="C102" s="3" t="n">
        <v>1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5</v>
      </c>
      <c r="I102" s="3" t="n">
        <v>5</v>
      </c>
      <c r="J102" s="3" t="n">
        <v>5</v>
      </c>
      <c r="K102" s="3" t="n">
        <v>5</v>
      </c>
      <c r="L102" s="3" t="n">
        <v>5</v>
      </c>
      <c r="M102" s="3" t="n">
        <v>4</v>
      </c>
      <c r="N102" s="3" t="n">
        <v>5</v>
      </c>
      <c r="O102" s="3" t="n">
        <v>4</v>
      </c>
      <c r="P102" s="3" t="n">
        <v>5</v>
      </c>
      <c r="Q102" s="3" t="n">
        <v>5</v>
      </c>
      <c r="R102" s="3" t="n">
        <v>5</v>
      </c>
      <c r="S102" s="3" t="n">
        <v>3</v>
      </c>
      <c r="T102" s="3" t="n">
        <v>1</v>
      </c>
      <c r="U102" s="3" t="n">
        <v>33</v>
      </c>
      <c r="V102" s="3" t="n">
        <v>28285</v>
      </c>
      <c r="W102" s="3" t="n">
        <v>3</v>
      </c>
      <c r="X102" s="3" t="n">
        <v>2</v>
      </c>
      <c r="Y102" s="3" t="n">
        <v>2</v>
      </c>
      <c r="Z102" s="3" t="n">
        <v>3</v>
      </c>
      <c r="AA102" s="4" t="n">
        <f aca="false">IF($B102=AA$1,1,0)</f>
        <v>0</v>
      </c>
      <c r="AB102" s="4" t="n">
        <f aca="false">IF($B102=AB$1,1,0)</f>
        <v>0</v>
      </c>
      <c r="AC102" s="4" t="n">
        <f aca="false">IF($B102=AC$1,1,0)</f>
        <v>0</v>
      </c>
      <c r="AD102" s="4" t="n">
        <f aca="false">IF($B102=AD$1,1,0)</f>
        <v>0</v>
      </c>
      <c r="AE102" s="4" t="n">
        <f aca="false">IF($B102=AE$1,1,0)</f>
        <v>0</v>
      </c>
      <c r="AF102" s="4" t="n">
        <f aca="false">IF($B102=AF$1,1,0)</f>
        <v>0</v>
      </c>
      <c r="AG102" s="4" t="n">
        <f aca="false">IF($B102=AG$1,1,0)</f>
        <v>0</v>
      </c>
      <c r="AH102" s="4" t="n">
        <f aca="false">IF($B102=AH$1,1,0)</f>
        <v>0</v>
      </c>
      <c r="AI102" s="4" t="n">
        <f aca="false">IF($B102=AI$1,1,0)</f>
        <v>1</v>
      </c>
      <c r="AJ102" s="4" t="n">
        <f aca="false">IF($B102=AJ$1,1,0)</f>
        <v>0</v>
      </c>
      <c r="AK102" s="4" t="n">
        <f aca="false">IF($B102=AK$1,1,0)</f>
        <v>0</v>
      </c>
      <c r="AL102" s="4" t="n">
        <f aca="false">IF($B102=AL$1,1,0)</f>
        <v>0</v>
      </c>
      <c r="AM102" s="4" t="n">
        <f aca="false">IF($B102=AM$1,1,0)</f>
        <v>0</v>
      </c>
      <c r="AN102" s="4" t="n">
        <f aca="false">IF($B102=AN$1,1,0)</f>
        <v>0</v>
      </c>
      <c r="AO102" s="4" t="n">
        <f aca="false">IF($B102=AO$1,1,0)</f>
        <v>0</v>
      </c>
      <c r="AP102" s="4" t="n">
        <f aca="false">IF($B102=AP$1,1,0)</f>
        <v>0</v>
      </c>
      <c r="AQ102" s="4" t="n">
        <f aca="false">IF($B102=AQ$1,1,0)</f>
        <v>0</v>
      </c>
      <c r="AR102" s="4" t="n">
        <f aca="false">IF($B102=AR$1,1,0)</f>
        <v>0</v>
      </c>
      <c r="AS102" s="4" t="n">
        <f aca="false">IF($B102=AS$1,1,0)</f>
        <v>0</v>
      </c>
      <c r="AT102" s="4" t="n">
        <f aca="false">IF($B102=AT$1,1,0)</f>
        <v>0</v>
      </c>
      <c r="BB102" s="4" t="n">
        <f aca="false">A102</f>
        <v>101</v>
      </c>
      <c r="BC102" s="7" t="n">
        <f aca="false">ABS($T102-$AX$2)+ABS($U102-$AY$2)+ABS($V102-$AZ$2)</f>
        <v>5457.33098591549</v>
      </c>
      <c r="BD102" s="7" t="n">
        <f aca="false">ABS($T102-$AX$3)+ABS($U102-$AY$3)+ABS($V102-$AZ$3)</f>
        <v>18387.3559322034</v>
      </c>
      <c r="BE102" s="7" t="n">
        <f aca="false">ABS($T102-$AX$4)+ABS($U102-$AY$4)+ABS($V102-$AZ$4)</f>
        <v>49519.1132075472</v>
      </c>
      <c r="BF102" s="7" t="n">
        <f aca="false">MIN(BC102:BE102)</f>
        <v>5457.33098591549</v>
      </c>
      <c r="BG102" s="4" t="n">
        <f aca="false">MATCH(BF102,BC102:BE102,0)</f>
        <v>1</v>
      </c>
      <c r="BH102" s="8" t="n">
        <v>1</v>
      </c>
      <c r="BI102" s="4" t="n">
        <f aca="false">IF(BG102=BH102,0,1)</f>
        <v>0</v>
      </c>
      <c r="BK102" s="8" t="n">
        <v>1</v>
      </c>
      <c r="BL102" s="8" t="n">
        <v>1</v>
      </c>
      <c r="BM102" s="8" t="n">
        <v>1</v>
      </c>
    </row>
    <row r="103" customFormat="false" ht="15" hidden="false" customHeight="false" outlineLevel="0" collapsed="false">
      <c r="A103" s="3" t="n">
        <v>102</v>
      </c>
      <c r="B103" s="3" t="s">
        <v>42</v>
      </c>
      <c r="C103" s="3" t="n">
        <v>0</v>
      </c>
      <c r="D103" s="3" t="n">
        <v>1</v>
      </c>
      <c r="E103" s="3" t="n">
        <v>0</v>
      </c>
      <c r="F103" s="3" t="n">
        <v>0</v>
      </c>
      <c r="G103" s="3" t="n">
        <v>2</v>
      </c>
      <c r="H103" s="3" t="n">
        <v>4</v>
      </c>
      <c r="I103" s="3" t="n">
        <v>4</v>
      </c>
      <c r="J103" s="3" t="n">
        <v>4</v>
      </c>
      <c r="K103" s="3" t="n">
        <v>4</v>
      </c>
      <c r="L103" s="3" t="n">
        <v>5</v>
      </c>
      <c r="M103" s="3" t="n">
        <v>4</v>
      </c>
      <c r="N103" s="3" t="n">
        <v>1</v>
      </c>
      <c r="O103" s="3" t="n">
        <v>4</v>
      </c>
      <c r="P103" s="3" t="n">
        <v>3</v>
      </c>
      <c r="Q103" s="3" t="n">
        <v>5</v>
      </c>
      <c r="R103" s="3" t="n">
        <v>5</v>
      </c>
      <c r="S103" s="3" t="n">
        <v>3</v>
      </c>
      <c r="T103" s="3" t="n">
        <v>0</v>
      </c>
      <c r="U103" s="3" t="n">
        <v>43</v>
      </c>
      <c r="V103" s="3" t="n">
        <v>76311</v>
      </c>
      <c r="W103" s="3" t="n">
        <v>2</v>
      </c>
      <c r="X103" s="3" t="n">
        <v>4</v>
      </c>
      <c r="Y103" s="3" t="n">
        <v>2</v>
      </c>
      <c r="Z103" s="3" t="n">
        <v>2</v>
      </c>
      <c r="AA103" s="4" t="n">
        <f aca="false">IF($B103=AA$1,1,0)</f>
        <v>0</v>
      </c>
      <c r="AB103" s="4" t="n">
        <f aca="false">IF($B103=AB$1,1,0)</f>
        <v>0</v>
      </c>
      <c r="AC103" s="4" t="n">
        <f aca="false">IF($B103=AC$1,1,0)</f>
        <v>0</v>
      </c>
      <c r="AD103" s="4" t="n">
        <f aca="false">IF($B103=AD$1,1,0)</f>
        <v>0</v>
      </c>
      <c r="AE103" s="4" t="n">
        <f aca="false">IF($B103=AE$1,1,0)</f>
        <v>0</v>
      </c>
      <c r="AF103" s="4" t="n">
        <f aca="false">IF($B103=AF$1,1,0)</f>
        <v>0</v>
      </c>
      <c r="AG103" s="4" t="n">
        <f aca="false">IF($B103=AG$1,1,0)</f>
        <v>0</v>
      </c>
      <c r="AH103" s="4" t="n">
        <f aca="false">IF($B103=AH$1,1,0)</f>
        <v>0</v>
      </c>
      <c r="AI103" s="4" t="n">
        <f aca="false">IF($B103=AI$1,1,0)</f>
        <v>0</v>
      </c>
      <c r="AJ103" s="4" t="n">
        <f aca="false">IF($B103=AJ$1,1,0)</f>
        <v>0</v>
      </c>
      <c r="AK103" s="4" t="n">
        <f aca="false">IF($B103=AK$1,1,0)</f>
        <v>0</v>
      </c>
      <c r="AL103" s="4" t="n">
        <f aca="false">IF($B103=AL$1,1,0)</f>
        <v>0</v>
      </c>
      <c r="AM103" s="4" t="n">
        <f aca="false">IF($B103=AM$1,1,0)</f>
        <v>0</v>
      </c>
      <c r="AN103" s="4" t="n">
        <f aca="false">IF($B103=AN$1,1,0)</f>
        <v>0</v>
      </c>
      <c r="AO103" s="4" t="n">
        <f aca="false">IF($B103=AO$1,1,0)</f>
        <v>0</v>
      </c>
      <c r="AP103" s="4" t="n">
        <f aca="false">IF($B103=AP$1,1,0)</f>
        <v>0</v>
      </c>
      <c r="AQ103" s="4" t="n">
        <f aca="false">IF($B103=AQ$1,1,0)</f>
        <v>1</v>
      </c>
      <c r="AR103" s="4" t="n">
        <f aca="false">IF($B103=AR$1,1,0)</f>
        <v>0</v>
      </c>
      <c r="AS103" s="4" t="n">
        <f aca="false">IF($B103=AS$1,1,0)</f>
        <v>0</v>
      </c>
      <c r="AT103" s="4" t="n">
        <f aca="false">IF($B103=AT$1,1,0)</f>
        <v>0</v>
      </c>
      <c r="BB103" s="4" t="n">
        <f aca="false">A103</f>
        <v>102</v>
      </c>
      <c r="BC103" s="7" t="n">
        <f aca="false">ABS($T103-$AX$2)+ABS($U103-$AY$2)+ABS($V103-$AZ$2)</f>
        <v>53481.2887323944</v>
      </c>
      <c r="BD103" s="7" t="n">
        <f aca="false">ABS($T103-$AX$3)+ABS($U103-$AY$3)+ABS($V103-$AZ$3)</f>
        <v>29649.6440677966</v>
      </c>
      <c r="BE103" s="7" t="n">
        <f aca="false">ABS($T103-$AX$4)+ABS($U103-$AY$4)+ABS($V103-$AZ$4)</f>
        <v>1484.60377358491</v>
      </c>
      <c r="BF103" s="7" t="n">
        <f aca="false">MIN(BC103:BE103)</f>
        <v>1484.60377358491</v>
      </c>
      <c r="BG103" s="4" t="n">
        <f aca="false">MATCH(BF103,BC103:BE103,0)</f>
        <v>3</v>
      </c>
      <c r="BH103" s="8" t="n">
        <v>3</v>
      </c>
      <c r="BI103" s="4" t="n">
        <f aca="false">IF(BG103=BH103,0,1)</f>
        <v>0</v>
      </c>
      <c r="BK103" s="8" t="n">
        <v>3</v>
      </c>
      <c r="BL103" s="8" t="n">
        <v>3</v>
      </c>
      <c r="BM103" s="8" t="n">
        <v>3</v>
      </c>
    </row>
    <row r="104" customFormat="false" ht="15" hidden="false" customHeight="false" outlineLevel="0" collapsed="false">
      <c r="A104" s="3" t="n">
        <v>103</v>
      </c>
      <c r="B104" s="3" t="s">
        <v>31</v>
      </c>
      <c r="C104" s="3" t="n">
        <v>1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4</v>
      </c>
      <c r="I104" s="3" t="n">
        <v>4</v>
      </c>
      <c r="J104" s="3" t="n">
        <v>2</v>
      </c>
      <c r="K104" s="3" t="n">
        <v>4</v>
      </c>
      <c r="L104" s="3" t="n">
        <v>5</v>
      </c>
      <c r="M104" s="3" t="n">
        <v>4</v>
      </c>
      <c r="N104" s="3" t="n">
        <v>3</v>
      </c>
      <c r="O104" s="3" t="n">
        <v>4</v>
      </c>
      <c r="P104" s="3" t="n">
        <v>4</v>
      </c>
      <c r="Q104" s="3" t="n">
        <v>5</v>
      </c>
      <c r="R104" s="3" t="n">
        <v>4</v>
      </c>
      <c r="S104" s="3" t="n">
        <v>3</v>
      </c>
      <c r="T104" s="3" t="n">
        <v>0</v>
      </c>
      <c r="U104" s="3" t="n">
        <v>33</v>
      </c>
      <c r="V104" s="3" t="n">
        <v>71247</v>
      </c>
      <c r="W104" s="3" t="n">
        <v>2</v>
      </c>
      <c r="X104" s="3" t="n">
        <v>4</v>
      </c>
      <c r="Y104" s="3" t="n">
        <v>1</v>
      </c>
      <c r="Z104" s="3" t="n">
        <v>1</v>
      </c>
      <c r="AA104" s="4" t="n">
        <f aca="false">IF($B104=AA$1,1,0)</f>
        <v>0</v>
      </c>
      <c r="AB104" s="4" t="n">
        <f aca="false">IF($B104=AB$1,1,0)</f>
        <v>0</v>
      </c>
      <c r="AC104" s="4" t="n">
        <f aca="false">IF($B104=AC$1,1,0)</f>
        <v>0</v>
      </c>
      <c r="AD104" s="4" t="n">
        <f aca="false">IF($B104=AD$1,1,0)</f>
        <v>0</v>
      </c>
      <c r="AE104" s="4" t="n">
        <f aca="false">IF($B104=AE$1,1,0)</f>
        <v>0</v>
      </c>
      <c r="AF104" s="4" t="n">
        <f aca="false">IF($B104=AF$1,1,0)</f>
        <v>1</v>
      </c>
      <c r="AG104" s="4" t="n">
        <f aca="false">IF($B104=AG$1,1,0)</f>
        <v>0</v>
      </c>
      <c r="AH104" s="4" t="n">
        <f aca="false">IF($B104=AH$1,1,0)</f>
        <v>0</v>
      </c>
      <c r="AI104" s="4" t="n">
        <f aca="false">IF($B104=AI$1,1,0)</f>
        <v>0</v>
      </c>
      <c r="AJ104" s="4" t="n">
        <f aca="false">IF($B104=AJ$1,1,0)</f>
        <v>0</v>
      </c>
      <c r="AK104" s="4" t="n">
        <f aca="false">IF($B104=AK$1,1,0)</f>
        <v>0</v>
      </c>
      <c r="AL104" s="4" t="n">
        <f aca="false">IF($B104=AL$1,1,0)</f>
        <v>0</v>
      </c>
      <c r="AM104" s="4" t="n">
        <f aca="false">IF($B104=AM$1,1,0)</f>
        <v>0</v>
      </c>
      <c r="AN104" s="4" t="n">
        <f aca="false">IF($B104=AN$1,1,0)</f>
        <v>0</v>
      </c>
      <c r="AO104" s="4" t="n">
        <f aca="false">IF($B104=AO$1,1,0)</f>
        <v>0</v>
      </c>
      <c r="AP104" s="4" t="n">
        <f aca="false">IF($B104=AP$1,1,0)</f>
        <v>0</v>
      </c>
      <c r="AQ104" s="4" t="n">
        <f aca="false">IF($B104=AQ$1,1,0)</f>
        <v>0</v>
      </c>
      <c r="AR104" s="4" t="n">
        <f aca="false">IF($B104=AR$1,1,0)</f>
        <v>0</v>
      </c>
      <c r="AS104" s="4" t="n">
        <f aca="false">IF($B104=AS$1,1,0)</f>
        <v>0</v>
      </c>
      <c r="AT104" s="4" t="n">
        <f aca="false">IF($B104=AT$1,1,0)</f>
        <v>0</v>
      </c>
      <c r="BB104" s="4" t="n">
        <f aca="false">A104</f>
        <v>103</v>
      </c>
      <c r="BC104" s="7" t="n">
        <f aca="false">ABS($T104-$AX$2)+ABS($U104-$AY$2)+ABS($V104-$AZ$2)</f>
        <v>48418.7676056338</v>
      </c>
      <c r="BD104" s="7" t="n">
        <f aca="false">ABS($T104-$AX$3)+ABS($U104-$AY$3)+ABS($V104-$AZ$3)</f>
        <v>24592.406779661</v>
      </c>
      <c r="BE104" s="7" t="n">
        <f aca="false">ABS($T104-$AX$4)+ABS($U104-$AY$4)+ABS($V104-$AZ$4)</f>
        <v>6556.64150943396</v>
      </c>
      <c r="BF104" s="7" t="n">
        <f aca="false">MIN(BC104:BE104)</f>
        <v>6556.64150943396</v>
      </c>
      <c r="BG104" s="4" t="n">
        <f aca="false">MATCH(BF104,BC104:BE104,0)</f>
        <v>3</v>
      </c>
      <c r="BH104" s="8" t="n">
        <v>3</v>
      </c>
      <c r="BI104" s="4" t="n">
        <f aca="false">IF(BG104=BH104,0,1)</f>
        <v>0</v>
      </c>
      <c r="BK104" s="8" t="n">
        <v>3</v>
      </c>
      <c r="BL104" s="8" t="n">
        <v>3</v>
      </c>
      <c r="BM104" s="8" t="n">
        <v>3</v>
      </c>
    </row>
    <row r="105" customFormat="false" ht="15" hidden="false" customHeight="false" outlineLevel="0" collapsed="false">
      <c r="A105" s="3" t="n">
        <v>104</v>
      </c>
      <c r="B105" s="3" t="s">
        <v>31</v>
      </c>
      <c r="C105" s="3" t="n">
        <v>0</v>
      </c>
      <c r="D105" s="3" t="n">
        <v>0</v>
      </c>
      <c r="E105" s="3" t="n">
        <v>1</v>
      </c>
      <c r="F105" s="3" t="n">
        <v>0</v>
      </c>
      <c r="G105" s="3" t="n">
        <v>0</v>
      </c>
      <c r="H105" s="3" t="n">
        <v>4</v>
      </c>
      <c r="I105" s="3" t="n">
        <v>4</v>
      </c>
      <c r="J105" s="3" t="n">
        <v>5</v>
      </c>
      <c r="K105" s="3" t="n">
        <v>5</v>
      </c>
      <c r="L105" s="3" t="n">
        <v>5</v>
      </c>
      <c r="M105" s="3" t="n">
        <v>4</v>
      </c>
      <c r="N105" s="3" t="n">
        <v>3</v>
      </c>
      <c r="O105" s="3" t="n">
        <v>2</v>
      </c>
      <c r="P105" s="3" t="n">
        <v>4</v>
      </c>
      <c r="Q105" s="3" t="n">
        <v>2</v>
      </c>
      <c r="R105" s="3" t="n">
        <v>4</v>
      </c>
      <c r="S105" s="3" t="n">
        <v>2</v>
      </c>
      <c r="T105" s="3" t="n">
        <v>1</v>
      </c>
      <c r="U105" s="3" t="n">
        <v>69</v>
      </c>
      <c r="V105" s="3" t="n">
        <v>25734</v>
      </c>
      <c r="W105" s="3" t="n">
        <v>2</v>
      </c>
      <c r="X105" s="3" t="n">
        <v>4</v>
      </c>
      <c r="Y105" s="3" t="n">
        <v>2</v>
      </c>
      <c r="Z105" s="3" t="n">
        <v>2</v>
      </c>
      <c r="AA105" s="4" t="n">
        <f aca="false">IF($B105=AA$1,1,0)</f>
        <v>0</v>
      </c>
      <c r="AB105" s="4" t="n">
        <f aca="false">IF($B105=AB$1,1,0)</f>
        <v>0</v>
      </c>
      <c r="AC105" s="4" t="n">
        <f aca="false">IF($B105=AC$1,1,0)</f>
        <v>0</v>
      </c>
      <c r="AD105" s="4" t="n">
        <f aca="false">IF($B105=AD$1,1,0)</f>
        <v>0</v>
      </c>
      <c r="AE105" s="4" t="n">
        <f aca="false">IF($B105=AE$1,1,0)</f>
        <v>0</v>
      </c>
      <c r="AF105" s="4" t="n">
        <f aca="false">IF($B105=AF$1,1,0)</f>
        <v>1</v>
      </c>
      <c r="AG105" s="4" t="n">
        <f aca="false">IF($B105=AG$1,1,0)</f>
        <v>0</v>
      </c>
      <c r="AH105" s="4" t="n">
        <f aca="false">IF($B105=AH$1,1,0)</f>
        <v>0</v>
      </c>
      <c r="AI105" s="4" t="n">
        <f aca="false">IF($B105=AI$1,1,0)</f>
        <v>0</v>
      </c>
      <c r="AJ105" s="4" t="n">
        <f aca="false">IF($B105=AJ$1,1,0)</f>
        <v>0</v>
      </c>
      <c r="AK105" s="4" t="n">
        <f aca="false">IF($B105=AK$1,1,0)</f>
        <v>0</v>
      </c>
      <c r="AL105" s="4" t="n">
        <f aca="false">IF($B105=AL$1,1,0)</f>
        <v>0</v>
      </c>
      <c r="AM105" s="4" t="n">
        <f aca="false">IF($B105=AM$1,1,0)</f>
        <v>0</v>
      </c>
      <c r="AN105" s="4" t="n">
        <f aca="false">IF($B105=AN$1,1,0)</f>
        <v>0</v>
      </c>
      <c r="AO105" s="4" t="n">
        <f aca="false">IF($B105=AO$1,1,0)</f>
        <v>0</v>
      </c>
      <c r="AP105" s="4" t="n">
        <f aca="false">IF($B105=AP$1,1,0)</f>
        <v>0</v>
      </c>
      <c r="AQ105" s="4" t="n">
        <f aca="false">IF($B105=AQ$1,1,0)</f>
        <v>0</v>
      </c>
      <c r="AR105" s="4" t="n">
        <f aca="false">IF($B105=AR$1,1,0)</f>
        <v>0</v>
      </c>
      <c r="AS105" s="4" t="n">
        <f aca="false">IF($B105=AS$1,1,0)</f>
        <v>0</v>
      </c>
      <c r="AT105" s="4" t="n">
        <f aca="false">IF($B105=AT$1,1,0)</f>
        <v>0</v>
      </c>
      <c r="BB105" s="4" t="n">
        <f aca="false">A105</f>
        <v>104</v>
      </c>
      <c r="BC105" s="7" t="n">
        <f aca="false">ABS($T105-$AX$2)+ABS($U105-$AY$2)+ABS($V105-$AZ$2)</f>
        <v>2930.85211267605</v>
      </c>
      <c r="BD105" s="7" t="n">
        <f aca="false">ABS($T105-$AX$3)+ABS($U105-$AY$3)+ABS($V105-$AZ$3)</f>
        <v>20957.593220339</v>
      </c>
      <c r="BE105" s="7" t="n">
        <f aca="false">ABS($T105-$AX$4)+ABS($U105-$AY$4)+ABS($V105-$AZ$4)</f>
        <v>52088.0754716981</v>
      </c>
      <c r="BF105" s="7" t="n">
        <f aca="false">MIN(BC105:BE105)</f>
        <v>2930.85211267605</v>
      </c>
      <c r="BG105" s="4" t="n">
        <f aca="false">MATCH(BF105,BC105:BE105,0)</f>
        <v>1</v>
      </c>
      <c r="BH105" s="8" t="n">
        <v>1</v>
      </c>
      <c r="BI105" s="4" t="n">
        <f aca="false">IF(BG105=BH105,0,1)</f>
        <v>0</v>
      </c>
      <c r="BK105" s="8" t="n">
        <v>1</v>
      </c>
      <c r="BL105" s="8" t="n">
        <v>1</v>
      </c>
      <c r="BM105" s="8" t="n">
        <v>1</v>
      </c>
    </row>
    <row r="106" customFormat="false" ht="15" hidden="false" customHeight="false" outlineLevel="0" collapsed="false">
      <c r="A106" s="3" t="n">
        <v>105</v>
      </c>
      <c r="B106" s="3" t="s">
        <v>30</v>
      </c>
      <c r="C106" s="3" t="n">
        <v>0</v>
      </c>
      <c r="D106" s="3" t="n">
        <v>0</v>
      </c>
      <c r="E106" s="3" t="n">
        <v>1</v>
      </c>
      <c r="F106" s="3" t="n">
        <v>0</v>
      </c>
      <c r="G106" s="3" t="n">
        <v>4</v>
      </c>
      <c r="H106" s="3" t="n">
        <v>5</v>
      </c>
      <c r="I106" s="3" t="n">
        <v>4</v>
      </c>
      <c r="J106" s="3" t="n">
        <v>5</v>
      </c>
      <c r="K106" s="3" t="n">
        <v>3</v>
      </c>
      <c r="L106" s="3" t="n">
        <v>5</v>
      </c>
      <c r="M106" s="3" t="n">
        <v>4</v>
      </c>
      <c r="N106" s="3" t="n">
        <v>5</v>
      </c>
      <c r="O106" s="3" t="n">
        <v>4</v>
      </c>
      <c r="P106" s="3" t="n">
        <v>5</v>
      </c>
      <c r="Q106" s="3" t="n">
        <v>4</v>
      </c>
      <c r="R106" s="3" t="n">
        <v>5</v>
      </c>
      <c r="S106" s="3" t="n">
        <v>5</v>
      </c>
      <c r="T106" s="3" t="n">
        <v>0</v>
      </c>
      <c r="U106" s="3" t="n">
        <v>19</v>
      </c>
      <c r="V106" s="3" t="n">
        <v>18248</v>
      </c>
      <c r="W106" s="3" t="n">
        <v>3</v>
      </c>
      <c r="X106" s="3" t="n">
        <v>4</v>
      </c>
      <c r="Y106" s="3" t="n">
        <v>2</v>
      </c>
      <c r="Z106" s="3" t="n">
        <v>2</v>
      </c>
      <c r="AA106" s="4" t="n">
        <f aca="false">IF($B106=AA$1,1,0)</f>
        <v>0</v>
      </c>
      <c r="AB106" s="4" t="n">
        <f aca="false">IF($B106=AB$1,1,0)</f>
        <v>0</v>
      </c>
      <c r="AC106" s="4" t="n">
        <f aca="false">IF($B106=AC$1,1,0)</f>
        <v>0</v>
      </c>
      <c r="AD106" s="4" t="n">
        <f aca="false">IF($B106=AD$1,1,0)</f>
        <v>0</v>
      </c>
      <c r="AE106" s="4" t="n">
        <f aca="false">IF($B106=AE$1,1,0)</f>
        <v>1</v>
      </c>
      <c r="AF106" s="4" t="n">
        <f aca="false">IF($B106=AF$1,1,0)</f>
        <v>0</v>
      </c>
      <c r="AG106" s="4" t="n">
        <f aca="false">IF($B106=AG$1,1,0)</f>
        <v>0</v>
      </c>
      <c r="AH106" s="4" t="n">
        <f aca="false">IF($B106=AH$1,1,0)</f>
        <v>0</v>
      </c>
      <c r="AI106" s="4" t="n">
        <f aca="false">IF($B106=AI$1,1,0)</f>
        <v>0</v>
      </c>
      <c r="AJ106" s="4" t="n">
        <f aca="false">IF($B106=AJ$1,1,0)</f>
        <v>0</v>
      </c>
      <c r="AK106" s="4" t="n">
        <f aca="false">IF($B106=AK$1,1,0)</f>
        <v>0</v>
      </c>
      <c r="AL106" s="4" t="n">
        <f aca="false">IF($B106=AL$1,1,0)</f>
        <v>0</v>
      </c>
      <c r="AM106" s="4" t="n">
        <f aca="false">IF($B106=AM$1,1,0)</f>
        <v>0</v>
      </c>
      <c r="AN106" s="4" t="n">
        <f aca="false">IF($B106=AN$1,1,0)</f>
        <v>0</v>
      </c>
      <c r="AO106" s="4" t="n">
        <f aca="false">IF($B106=AO$1,1,0)</f>
        <v>0</v>
      </c>
      <c r="AP106" s="4" t="n">
        <f aca="false">IF($B106=AP$1,1,0)</f>
        <v>0</v>
      </c>
      <c r="AQ106" s="4" t="n">
        <f aca="false">IF($B106=AQ$1,1,0)</f>
        <v>0</v>
      </c>
      <c r="AR106" s="4" t="n">
        <f aca="false">IF($B106=AR$1,1,0)</f>
        <v>0</v>
      </c>
      <c r="AS106" s="4" t="n">
        <f aca="false">IF($B106=AS$1,1,0)</f>
        <v>0</v>
      </c>
      <c r="AT106" s="4" t="n">
        <f aca="false">IF($B106=AT$1,1,0)</f>
        <v>0</v>
      </c>
      <c r="BB106" s="4" t="n">
        <f aca="false">A106</f>
        <v>105</v>
      </c>
      <c r="BC106" s="7" t="n">
        <f aca="false">ABS($T106-$AX$2)+ABS($U106-$AY$2)+ABS($V106-$AZ$2)</f>
        <v>4606.14788732395</v>
      </c>
      <c r="BD106" s="7" t="n">
        <f aca="false">ABS($T106-$AX$3)+ABS($U106-$AY$3)+ABS($V106-$AZ$3)</f>
        <v>28437.7288135593</v>
      </c>
      <c r="BE106" s="7" t="n">
        <f aca="false">ABS($T106-$AX$4)+ABS($U106-$AY$4)+ABS($V106-$AZ$4)</f>
        <v>59569.641509434</v>
      </c>
      <c r="BF106" s="7" t="n">
        <f aca="false">MIN(BC106:BE106)</f>
        <v>4606.14788732395</v>
      </c>
      <c r="BG106" s="4" t="n">
        <f aca="false">MATCH(BF106,BC106:BE106,0)</f>
        <v>1</v>
      </c>
      <c r="BH106" s="8" t="n">
        <v>1</v>
      </c>
      <c r="BI106" s="4" t="n">
        <f aca="false">IF(BG106=BH106,0,1)</f>
        <v>0</v>
      </c>
      <c r="BK106" s="8" t="n">
        <v>1</v>
      </c>
      <c r="BL106" s="8" t="n">
        <v>1</v>
      </c>
      <c r="BM106" s="8" t="n">
        <v>1</v>
      </c>
    </row>
    <row r="107" customFormat="false" ht="15" hidden="false" customHeight="false" outlineLevel="0" collapsed="false">
      <c r="A107" s="3" t="n">
        <v>106</v>
      </c>
      <c r="B107" s="3" t="s">
        <v>31</v>
      </c>
      <c r="C107" s="3" t="n">
        <v>1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5</v>
      </c>
      <c r="I107" s="3" t="n">
        <v>5</v>
      </c>
      <c r="J107" s="3" t="n">
        <v>5</v>
      </c>
      <c r="K107" s="3" t="n">
        <v>5</v>
      </c>
      <c r="L107" s="3" t="n">
        <v>5</v>
      </c>
      <c r="M107" s="3" t="n">
        <v>5</v>
      </c>
      <c r="N107" s="3" t="n">
        <v>5</v>
      </c>
      <c r="O107" s="3" t="n">
        <v>5</v>
      </c>
      <c r="P107" s="3" t="n">
        <v>5</v>
      </c>
      <c r="Q107" s="3" t="n">
        <v>5</v>
      </c>
      <c r="R107" s="3" t="n">
        <v>5</v>
      </c>
      <c r="S107" s="3" t="n">
        <v>5</v>
      </c>
      <c r="T107" s="3" t="n">
        <v>1</v>
      </c>
      <c r="U107" s="3" t="n">
        <v>18</v>
      </c>
      <c r="V107" s="3" t="n">
        <v>66888</v>
      </c>
      <c r="W107" s="3" t="n">
        <v>1</v>
      </c>
      <c r="X107" s="3" t="n">
        <v>1</v>
      </c>
      <c r="Y107" s="3" t="n">
        <v>1</v>
      </c>
      <c r="Z107" s="3" t="n">
        <v>1</v>
      </c>
      <c r="AA107" s="4" t="n">
        <f aca="false">IF($B107=AA$1,1,0)</f>
        <v>0</v>
      </c>
      <c r="AB107" s="4" t="n">
        <f aca="false">IF($B107=AB$1,1,0)</f>
        <v>0</v>
      </c>
      <c r="AC107" s="4" t="n">
        <f aca="false">IF($B107=AC$1,1,0)</f>
        <v>0</v>
      </c>
      <c r="AD107" s="4" t="n">
        <f aca="false">IF($B107=AD$1,1,0)</f>
        <v>0</v>
      </c>
      <c r="AE107" s="4" t="n">
        <f aca="false">IF($B107=AE$1,1,0)</f>
        <v>0</v>
      </c>
      <c r="AF107" s="4" t="n">
        <f aca="false">IF($B107=AF$1,1,0)</f>
        <v>1</v>
      </c>
      <c r="AG107" s="4" t="n">
        <f aca="false">IF($B107=AG$1,1,0)</f>
        <v>0</v>
      </c>
      <c r="AH107" s="4" t="n">
        <f aca="false">IF($B107=AH$1,1,0)</f>
        <v>0</v>
      </c>
      <c r="AI107" s="4" t="n">
        <f aca="false">IF($B107=AI$1,1,0)</f>
        <v>0</v>
      </c>
      <c r="AJ107" s="4" t="n">
        <f aca="false">IF($B107=AJ$1,1,0)</f>
        <v>0</v>
      </c>
      <c r="AK107" s="4" t="n">
        <f aca="false">IF($B107=AK$1,1,0)</f>
        <v>0</v>
      </c>
      <c r="AL107" s="4" t="n">
        <f aca="false">IF($B107=AL$1,1,0)</f>
        <v>0</v>
      </c>
      <c r="AM107" s="4" t="n">
        <f aca="false">IF($B107=AM$1,1,0)</f>
        <v>0</v>
      </c>
      <c r="AN107" s="4" t="n">
        <f aca="false">IF($B107=AN$1,1,0)</f>
        <v>0</v>
      </c>
      <c r="AO107" s="4" t="n">
        <f aca="false">IF($B107=AO$1,1,0)</f>
        <v>0</v>
      </c>
      <c r="AP107" s="4" t="n">
        <f aca="false">IF($B107=AP$1,1,0)</f>
        <v>0</v>
      </c>
      <c r="AQ107" s="4" t="n">
        <f aca="false">IF($B107=AQ$1,1,0)</f>
        <v>0</v>
      </c>
      <c r="AR107" s="4" t="n">
        <f aca="false">IF($B107=AR$1,1,0)</f>
        <v>0</v>
      </c>
      <c r="AS107" s="4" t="n">
        <f aca="false">IF($B107=AS$1,1,0)</f>
        <v>0</v>
      </c>
      <c r="AT107" s="4" t="n">
        <f aca="false">IF($B107=AT$1,1,0)</f>
        <v>0</v>
      </c>
      <c r="BB107" s="4" t="n">
        <f aca="false">A107</f>
        <v>106</v>
      </c>
      <c r="BC107" s="7" t="n">
        <f aca="false">ABS($T107-$AX$2)+ABS($U107-$AY$2)+ABS($V107-$AZ$2)</f>
        <v>44075.3309859155</v>
      </c>
      <c r="BD107" s="7" t="n">
        <f aca="false">ABS($T107-$AX$3)+ABS($U107-$AY$3)+ABS($V107-$AZ$3)</f>
        <v>20249.0338983051</v>
      </c>
      <c r="BE107" s="7" t="n">
        <f aca="false">ABS($T107-$AX$4)+ABS($U107-$AY$4)+ABS($V107-$AZ$4)</f>
        <v>10931.1132075472</v>
      </c>
      <c r="BF107" s="7" t="n">
        <f aca="false">MIN(BC107:BE107)</f>
        <v>10931.1132075472</v>
      </c>
      <c r="BG107" s="4" t="n">
        <f aca="false">MATCH(BF107,BC107:BE107,0)</f>
        <v>3</v>
      </c>
      <c r="BH107" s="8" t="n">
        <v>3</v>
      </c>
      <c r="BI107" s="4" t="n">
        <f aca="false">IF(BG107=BH107,0,1)</f>
        <v>0</v>
      </c>
      <c r="BK107" s="8" t="n">
        <v>3</v>
      </c>
      <c r="BL107" s="8" t="n">
        <v>3</v>
      </c>
      <c r="BM107" s="8" t="n">
        <v>3</v>
      </c>
    </row>
    <row r="108" customFormat="false" ht="15" hidden="false" customHeight="false" outlineLevel="0" collapsed="false">
      <c r="A108" s="3" t="n">
        <v>107</v>
      </c>
      <c r="B108" s="3" t="s">
        <v>31</v>
      </c>
      <c r="C108" s="3" t="n">
        <v>1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5</v>
      </c>
      <c r="I108" s="3" t="n">
        <v>5</v>
      </c>
      <c r="J108" s="3" t="n">
        <v>5</v>
      </c>
      <c r="K108" s="3" t="n">
        <v>5</v>
      </c>
      <c r="L108" s="3" t="n">
        <v>5</v>
      </c>
      <c r="M108" s="3" t="n">
        <v>5</v>
      </c>
      <c r="N108" s="3" t="n">
        <v>2</v>
      </c>
      <c r="O108" s="3" t="n">
        <v>5</v>
      </c>
      <c r="P108" s="3" t="n">
        <v>4</v>
      </c>
      <c r="Q108" s="3" t="n">
        <v>5</v>
      </c>
      <c r="R108" s="3" t="n">
        <v>5</v>
      </c>
      <c r="S108" s="3" t="n">
        <v>3</v>
      </c>
      <c r="T108" s="3" t="n">
        <v>0</v>
      </c>
      <c r="U108" s="3" t="n">
        <v>39</v>
      </c>
      <c r="V108" s="3" t="n">
        <v>21978</v>
      </c>
      <c r="W108" s="3" t="n">
        <v>2</v>
      </c>
      <c r="X108" s="3" t="n">
        <v>4</v>
      </c>
      <c r="Y108" s="3" t="n">
        <v>2</v>
      </c>
      <c r="Z108" s="3" t="n">
        <v>1</v>
      </c>
      <c r="AA108" s="4" t="n">
        <f aca="false">IF($B108=AA$1,1,0)</f>
        <v>0</v>
      </c>
      <c r="AB108" s="4" t="n">
        <f aca="false">IF($B108=AB$1,1,0)</f>
        <v>0</v>
      </c>
      <c r="AC108" s="4" t="n">
        <f aca="false">IF($B108=AC$1,1,0)</f>
        <v>0</v>
      </c>
      <c r="AD108" s="4" t="n">
        <f aca="false">IF($B108=AD$1,1,0)</f>
        <v>0</v>
      </c>
      <c r="AE108" s="4" t="n">
        <f aca="false">IF($B108=AE$1,1,0)</f>
        <v>0</v>
      </c>
      <c r="AF108" s="4" t="n">
        <f aca="false">IF($B108=AF$1,1,0)</f>
        <v>1</v>
      </c>
      <c r="AG108" s="4" t="n">
        <f aca="false">IF($B108=AG$1,1,0)</f>
        <v>0</v>
      </c>
      <c r="AH108" s="4" t="n">
        <f aca="false">IF($B108=AH$1,1,0)</f>
        <v>0</v>
      </c>
      <c r="AI108" s="4" t="n">
        <f aca="false">IF($B108=AI$1,1,0)</f>
        <v>0</v>
      </c>
      <c r="AJ108" s="4" t="n">
        <f aca="false">IF($B108=AJ$1,1,0)</f>
        <v>0</v>
      </c>
      <c r="AK108" s="4" t="n">
        <f aca="false">IF($B108=AK$1,1,0)</f>
        <v>0</v>
      </c>
      <c r="AL108" s="4" t="n">
        <f aca="false">IF($B108=AL$1,1,0)</f>
        <v>0</v>
      </c>
      <c r="AM108" s="4" t="n">
        <f aca="false">IF($B108=AM$1,1,0)</f>
        <v>0</v>
      </c>
      <c r="AN108" s="4" t="n">
        <f aca="false">IF($B108=AN$1,1,0)</f>
        <v>0</v>
      </c>
      <c r="AO108" s="4" t="n">
        <f aca="false">IF($B108=AO$1,1,0)</f>
        <v>0</v>
      </c>
      <c r="AP108" s="4" t="n">
        <f aca="false">IF($B108=AP$1,1,0)</f>
        <v>0</v>
      </c>
      <c r="AQ108" s="4" t="n">
        <f aca="false">IF($B108=AQ$1,1,0)</f>
        <v>0</v>
      </c>
      <c r="AR108" s="4" t="n">
        <f aca="false">IF($B108=AR$1,1,0)</f>
        <v>0</v>
      </c>
      <c r="AS108" s="4" t="n">
        <f aca="false">IF($B108=AS$1,1,0)</f>
        <v>0</v>
      </c>
      <c r="AT108" s="4" t="n">
        <f aca="false">IF($B108=AT$1,1,0)</f>
        <v>0</v>
      </c>
      <c r="BB108" s="4" t="n">
        <f aca="false">A108</f>
        <v>107</v>
      </c>
      <c r="BC108" s="7" t="n">
        <f aca="false">ABS($T108-$AX$2)+ABS($U108-$AY$2)+ABS($V108-$AZ$2)</f>
        <v>856.669014084509</v>
      </c>
      <c r="BD108" s="7" t="n">
        <f aca="false">ABS($T108-$AX$3)+ABS($U108-$AY$3)+ABS($V108-$AZ$3)</f>
        <v>24687.7288135593</v>
      </c>
      <c r="BE108" s="7" t="n">
        <f aca="false">ABS($T108-$AX$4)+ABS($U108-$AY$4)+ABS($V108-$AZ$4)</f>
        <v>55819.641509434</v>
      </c>
      <c r="BF108" s="7" t="n">
        <f aca="false">MIN(BC108:BE108)</f>
        <v>856.669014084509</v>
      </c>
      <c r="BG108" s="4" t="n">
        <f aca="false">MATCH(BF108,BC108:BE108,0)</f>
        <v>1</v>
      </c>
      <c r="BH108" s="8" t="n">
        <v>1</v>
      </c>
      <c r="BI108" s="4" t="n">
        <f aca="false">IF(BG108=BH108,0,1)</f>
        <v>0</v>
      </c>
      <c r="BK108" s="8" t="n">
        <v>1</v>
      </c>
      <c r="BL108" s="8" t="n">
        <v>1</v>
      </c>
      <c r="BM108" s="8" t="n">
        <v>1</v>
      </c>
    </row>
    <row r="109" customFormat="false" ht="15" hidden="false" customHeight="false" outlineLevel="0" collapsed="false">
      <c r="A109" s="3" t="n">
        <v>108</v>
      </c>
      <c r="B109" s="3" t="s">
        <v>38</v>
      </c>
      <c r="C109" s="3" t="n">
        <v>1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4</v>
      </c>
      <c r="I109" s="3" t="n">
        <v>4</v>
      </c>
      <c r="J109" s="3" t="n">
        <v>5</v>
      </c>
      <c r="K109" s="3" t="n">
        <v>5</v>
      </c>
      <c r="L109" s="3" t="n">
        <v>5</v>
      </c>
      <c r="M109" s="3" t="n">
        <v>4</v>
      </c>
      <c r="N109" s="3" t="n">
        <v>3</v>
      </c>
      <c r="O109" s="3" t="n">
        <v>3</v>
      </c>
      <c r="P109" s="3" t="n">
        <v>3</v>
      </c>
      <c r="Q109" s="3" t="n">
        <v>4</v>
      </c>
      <c r="R109" s="3" t="n">
        <v>4</v>
      </c>
      <c r="S109" s="3" t="n">
        <v>3</v>
      </c>
      <c r="T109" s="3" t="n">
        <v>0</v>
      </c>
      <c r="U109" s="3" t="n">
        <v>45</v>
      </c>
      <c r="V109" s="3" t="n">
        <v>11342</v>
      </c>
      <c r="W109" s="3" t="n">
        <v>2</v>
      </c>
      <c r="X109" s="3" t="n">
        <v>2</v>
      </c>
      <c r="Y109" s="3" t="n">
        <v>2</v>
      </c>
      <c r="Z109" s="3" t="n">
        <v>2</v>
      </c>
      <c r="AA109" s="4" t="n">
        <f aca="false">IF($B109=AA$1,1,0)</f>
        <v>0</v>
      </c>
      <c r="AB109" s="4" t="n">
        <f aca="false">IF($B109=AB$1,1,0)</f>
        <v>0</v>
      </c>
      <c r="AC109" s="4" t="n">
        <f aca="false">IF($B109=AC$1,1,0)</f>
        <v>0</v>
      </c>
      <c r="AD109" s="4" t="n">
        <f aca="false">IF($B109=AD$1,1,0)</f>
        <v>0</v>
      </c>
      <c r="AE109" s="4" t="n">
        <f aca="false">IF($B109=AE$1,1,0)</f>
        <v>0</v>
      </c>
      <c r="AF109" s="4" t="n">
        <f aca="false">IF($B109=AF$1,1,0)</f>
        <v>0</v>
      </c>
      <c r="AG109" s="4" t="n">
        <f aca="false">IF($B109=AG$1,1,0)</f>
        <v>0</v>
      </c>
      <c r="AH109" s="4" t="n">
        <f aca="false">IF($B109=AH$1,1,0)</f>
        <v>0</v>
      </c>
      <c r="AI109" s="4" t="n">
        <f aca="false">IF($B109=AI$1,1,0)</f>
        <v>0</v>
      </c>
      <c r="AJ109" s="4" t="n">
        <f aca="false">IF($B109=AJ$1,1,0)</f>
        <v>0</v>
      </c>
      <c r="AK109" s="4" t="n">
        <f aca="false">IF($B109=AK$1,1,0)</f>
        <v>0</v>
      </c>
      <c r="AL109" s="4" t="n">
        <f aca="false">IF($B109=AL$1,1,0)</f>
        <v>0</v>
      </c>
      <c r="AM109" s="4" t="n">
        <f aca="false">IF($B109=AM$1,1,0)</f>
        <v>1</v>
      </c>
      <c r="AN109" s="4" t="n">
        <f aca="false">IF($B109=AN$1,1,0)</f>
        <v>0</v>
      </c>
      <c r="AO109" s="4" t="n">
        <f aca="false">IF($B109=AO$1,1,0)</f>
        <v>0</v>
      </c>
      <c r="AP109" s="4" t="n">
        <f aca="false">IF($B109=AP$1,1,0)</f>
        <v>0</v>
      </c>
      <c r="AQ109" s="4" t="n">
        <f aca="false">IF($B109=AQ$1,1,0)</f>
        <v>0</v>
      </c>
      <c r="AR109" s="4" t="n">
        <f aca="false">IF($B109=AR$1,1,0)</f>
        <v>0</v>
      </c>
      <c r="AS109" s="4" t="n">
        <f aca="false">IF($B109=AS$1,1,0)</f>
        <v>0</v>
      </c>
      <c r="AT109" s="4" t="n">
        <f aca="false">IF($B109=AT$1,1,0)</f>
        <v>0</v>
      </c>
      <c r="BB109" s="4" t="n">
        <f aca="false">A109</f>
        <v>108</v>
      </c>
      <c r="BC109" s="7" t="n">
        <f aca="false">ABS($T109-$AX$2)+ABS($U109-$AY$2)+ABS($V109-$AZ$2)</f>
        <v>11498.6690140845</v>
      </c>
      <c r="BD109" s="7" t="n">
        <f aca="false">ABS($T109-$AX$3)+ABS($U109-$AY$3)+ABS($V109-$AZ$3)</f>
        <v>35324.9661016949</v>
      </c>
      <c r="BE109" s="7" t="n">
        <f aca="false">ABS($T109-$AX$4)+ABS($U109-$AY$4)+ABS($V109-$AZ$4)</f>
        <v>66455.6037735849</v>
      </c>
      <c r="BF109" s="7" t="n">
        <f aca="false">MIN(BC109:BE109)</f>
        <v>11498.6690140845</v>
      </c>
      <c r="BG109" s="4" t="n">
        <f aca="false">MATCH(BF109,BC109:BE109,0)</f>
        <v>1</v>
      </c>
      <c r="BH109" s="8" t="n">
        <v>1</v>
      </c>
      <c r="BI109" s="4" t="n">
        <f aca="false">IF(BG109=BH109,0,1)</f>
        <v>0</v>
      </c>
      <c r="BK109" s="8" t="n">
        <v>1</v>
      </c>
      <c r="BL109" s="8" t="n">
        <v>1</v>
      </c>
      <c r="BM109" s="8" t="n">
        <v>1</v>
      </c>
    </row>
    <row r="110" customFormat="false" ht="15" hidden="false" customHeight="false" outlineLevel="0" collapsed="false">
      <c r="A110" s="3" t="n">
        <v>109</v>
      </c>
      <c r="B110" s="3" t="s">
        <v>33</v>
      </c>
      <c r="C110" s="3" t="n">
        <v>1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5</v>
      </c>
      <c r="I110" s="3" t="n">
        <v>5</v>
      </c>
      <c r="J110" s="3" t="n">
        <v>5</v>
      </c>
      <c r="K110" s="3" t="n">
        <v>5</v>
      </c>
      <c r="L110" s="3" t="n">
        <v>5</v>
      </c>
      <c r="M110" s="3" t="n">
        <v>5</v>
      </c>
      <c r="N110" s="3" t="n">
        <v>5</v>
      </c>
      <c r="O110" s="3" t="n">
        <v>5</v>
      </c>
      <c r="P110" s="3" t="n">
        <v>5</v>
      </c>
      <c r="Q110" s="3" t="n">
        <v>5</v>
      </c>
      <c r="R110" s="3" t="n">
        <v>5</v>
      </c>
      <c r="S110" s="3" t="n">
        <v>5</v>
      </c>
      <c r="T110" s="3" t="n">
        <v>0</v>
      </c>
      <c r="U110" s="3" t="n">
        <v>33</v>
      </c>
      <c r="V110" s="3" t="n">
        <v>23146</v>
      </c>
      <c r="W110" s="3" t="n">
        <v>1</v>
      </c>
      <c r="X110" s="3" t="n">
        <v>4</v>
      </c>
      <c r="Y110" s="3" t="n">
        <v>1</v>
      </c>
      <c r="Z110" s="3" t="n">
        <v>2</v>
      </c>
      <c r="AA110" s="4" t="n">
        <f aca="false">IF($B110=AA$1,1,0)</f>
        <v>0</v>
      </c>
      <c r="AB110" s="4" t="n">
        <f aca="false">IF($B110=AB$1,1,0)</f>
        <v>0</v>
      </c>
      <c r="AC110" s="4" t="n">
        <f aca="false">IF($B110=AC$1,1,0)</f>
        <v>0</v>
      </c>
      <c r="AD110" s="4" t="n">
        <f aca="false">IF($B110=AD$1,1,0)</f>
        <v>0</v>
      </c>
      <c r="AE110" s="4" t="n">
        <f aca="false">IF($B110=AE$1,1,0)</f>
        <v>0</v>
      </c>
      <c r="AF110" s="4" t="n">
        <f aca="false">IF($B110=AF$1,1,0)</f>
        <v>0</v>
      </c>
      <c r="AG110" s="4" t="n">
        <f aca="false">IF($B110=AG$1,1,0)</f>
        <v>0</v>
      </c>
      <c r="AH110" s="4" t="n">
        <f aca="false">IF($B110=AH$1,1,0)</f>
        <v>1</v>
      </c>
      <c r="AI110" s="4" t="n">
        <f aca="false">IF($B110=AI$1,1,0)</f>
        <v>0</v>
      </c>
      <c r="AJ110" s="4" t="n">
        <f aca="false">IF($B110=AJ$1,1,0)</f>
        <v>0</v>
      </c>
      <c r="AK110" s="4" t="n">
        <f aca="false">IF($B110=AK$1,1,0)</f>
        <v>0</v>
      </c>
      <c r="AL110" s="4" t="n">
        <f aca="false">IF($B110=AL$1,1,0)</f>
        <v>0</v>
      </c>
      <c r="AM110" s="4" t="n">
        <f aca="false">IF($B110=AM$1,1,0)</f>
        <v>0</v>
      </c>
      <c r="AN110" s="4" t="n">
        <f aca="false">IF($B110=AN$1,1,0)</f>
        <v>0</v>
      </c>
      <c r="AO110" s="4" t="n">
        <f aca="false">IF($B110=AO$1,1,0)</f>
        <v>0</v>
      </c>
      <c r="AP110" s="4" t="n">
        <f aca="false">IF($B110=AP$1,1,0)</f>
        <v>0</v>
      </c>
      <c r="AQ110" s="4" t="n">
        <f aca="false">IF($B110=AQ$1,1,0)</f>
        <v>0</v>
      </c>
      <c r="AR110" s="4" t="n">
        <f aca="false">IF($B110=AR$1,1,0)</f>
        <v>0</v>
      </c>
      <c r="AS110" s="4" t="n">
        <f aca="false">IF($B110=AS$1,1,0)</f>
        <v>0</v>
      </c>
      <c r="AT110" s="4" t="n">
        <f aca="false">IF($B110=AT$1,1,0)</f>
        <v>0</v>
      </c>
      <c r="BB110" s="4" t="n">
        <f aca="false">A110</f>
        <v>109</v>
      </c>
      <c r="BC110" s="7" t="n">
        <f aca="false">ABS($T110-$AX$2)+ABS($U110-$AY$2)+ABS($V110-$AZ$2)</f>
        <v>317.767605633801</v>
      </c>
      <c r="BD110" s="7" t="n">
        <f aca="false">ABS($T110-$AX$3)+ABS($U110-$AY$3)+ABS($V110-$AZ$3)</f>
        <v>23525.7288135593</v>
      </c>
      <c r="BE110" s="7" t="n">
        <f aca="false">ABS($T110-$AX$4)+ABS($U110-$AY$4)+ABS($V110-$AZ$4)</f>
        <v>54657.641509434</v>
      </c>
      <c r="BF110" s="7" t="n">
        <f aca="false">MIN(BC110:BE110)</f>
        <v>317.767605633801</v>
      </c>
      <c r="BG110" s="4" t="n">
        <f aca="false">MATCH(BF110,BC110:BE110,0)</f>
        <v>1</v>
      </c>
      <c r="BH110" s="8" t="n">
        <v>1</v>
      </c>
      <c r="BI110" s="4" t="n">
        <f aca="false">IF(BG110=BH110,0,1)</f>
        <v>0</v>
      </c>
      <c r="BK110" s="8" t="n">
        <v>1</v>
      </c>
      <c r="BL110" s="8" t="n">
        <v>1</v>
      </c>
      <c r="BM110" s="8" t="n">
        <v>1</v>
      </c>
    </row>
    <row r="111" customFormat="false" ht="15" hidden="false" customHeight="false" outlineLevel="0" collapsed="false">
      <c r="A111" s="3" t="n">
        <v>110</v>
      </c>
      <c r="B111" s="3" t="s">
        <v>31</v>
      </c>
      <c r="C111" s="3" t="n">
        <v>0</v>
      </c>
      <c r="D111" s="3" t="n">
        <v>0</v>
      </c>
      <c r="E111" s="3" t="n">
        <v>0</v>
      </c>
      <c r="F111" s="3" t="n">
        <v>1</v>
      </c>
      <c r="G111" s="3" t="n">
        <v>0</v>
      </c>
      <c r="H111" s="3" t="n">
        <v>5</v>
      </c>
      <c r="I111" s="3" t="n">
        <v>5</v>
      </c>
      <c r="J111" s="3" t="n">
        <v>5</v>
      </c>
      <c r="K111" s="3" t="n">
        <v>5</v>
      </c>
      <c r="L111" s="3" t="n">
        <v>5</v>
      </c>
      <c r="M111" s="3" t="n">
        <v>5</v>
      </c>
      <c r="N111" s="3" t="n">
        <v>4</v>
      </c>
      <c r="O111" s="3" t="n">
        <v>4</v>
      </c>
      <c r="P111" s="3" t="n">
        <v>5</v>
      </c>
      <c r="Q111" s="3" t="n">
        <v>5</v>
      </c>
      <c r="R111" s="3" t="n">
        <v>4</v>
      </c>
      <c r="S111" s="3" t="n">
        <v>5</v>
      </c>
      <c r="T111" s="3" t="n">
        <v>0</v>
      </c>
      <c r="U111" s="3" t="n">
        <v>33</v>
      </c>
      <c r="V111" s="3" t="n">
        <v>18631</v>
      </c>
      <c r="W111" s="3" t="n">
        <v>1</v>
      </c>
      <c r="X111" s="3" t="n">
        <v>2</v>
      </c>
      <c r="Y111" s="3" t="n">
        <v>1</v>
      </c>
      <c r="Z111" s="3" t="n">
        <v>1</v>
      </c>
      <c r="AA111" s="4" t="n">
        <f aca="false">IF($B111=AA$1,1,0)</f>
        <v>0</v>
      </c>
      <c r="AB111" s="4" t="n">
        <f aca="false">IF($B111=AB$1,1,0)</f>
        <v>0</v>
      </c>
      <c r="AC111" s="4" t="n">
        <f aca="false">IF($B111=AC$1,1,0)</f>
        <v>0</v>
      </c>
      <c r="AD111" s="4" t="n">
        <f aca="false">IF($B111=AD$1,1,0)</f>
        <v>0</v>
      </c>
      <c r="AE111" s="4" t="n">
        <f aca="false">IF($B111=AE$1,1,0)</f>
        <v>0</v>
      </c>
      <c r="AF111" s="4" t="n">
        <f aca="false">IF($B111=AF$1,1,0)</f>
        <v>1</v>
      </c>
      <c r="AG111" s="4" t="n">
        <f aca="false">IF($B111=AG$1,1,0)</f>
        <v>0</v>
      </c>
      <c r="AH111" s="4" t="n">
        <f aca="false">IF($B111=AH$1,1,0)</f>
        <v>0</v>
      </c>
      <c r="AI111" s="4" t="n">
        <f aca="false">IF($B111=AI$1,1,0)</f>
        <v>0</v>
      </c>
      <c r="AJ111" s="4" t="n">
        <f aca="false">IF($B111=AJ$1,1,0)</f>
        <v>0</v>
      </c>
      <c r="AK111" s="4" t="n">
        <f aca="false">IF($B111=AK$1,1,0)</f>
        <v>0</v>
      </c>
      <c r="AL111" s="4" t="n">
        <f aca="false">IF($B111=AL$1,1,0)</f>
        <v>0</v>
      </c>
      <c r="AM111" s="4" t="n">
        <f aca="false">IF($B111=AM$1,1,0)</f>
        <v>0</v>
      </c>
      <c r="AN111" s="4" t="n">
        <f aca="false">IF($B111=AN$1,1,0)</f>
        <v>0</v>
      </c>
      <c r="AO111" s="4" t="n">
        <f aca="false">IF($B111=AO$1,1,0)</f>
        <v>0</v>
      </c>
      <c r="AP111" s="4" t="n">
        <f aca="false">IF($B111=AP$1,1,0)</f>
        <v>0</v>
      </c>
      <c r="AQ111" s="4" t="n">
        <f aca="false">IF($B111=AQ$1,1,0)</f>
        <v>0</v>
      </c>
      <c r="AR111" s="4" t="n">
        <f aca="false">IF($B111=AR$1,1,0)</f>
        <v>0</v>
      </c>
      <c r="AS111" s="4" t="n">
        <f aca="false">IF($B111=AS$1,1,0)</f>
        <v>0</v>
      </c>
      <c r="AT111" s="4" t="n">
        <f aca="false">IF($B111=AT$1,1,0)</f>
        <v>0</v>
      </c>
      <c r="BB111" s="4" t="n">
        <f aca="false">A111</f>
        <v>110</v>
      </c>
      <c r="BC111" s="7" t="n">
        <f aca="false">ABS($T111-$AX$2)+ABS($U111-$AY$2)+ABS($V111-$AZ$2)</f>
        <v>4209.14788732395</v>
      </c>
      <c r="BD111" s="7" t="n">
        <f aca="false">ABS($T111-$AX$3)+ABS($U111-$AY$3)+ABS($V111-$AZ$3)</f>
        <v>28040.7288135593</v>
      </c>
      <c r="BE111" s="7" t="n">
        <f aca="false">ABS($T111-$AX$4)+ABS($U111-$AY$4)+ABS($V111-$AZ$4)</f>
        <v>59172.641509434</v>
      </c>
      <c r="BF111" s="7" t="n">
        <f aca="false">MIN(BC111:BE111)</f>
        <v>4209.14788732395</v>
      </c>
      <c r="BG111" s="4" t="n">
        <f aca="false">MATCH(BF111,BC111:BE111,0)</f>
        <v>1</v>
      </c>
      <c r="BH111" s="8" t="n">
        <v>1</v>
      </c>
      <c r="BI111" s="4" t="n">
        <f aca="false">IF(BG111=BH111,0,1)</f>
        <v>0</v>
      </c>
      <c r="BK111" s="8" t="n">
        <v>1</v>
      </c>
      <c r="BL111" s="8" t="n">
        <v>1</v>
      </c>
      <c r="BM111" s="8" t="n">
        <v>1</v>
      </c>
    </row>
    <row r="112" customFormat="false" ht="15" hidden="false" customHeight="false" outlineLevel="0" collapsed="false">
      <c r="A112" s="3" t="n">
        <v>111</v>
      </c>
      <c r="B112" s="3" t="s">
        <v>30</v>
      </c>
      <c r="C112" s="3" t="n">
        <v>1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5</v>
      </c>
      <c r="I112" s="3" t="n">
        <v>5</v>
      </c>
      <c r="J112" s="3" t="n">
        <v>5</v>
      </c>
      <c r="K112" s="3" t="n">
        <v>5</v>
      </c>
      <c r="L112" s="3" t="n">
        <v>5</v>
      </c>
      <c r="M112" s="3" t="n">
        <v>5</v>
      </c>
      <c r="N112" s="3" t="n">
        <v>4</v>
      </c>
      <c r="O112" s="3" t="n">
        <v>4</v>
      </c>
      <c r="P112" s="3" t="n">
        <v>3</v>
      </c>
      <c r="Q112" s="3" t="n">
        <v>5</v>
      </c>
      <c r="R112" s="3" t="n">
        <v>3</v>
      </c>
      <c r="S112" s="3" t="n">
        <v>3</v>
      </c>
      <c r="T112" s="3" t="n">
        <v>0</v>
      </c>
      <c r="U112" s="3" t="n">
        <v>44</v>
      </c>
      <c r="V112" s="3" t="n">
        <v>30408</v>
      </c>
      <c r="W112" s="3" t="n">
        <v>2</v>
      </c>
      <c r="X112" s="3" t="n">
        <v>2</v>
      </c>
      <c r="Y112" s="3" t="n">
        <v>2</v>
      </c>
      <c r="Z112" s="3" t="n">
        <v>1</v>
      </c>
      <c r="AA112" s="4" t="n">
        <f aca="false">IF($B112=AA$1,1,0)</f>
        <v>0</v>
      </c>
      <c r="AB112" s="4" t="n">
        <f aca="false">IF($B112=AB$1,1,0)</f>
        <v>0</v>
      </c>
      <c r="AC112" s="4" t="n">
        <f aca="false">IF($B112=AC$1,1,0)</f>
        <v>0</v>
      </c>
      <c r="AD112" s="4" t="n">
        <f aca="false">IF($B112=AD$1,1,0)</f>
        <v>0</v>
      </c>
      <c r="AE112" s="4" t="n">
        <f aca="false">IF($B112=AE$1,1,0)</f>
        <v>1</v>
      </c>
      <c r="AF112" s="4" t="n">
        <f aca="false">IF($B112=AF$1,1,0)</f>
        <v>0</v>
      </c>
      <c r="AG112" s="4" t="n">
        <f aca="false">IF($B112=AG$1,1,0)</f>
        <v>0</v>
      </c>
      <c r="AH112" s="4" t="n">
        <f aca="false">IF($B112=AH$1,1,0)</f>
        <v>0</v>
      </c>
      <c r="AI112" s="4" t="n">
        <f aca="false">IF($B112=AI$1,1,0)</f>
        <v>0</v>
      </c>
      <c r="AJ112" s="4" t="n">
        <f aca="false">IF($B112=AJ$1,1,0)</f>
        <v>0</v>
      </c>
      <c r="AK112" s="4" t="n">
        <f aca="false">IF($B112=AK$1,1,0)</f>
        <v>0</v>
      </c>
      <c r="AL112" s="4" t="n">
        <f aca="false">IF($B112=AL$1,1,0)</f>
        <v>0</v>
      </c>
      <c r="AM112" s="4" t="n">
        <f aca="false">IF($B112=AM$1,1,0)</f>
        <v>0</v>
      </c>
      <c r="AN112" s="4" t="n">
        <f aca="false">IF($B112=AN$1,1,0)</f>
        <v>0</v>
      </c>
      <c r="AO112" s="4" t="n">
        <f aca="false">IF($B112=AO$1,1,0)</f>
        <v>0</v>
      </c>
      <c r="AP112" s="4" t="n">
        <f aca="false">IF($B112=AP$1,1,0)</f>
        <v>0</v>
      </c>
      <c r="AQ112" s="4" t="n">
        <f aca="false">IF($B112=AQ$1,1,0)</f>
        <v>0</v>
      </c>
      <c r="AR112" s="4" t="n">
        <f aca="false">IF($B112=AR$1,1,0)</f>
        <v>0</v>
      </c>
      <c r="AS112" s="4" t="n">
        <f aca="false">IF($B112=AS$1,1,0)</f>
        <v>0</v>
      </c>
      <c r="AT112" s="4" t="n">
        <f aca="false">IF($B112=AT$1,1,0)</f>
        <v>0</v>
      </c>
      <c r="BB112" s="4" t="n">
        <f aca="false">A112</f>
        <v>111</v>
      </c>
      <c r="BC112" s="7" t="n">
        <f aca="false">ABS($T112-$AX$2)+ABS($U112-$AY$2)+ABS($V112-$AZ$2)</f>
        <v>7579.28873239436</v>
      </c>
      <c r="BD112" s="7" t="n">
        <f aca="false">ABS($T112-$AX$3)+ABS($U112-$AY$3)+ABS($V112-$AZ$3)</f>
        <v>16257.9661016949</v>
      </c>
      <c r="BE112" s="7" t="n">
        <f aca="false">ABS($T112-$AX$4)+ABS($U112-$AY$4)+ABS($V112-$AZ$4)</f>
        <v>47388.6037735849</v>
      </c>
      <c r="BF112" s="7" t="n">
        <f aca="false">MIN(BC112:BE112)</f>
        <v>7579.28873239436</v>
      </c>
      <c r="BG112" s="4" t="n">
        <f aca="false">MATCH(BF112,BC112:BE112,0)</f>
        <v>1</v>
      </c>
      <c r="BH112" s="8" t="n">
        <v>1</v>
      </c>
      <c r="BI112" s="4" t="n">
        <f aca="false">IF(BG112=BH112,0,1)</f>
        <v>0</v>
      </c>
      <c r="BK112" s="8" t="n">
        <v>1</v>
      </c>
      <c r="BL112" s="8" t="n">
        <v>1</v>
      </c>
      <c r="BM112" s="8" t="n">
        <v>1</v>
      </c>
    </row>
    <row r="113" customFormat="false" ht="15" hidden="false" customHeight="false" outlineLevel="0" collapsed="false">
      <c r="A113" s="3" t="n">
        <v>112</v>
      </c>
      <c r="B113" s="3" t="s">
        <v>31</v>
      </c>
      <c r="C113" s="3" t="n">
        <v>0</v>
      </c>
      <c r="D113" s="3" t="n">
        <v>0</v>
      </c>
      <c r="E113" s="3" t="n">
        <v>1</v>
      </c>
      <c r="F113" s="3" t="n">
        <v>0</v>
      </c>
      <c r="G113" s="3" t="n">
        <v>0</v>
      </c>
      <c r="H113" s="3" t="n">
        <v>4</v>
      </c>
      <c r="I113" s="3" t="n">
        <v>4</v>
      </c>
      <c r="J113" s="3" t="n">
        <v>5</v>
      </c>
      <c r="K113" s="3" t="n">
        <v>5</v>
      </c>
      <c r="L113" s="3" t="n">
        <v>5</v>
      </c>
      <c r="M113" s="3" t="n">
        <v>5</v>
      </c>
      <c r="N113" s="3" t="n">
        <v>4</v>
      </c>
      <c r="O113" s="3" t="n">
        <v>5</v>
      </c>
      <c r="P113" s="3" t="n">
        <v>5</v>
      </c>
      <c r="Q113" s="3" t="n">
        <v>5</v>
      </c>
      <c r="R113" s="3" t="n">
        <v>5</v>
      </c>
      <c r="S113" s="3" t="n">
        <v>5</v>
      </c>
      <c r="T113" s="3" t="n">
        <v>0</v>
      </c>
      <c r="U113" s="3" t="n">
        <v>44</v>
      </c>
      <c r="V113" s="3" t="n">
        <v>38756</v>
      </c>
      <c r="W113" s="3" t="n">
        <v>1</v>
      </c>
      <c r="X113" s="3" t="n">
        <v>3</v>
      </c>
      <c r="Y113" s="3" t="n">
        <v>1</v>
      </c>
      <c r="Z113" s="3" t="n">
        <v>1</v>
      </c>
      <c r="AA113" s="4" t="n">
        <f aca="false">IF($B113=AA$1,1,0)</f>
        <v>0</v>
      </c>
      <c r="AB113" s="4" t="n">
        <f aca="false">IF($B113=AB$1,1,0)</f>
        <v>0</v>
      </c>
      <c r="AC113" s="4" t="n">
        <f aca="false">IF($B113=AC$1,1,0)</f>
        <v>0</v>
      </c>
      <c r="AD113" s="4" t="n">
        <f aca="false">IF($B113=AD$1,1,0)</f>
        <v>0</v>
      </c>
      <c r="AE113" s="4" t="n">
        <f aca="false">IF($B113=AE$1,1,0)</f>
        <v>0</v>
      </c>
      <c r="AF113" s="4" t="n">
        <f aca="false">IF($B113=AF$1,1,0)</f>
        <v>1</v>
      </c>
      <c r="AG113" s="4" t="n">
        <f aca="false">IF($B113=AG$1,1,0)</f>
        <v>0</v>
      </c>
      <c r="AH113" s="4" t="n">
        <f aca="false">IF($B113=AH$1,1,0)</f>
        <v>0</v>
      </c>
      <c r="AI113" s="4" t="n">
        <f aca="false">IF($B113=AI$1,1,0)</f>
        <v>0</v>
      </c>
      <c r="AJ113" s="4" t="n">
        <f aca="false">IF($B113=AJ$1,1,0)</f>
        <v>0</v>
      </c>
      <c r="AK113" s="4" t="n">
        <f aca="false">IF($B113=AK$1,1,0)</f>
        <v>0</v>
      </c>
      <c r="AL113" s="4" t="n">
        <f aca="false">IF($B113=AL$1,1,0)</f>
        <v>0</v>
      </c>
      <c r="AM113" s="4" t="n">
        <f aca="false">IF($B113=AM$1,1,0)</f>
        <v>0</v>
      </c>
      <c r="AN113" s="4" t="n">
        <f aca="false">IF($B113=AN$1,1,0)</f>
        <v>0</v>
      </c>
      <c r="AO113" s="4" t="n">
        <f aca="false">IF($B113=AO$1,1,0)</f>
        <v>0</v>
      </c>
      <c r="AP113" s="4" t="n">
        <f aca="false">IF($B113=AP$1,1,0)</f>
        <v>0</v>
      </c>
      <c r="AQ113" s="4" t="n">
        <f aca="false">IF($B113=AQ$1,1,0)</f>
        <v>0</v>
      </c>
      <c r="AR113" s="4" t="n">
        <f aca="false">IF($B113=AR$1,1,0)</f>
        <v>0</v>
      </c>
      <c r="AS113" s="4" t="n">
        <f aca="false">IF($B113=AS$1,1,0)</f>
        <v>0</v>
      </c>
      <c r="AT113" s="4" t="n">
        <f aca="false">IF($B113=AT$1,1,0)</f>
        <v>0</v>
      </c>
      <c r="BB113" s="4" t="n">
        <f aca="false">A113</f>
        <v>112</v>
      </c>
      <c r="BC113" s="7" t="n">
        <f aca="false">ABS($T113-$AX$2)+ABS($U113-$AY$2)+ABS($V113-$AZ$2)</f>
        <v>15927.2887323944</v>
      </c>
      <c r="BD113" s="7" t="n">
        <f aca="false">ABS($T113-$AX$3)+ABS($U113-$AY$3)+ABS($V113-$AZ$3)</f>
        <v>7909.96610169492</v>
      </c>
      <c r="BE113" s="7" t="n">
        <f aca="false">ABS($T113-$AX$4)+ABS($U113-$AY$4)+ABS($V113-$AZ$4)</f>
        <v>39040.6037735849</v>
      </c>
      <c r="BF113" s="7" t="n">
        <f aca="false">MIN(BC113:BE113)</f>
        <v>7909.96610169492</v>
      </c>
      <c r="BG113" s="4" t="n">
        <f aca="false">MATCH(BF113,BC113:BE113,0)</f>
        <v>2</v>
      </c>
      <c r="BH113" s="8" t="n">
        <v>2</v>
      </c>
      <c r="BI113" s="4" t="n">
        <f aca="false">IF(BG113=BH113,0,1)</f>
        <v>0</v>
      </c>
      <c r="BK113" s="8" t="n">
        <v>2</v>
      </c>
      <c r="BL113" s="8" t="n">
        <v>2</v>
      </c>
      <c r="BM113" s="8" t="n">
        <v>2</v>
      </c>
    </row>
    <row r="114" customFormat="false" ht="15" hidden="false" customHeight="false" outlineLevel="0" collapsed="false">
      <c r="A114" s="3" t="n">
        <v>113</v>
      </c>
      <c r="B114" s="3" t="s">
        <v>42</v>
      </c>
      <c r="C114" s="3" t="n">
        <v>1</v>
      </c>
      <c r="D114" s="3" t="n">
        <v>0</v>
      </c>
      <c r="E114" s="3" t="n">
        <v>0</v>
      </c>
      <c r="F114" s="3" t="n">
        <v>0</v>
      </c>
      <c r="G114" s="3" t="n">
        <v>1</v>
      </c>
      <c r="H114" s="3" t="n">
        <v>3</v>
      </c>
      <c r="I114" s="3" t="n">
        <v>5</v>
      </c>
      <c r="J114" s="3" t="n">
        <v>5</v>
      </c>
      <c r="K114" s="3" t="n">
        <v>4</v>
      </c>
      <c r="L114" s="3" t="n">
        <v>5</v>
      </c>
      <c r="M114" s="3" t="n">
        <v>4</v>
      </c>
      <c r="N114" s="3" t="n">
        <v>2</v>
      </c>
      <c r="O114" s="3" t="n">
        <v>3</v>
      </c>
      <c r="P114" s="3" t="n">
        <v>3</v>
      </c>
      <c r="Q114" s="3" t="n">
        <v>3</v>
      </c>
      <c r="R114" s="3" t="n">
        <v>3</v>
      </c>
      <c r="S114" s="3" t="n">
        <v>2</v>
      </c>
      <c r="T114" s="3" t="n">
        <v>0</v>
      </c>
      <c r="U114" s="3" t="n">
        <v>39</v>
      </c>
      <c r="V114" s="3" t="n">
        <v>46736</v>
      </c>
      <c r="W114" s="3" t="n">
        <v>1</v>
      </c>
      <c r="X114" s="3" t="n">
        <v>4</v>
      </c>
      <c r="Y114" s="3" t="n">
        <v>1</v>
      </c>
      <c r="Z114" s="3" t="n">
        <v>1</v>
      </c>
      <c r="AA114" s="4" t="n">
        <f aca="false">IF($B114=AA$1,1,0)</f>
        <v>0</v>
      </c>
      <c r="AB114" s="4" t="n">
        <f aca="false">IF($B114=AB$1,1,0)</f>
        <v>0</v>
      </c>
      <c r="AC114" s="4" t="n">
        <f aca="false">IF($B114=AC$1,1,0)</f>
        <v>0</v>
      </c>
      <c r="AD114" s="4" t="n">
        <f aca="false">IF($B114=AD$1,1,0)</f>
        <v>0</v>
      </c>
      <c r="AE114" s="4" t="n">
        <f aca="false">IF($B114=AE$1,1,0)</f>
        <v>0</v>
      </c>
      <c r="AF114" s="4" t="n">
        <f aca="false">IF($B114=AF$1,1,0)</f>
        <v>0</v>
      </c>
      <c r="AG114" s="4" t="n">
        <f aca="false">IF($B114=AG$1,1,0)</f>
        <v>0</v>
      </c>
      <c r="AH114" s="4" t="n">
        <f aca="false">IF($B114=AH$1,1,0)</f>
        <v>0</v>
      </c>
      <c r="AI114" s="4" t="n">
        <f aca="false">IF($B114=AI$1,1,0)</f>
        <v>0</v>
      </c>
      <c r="AJ114" s="4" t="n">
        <f aca="false">IF($B114=AJ$1,1,0)</f>
        <v>0</v>
      </c>
      <c r="AK114" s="4" t="n">
        <f aca="false">IF($B114=AK$1,1,0)</f>
        <v>0</v>
      </c>
      <c r="AL114" s="4" t="n">
        <f aca="false">IF($B114=AL$1,1,0)</f>
        <v>0</v>
      </c>
      <c r="AM114" s="4" t="n">
        <f aca="false">IF($B114=AM$1,1,0)</f>
        <v>0</v>
      </c>
      <c r="AN114" s="4" t="n">
        <f aca="false">IF($B114=AN$1,1,0)</f>
        <v>0</v>
      </c>
      <c r="AO114" s="4" t="n">
        <f aca="false">IF($B114=AO$1,1,0)</f>
        <v>0</v>
      </c>
      <c r="AP114" s="4" t="n">
        <f aca="false">IF($B114=AP$1,1,0)</f>
        <v>0</v>
      </c>
      <c r="AQ114" s="4" t="n">
        <f aca="false">IF($B114=AQ$1,1,0)</f>
        <v>1</v>
      </c>
      <c r="AR114" s="4" t="n">
        <f aca="false">IF($B114=AR$1,1,0)</f>
        <v>0</v>
      </c>
      <c r="AS114" s="4" t="n">
        <f aca="false">IF($B114=AS$1,1,0)</f>
        <v>0</v>
      </c>
      <c r="AT114" s="4" t="n">
        <f aca="false">IF($B114=AT$1,1,0)</f>
        <v>0</v>
      </c>
      <c r="BB114" s="4" t="n">
        <f aca="false">A114</f>
        <v>113</v>
      </c>
      <c r="BC114" s="7" t="n">
        <f aca="false">ABS($T114-$AX$2)+ABS($U114-$AY$2)+ABS($V114-$AZ$2)</f>
        <v>23902.2887323944</v>
      </c>
      <c r="BD114" s="7" t="n">
        <f aca="false">ABS($T114-$AX$3)+ABS($U114-$AY$3)+ABS($V114-$AZ$3)</f>
        <v>75.4067796610154</v>
      </c>
      <c r="BE114" s="7" t="n">
        <f aca="false">ABS($T114-$AX$4)+ABS($U114-$AY$4)+ABS($V114-$AZ$4)</f>
        <v>31061.641509434</v>
      </c>
      <c r="BF114" s="7" t="n">
        <f aca="false">MIN(BC114:BE114)</f>
        <v>75.4067796610154</v>
      </c>
      <c r="BG114" s="4" t="n">
        <f aca="false">MATCH(BF114,BC114:BE114,0)</f>
        <v>2</v>
      </c>
      <c r="BH114" s="8" t="n">
        <v>2</v>
      </c>
      <c r="BI114" s="4" t="n">
        <f aca="false">IF(BG114=BH114,0,1)</f>
        <v>0</v>
      </c>
      <c r="BK114" s="8" t="n">
        <v>2</v>
      </c>
      <c r="BL114" s="8" t="n">
        <v>2</v>
      </c>
      <c r="BM114" s="8" t="n">
        <v>2</v>
      </c>
    </row>
    <row r="115" customFormat="false" ht="15" hidden="false" customHeight="false" outlineLevel="0" collapsed="false">
      <c r="A115" s="3" t="n">
        <v>114</v>
      </c>
      <c r="B115" s="3" t="s">
        <v>30</v>
      </c>
      <c r="C115" s="3" t="n">
        <v>0</v>
      </c>
      <c r="D115" s="3" t="n">
        <v>0</v>
      </c>
      <c r="E115" s="3" t="n">
        <v>1</v>
      </c>
      <c r="F115" s="3" t="n">
        <v>0</v>
      </c>
      <c r="G115" s="3" t="n">
        <v>0</v>
      </c>
      <c r="H115" s="3" t="n">
        <v>4</v>
      </c>
      <c r="I115" s="3" t="n">
        <v>4</v>
      </c>
      <c r="J115" s="3" t="n">
        <v>4</v>
      </c>
      <c r="K115" s="3" t="n">
        <v>5</v>
      </c>
      <c r="L115" s="3" t="n">
        <v>5</v>
      </c>
      <c r="M115" s="3" t="n">
        <v>4</v>
      </c>
      <c r="N115" s="3" t="n">
        <v>3</v>
      </c>
      <c r="O115" s="3" t="n">
        <v>2</v>
      </c>
      <c r="P115" s="3" t="n">
        <v>3</v>
      </c>
      <c r="Q115" s="3" t="n">
        <v>4</v>
      </c>
      <c r="R115" s="3" t="n">
        <v>3</v>
      </c>
      <c r="S115" s="3" t="n">
        <v>3</v>
      </c>
      <c r="T115" s="3" t="n">
        <v>0</v>
      </c>
      <c r="U115" s="3" t="n">
        <v>45</v>
      </c>
      <c r="V115" s="3" t="n">
        <v>88962</v>
      </c>
      <c r="W115" s="3" t="n">
        <v>1</v>
      </c>
      <c r="X115" s="3" t="n">
        <v>3</v>
      </c>
      <c r="Y115" s="3" t="n">
        <v>2</v>
      </c>
      <c r="Z115" s="3" t="n">
        <v>1</v>
      </c>
      <c r="AA115" s="4" t="n">
        <f aca="false">IF($B115=AA$1,1,0)</f>
        <v>0</v>
      </c>
      <c r="AB115" s="4" t="n">
        <f aca="false">IF($B115=AB$1,1,0)</f>
        <v>0</v>
      </c>
      <c r="AC115" s="4" t="n">
        <f aca="false">IF($B115=AC$1,1,0)</f>
        <v>0</v>
      </c>
      <c r="AD115" s="4" t="n">
        <f aca="false">IF($B115=AD$1,1,0)</f>
        <v>0</v>
      </c>
      <c r="AE115" s="4" t="n">
        <f aca="false">IF($B115=AE$1,1,0)</f>
        <v>1</v>
      </c>
      <c r="AF115" s="4" t="n">
        <f aca="false">IF($B115=AF$1,1,0)</f>
        <v>0</v>
      </c>
      <c r="AG115" s="4" t="n">
        <f aca="false">IF($B115=AG$1,1,0)</f>
        <v>0</v>
      </c>
      <c r="AH115" s="4" t="n">
        <f aca="false">IF($B115=AH$1,1,0)</f>
        <v>0</v>
      </c>
      <c r="AI115" s="4" t="n">
        <f aca="false">IF($B115=AI$1,1,0)</f>
        <v>0</v>
      </c>
      <c r="AJ115" s="4" t="n">
        <f aca="false">IF($B115=AJ$1,1,0)</f>
        <v>0</v>
      </c>
      <c r="AK115" s="4" t="n">
        <f aca="false">IF($B115=AK$1,1,0)</f>
        <v>0</v>
      </c>
      <c r="AL115" s="4" t="n">
        <f aca="false">IF($B115=AL$1,1,0)</f>
        <v>0</v>
      </c>
      <c r="AM115" s="4" t="n">
        <f aca="false">IF($B115=AM$1,1,0)</f>
        <v>0</v>
      </c>
      <c r="AN115" s="4" t="n">
        <f aca="false">IF($B115=AN$1,1,0)</f>
        <v>0</v>
      </c>
      <c r="AO115" s="4" t="n">
        <f aca="false">IF($B115=AO$1,1,0)</f>
        <v>0</v>
      </c>
      <c r="AP115" s="4" t="n">
        <f aca="false">IF($B115=AP$1,1,0)</f>
        <v>0</v>
      </c>
      <c r="AQ115" s="4" t="n">
        <f aca="false">IF($B115=AQ$1,1,0)</f>
        <v>0</v>
      </c>
      <c r="AR115" s="4" t="n">
        <f aca="false">IF($B115=AR$1,1,0)</f>
        <v>0</v>
      </c>
      <c r="AS115" s="4" t="n">
        <f aca="false">IF($B115=AS$1,1,0)</f>
        <v>0</v>
      </c>
      <c r="AT115" s="4" t="n">
        <f aca="false">IF($B115=AT$1,1,0)</f>
        <v>0</v>
      </c>
      <c r="BB115" s="4" t="n">
        <f aca="false">A115</f>
        <v>114</v>
      </c>
      <c r="BC115" s="7" t="n">
        <f aca="false">ABS($T115-$AX$2)+ABS($U115-$AY$2)+ABS($V115-$AZ$2)</f>
        <v>66134.2887323944</v>
      </c>
      <c r="BD115" s="7" t="n">
        <f aca="false">ABS($T115-$AX$3)+ABS($U115-$AY$3)+ABS($V115-$AZ$3)</f>
        <v>42302.6440677966</v>
      </c>
      <c r="BE115" s="7" t="n">
        <f aca="false">ABS($T115-$AX$4)+ABS($U115-$AY$4)+ABS($V115-$AZ$4)</f>
        <v>11170.8867924528</v>
      </c>
      <c r="BF115" s="7" t="n">
        <f aca="false">MIN(BC115:BE115)</f>
        <v>11170.8867924528</v>
      </c>
      <c r="BG115" s="4" t="n">
        <f aca="false">MATCH(BF115,BC115:BE115,0)</f>
        <v>3</v>
      </c>
      <c r="BH115" s="8" t="n">
        <v>3</v>
      </c>
      <c r="BI115" s="4" t="n">
        <f aca="false">IF(BG115=BH115,0,1)</f>
        <v>0</v>
      </c>
      <c r="BK115" s="8" t="n">
        <v>3</v>
      </c>
      <c r="BL115" s="8" t="n">
        <v>3</v>
      </c>
      <c r="BM115" s="8" t="n">
        <v>3</v>
      </c>
    </row>
    <row r="116" customFormat="false" ht="15" hidden="false" customHeight="false" outlineLevel="0" collapsed="false">
      <c r="A116" s="3" t="n">
        <v>115</v>
      </c>
      <c r="B116" s="3" t="s">
        <v>33</v>
      </c>
      <c r="C116" s="3" t="n">
        <v>0</v>
      </c>
      <c r="D116" s="3" t="n">
        <v>0</v>
      </c>
      <c r="E116" s="3" t="n">
        <v>1</v>
      </c>
      <c r="F116" s="3" t="n">
        <v>0</v>
      </c>
      <c r="G116" s="3" t="n">
        <v>0</v>
      </c>
      <c r="H116" s="3" t="n">
        <v>5</v>
      </c>
      <c r="I116" s="3" t="n">
        <v>5</v>
      </c>
      <c r="J116" s="3" t="n">
        <v>4</v>
      </c>
      <c r="K116" s="3" t="n">
        <v>5</v>
      </c>
      <c r="L116" s="3" t="n">
        <v>5</v>
      </c>
      <c r="M116" s="3" t="n">
        <v>5</v>
      </c>
      <c r="N116" s="3" t="n">
        <v>5</v>
      </c>
      <c r="O116" s="3" t="n">
        <v>5</v>
      </c>
      <c r="P116" s="3" t="n">
        <v>5</v>
      </c>
      <c r="Q116" s="3" t="n">
        <v>5</v>
      </c>
      <c r="R116" s="3" t="n">
        <v>5</v>
      </c>
      <c r="S116" s="3" t="n">
        <v>5</v>
      </c>
      <c r="T116" s="3" t="n">
        <v>0</v>
      </c>
      <c r="U116" s="3" t="n">
        <v>33</v>
      </c>
      <c r="V116" s="3" t="n">
        <v>28117</v>
      </c>
      <c r="W116" s="3" t="n">
        <v>2</v>
      </c>
      <c r="X116" s="3" t="n">
        <v>4</v>
      </c>
      <c r="Y116" s="3" t="n">
        <v>2</v>
      </c>
      <c r="Z116" s="3" t="n">
        <v>1</v>
      </c>
      <c r="AA116" s="4" t="n">
        <f aca="false">IF($B116=AA$1,1,0)</f>
        <v>0</v>
      </c>
      <c r="AB116" s="4" t="n">
        <f aca="false">IF($B116=AB$1,1,0)</f>
        <v>0</v>
      </c>
      <c r="AC116" s="4" t="n">
        <f aca="false">IF($B116=AC$1,1,0)</f>
        <v>0</v>
      </c>
      <c r="AD116" s="4" t="n">
        <f aca="false">IF($B116=AD$1,1,0)</f>
        <v>0</v>
      </c>
      <c r="AE116" s="4" t="n">
        <f aca="false">IF($B116=AE$1,1,0)</f>
        <v>0</v>
      </c>
      <c r="AF116" s="4" t="n">
        <f aca="false">IF($B116=AF$1,1,0)</f>
        <v>0</v>
      </c>
      <c r="AG116" s="4" t="n">
        <f aca="false">IF($B116=AG$1,1,0)</f>
        <v>0</v>
      </c>
      <c r="AH116" s="4" t="n">
        <f aca="false">IF($B116=AH$1,1,0)</f>
        <v>1</v>
      </c>
      <c r="AI116" s="4" t="n">
        <f aca="false">IF($B116=AI$1,1,0)</f>
        <v>0</v>
      </c>
      <c r="AJ116" s="4" t="n">
        <f aca="false">IF($B116=AJ$1,1,0)</f>
        <v>0</v>
      </c>
      <c r="AK116" s="4" t="n">
        <f aca="false">IF($B116=AK$1,1,0)</f>
        <v>0</v>
      </c>
      <c r="AL116" s="4" t="n">
        <f aca="false">IF($B116=AL$1,1,0)</f>
        <v>0</v>
      </c>
      <c r="AM116" s="4" t="n">
        <f aca="false">IF($B116=AM$1,1,0)</f>
        <v>0</v>
      </c>
      <c r="AN116" s="4" t="n">
        <f aca="false">IF($B116=AN$1,1,0)</f>
        <v>0</v>
      </c>
      <c r="AO116" s="4" t="n">
        <f aca="false">IF($B116=AO$1,1,0)</f>
        <v>0</v>
      </c>
      <c r="AP116" s="4" t="n">
        <f aca="false">IF($B116=AP$1,1,0)</f>
        <v>0</v>
      </c>
      <c r="AQ116" s="4" t="n">
        <f aca="false">IF($B116=AQ$1,1,0)</f>
        <v>0</v>
      </c>
      <c r="AR116" s="4" t="n">
        <f aca="false">IF($B116=AR$1,1,0)</f>
        <v>0</v>
      </c>
      <c r="AS116" s="4" t="n">
        <f aca="false">IF($B116=AS$1,1,0)</f>
        <v>0</v>
      </c>
      <c r="AT116" s="4" t="n">
        <f aca="false">IF($B116=AT$1,1,0)</f>
        <v>0</v>
      </c>
      <c r="BB116" s="4" t="n">
        <f aca="false">A116</f>
        <v>115</v>
      </c>
      <c r="BC116" s="7" t="n">
        <f aca="false">ABS($T116-$AX$2)+ABS($U116-$AY$2)+ABS($V116-$AZ$2)</f>
        <v>5288.7676056338</v>
      </c>
      <c r="BD116" s="7" t="n">
        <f aca="false">ABS($T116-$AX$3)+ABS($U116-$AY$3)+ABS($V116-$AZ$3)</f>
        <v>18554.7288135593</v>
      </c>
      <c r="BE116" s="7" t="n">
        <f aca="false">ABS($T116-$AX$4)+ABS($U116-$AY$4)+ABS($V116-$AZ$4)</f>
        <v>49686.641509434</v>
      </c>
      <c r="BF116" s="7" t="n">
        <f aca="false">MIN(BC116:BE116)</f>
        <v>5288.7676056338</v>
      </c>
      <c r="BG116" s="4" t="n">
        <f aca="false">MATCH(BF116,BC116:BE116,0)</f>
        <v>1</v>
      </c>
      <c r="BH116" s="8" t="n">
        <v>1</v>
      </c>
      <c r="BI116" s="4" t="n">
        <f aca="false">IF(BG116=BH116,0,1)</f>
        <v>0</v>
      </c>
      <c r="BK116" s="8" t="n">
        <v>1</v>
      </c>
      <c r="BL116" s="8" t="n">
        <v>1</v>
      </c>
      <c r="BM116" s="8" t="n">
        <v>1</v>
      </c>
    </row>
    <row r="117" customFormat="false" ht="15" hidden="false" customHeight="false" outlineLevel="0" collapsed="false">
      <c r="A117" s="3" t="n">
        <v>116</v>
      </c>
      <c r="B117" s="3" t="s">
        <v>33</v>
      </c>
      <c r="C117" s="3" t="n">
        <v>1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5</v>
      </c>
      <c r="I117" s="3" t="n">
        <v>5</v>
      </c>
      <c r="J117" s="3" t="n">
        <v>5</v>
      </c>
      <c r="K117" s="3" t="n">
        <v>5</v>
      </c>
      <c r="L117" s="3" t="n">
        <v>5</v>
      </c>
      <c r="M117" s="3" t="n">
        <v>3</v>
      </c>
      <c r="N117" s="3" t="n">
        <v>4</v>
      </c>
      <c r="O117" s="3" t="n">
        <v>4</v>
      </c>
      <c r="P117" s="3" t="n">
        <v>5</v>
      </c>
      <c r="Q117" s="3" t="n">
        <v>5</v>
      </c>
      <c r="R117" s="3" t="n">
        <v>5</v>
      </c>
      <c r="S117" s="3" t="n">
        <v>4</v>
      </c>
      <c r="T117" s="3" t="n">
        <v>0</v>
      </c>
      <c r="U117" s="3" t="n">
        <v>39</v>
      </c>
      <c r="V117" s="3" t="n">
        <v>19460</v>
      </c>
      <c r="W117" s="3" t="n">
        <v>2</v>
      </c>
      <c r="X117" s="3" t="n">
        <v>3</v>
      </c>
      <c r="Y117" s="3" t="n">
        <v>2</v>
      </c>
      <c r="Z117" s="3" t="n">
        <v>2</v>
      </c>
      <c r="AA117" s="4" t="n">
        <f aca="false">IF($B117=AA$1,1,0)</f>
        <v>0</v>
      </c>
      <c r="AB117" s="4" t="n">
        <f aca="false">IF($B117=AB$1,1,0)</f>
        <v>0</v>
      </c>
      <c r="AC117" s="4" t="n">
        <f aca="false">IF($B117=AC$1,1,0)</f>
        <v>0</v>
      </c>
      <c r="AD117" s="4" t="n">
        <f aca="false">IF($B117=AD$1,1,0)</f>
        <v>0</v>
      </c>
      <c r="AE117" s="4" t="n">
        <f aca="false">IF($B117=AE$1,1,0)</f>
        <v>0</v>
      </c>
      <c r="AF117" s="4" t="n">
        <f aca="false">IF($B117=AF$1,1,0)</f>
        <v>0</v>
      </c>
      <c r="AG117" s="4" t="n">
        <f aca="false">IF($B117=AG$1,1,0)</f>
        <v>0</v>
      </c>
      <c r="AH117" s="4" t="n">
        <f aca="false">IF($B117=AH$1,1,0)</f>
        <v>1</v>
      </c>
      <c r="AI117" s="4" t="n">
        <f aca="false">IF($B117=AI$1,1,0)</f>
        <v>0</v>
      </c>
      <c r="AJ117" s="4" t="n">
        <f aca="false">IF($B117=AJ$1,1,0)</f>
        <v>0</v>
      </c>
      <c r="AK117" s="4" t="n">
        <f aca="false">IF($B117=AK$1,1,0)</f>
        <v>0</v>
      </c>
      <c r="AL117" s="4" t="n">
        <f aca="false">IF($B117=AL$1,1,0)</f>
        <v>0</v>
      </c>
      <c r="AM117" s="4" t="n">
        <f aca="false">IF($B117=AM$1,1,0)</f>
        <v>0</v>
      </c>
      <c r="AN117" s="4" t="n">
        <f aca="false">IF($B117=AN$1,1,0)</f>
        <v>0</v>
      </c>
      <c r="AO117" s="4" t="n">
        <f aca="false">IF($B117=AO$1,1,0)</f>
        <v>0</v>
      </c>
      <c r="AP117" s="4" t="n">
        <f aca="false">IF($B117=AP$1,1,0)</f>
        <v>0</v>
      </c>
      <c r="AQ117" s="4" t="n">
        <f aca="false">IF($B117=AQ$1,1,0)</f>
        <v>0</v>
      </c>
      <c r="AR117" s="4" t="n">
        <f aca="false">IF($B117=AR$1,1,0)</f>
        <v>0</v>
      </c>
      <c r="AS117" s="4" t="n">
        <f aca="false">IF($B117=AS$1,1,0)</f>
        <v>0</v>
      </c>
      <c r="AT117" s="4" t="n">
        <f aca="false">IF($B117=AT$1,1,0)</f>
        <v>0</v>
      </c>
      <c r="BB117" s="4" t="n">
        <f aca="false">A117</f>
        <v>116</v>
      </c>
      <c r="BC117" s="7" t="n">
        <f aca="false">ABS($T117-$AX$2)+ABS($U117-$AY$2)+ABS($V117-$AZ$2)</f>
        <v>3374.66901408451</v>
      </c>
      <c r="BD117" s="7" t="n">
        <f aca="false">ABS($T117-$AX$3)+ABS($U117-$AY$3)+ABS($V117-$AZ$3)</f>
        <v>27205.7288135593</v>
      </c>
      <c r="BE117" s="7" t="n">
        <f aca="false">ABS($T117-$AX$4)+ABS($U117-$AY$4)+ABS($V117-$AZ$4)</f>
        <v>58337.641509434</v>
      </c>
      <c r="BF117" s="7" t="n">
        <f aca="false">MIN(BC117:BE117)</f>
        <v>3374.66901408451</v>
      </c>
      <c r="BG117" s="4" t="n">
        <f aca="false">MATCH(BF117,BC117:BE117,0)</f>
        <v>1</v>
      </c>
      <c r="BH117" s="8" t="n">
        <v>1</v>
      </c>
      <c r="BI117" s="4" t="n">
        <f aca="false">IF(BG117=BH117,0,1)</f>
        <v>0</v>
      </c>
      <c r="BK117" s="8" t="n">
        <v>1</v>
      </c>
      <c r="BL117" s="8" t="n">
        <v>1</v>
      </c>
      <c r="BM117" s="8" t="n">
        <v>1</v>
      </c>
    </row>
    <row r="118" customFormat="false" ht="15" hidden="false" customHeight="false" outlineLevel="0" collapsed="false">
      <c r="A118" s="3" t="n">
        <v>117</v>
      </c>
      <c r="B118" s="3" t="s">
        <v>33</v>
      </c>
      <c r="C118" s="3" t="n">
        <v>1</v>
      </c>
      <c r="D118" s="3" t="n">
        <v>0</v>
      </c>
      <c r="E118" s="3" t="n">
        <v>0</v>
      </c>
      <c r="F118" s="3" t="n">
        <v>0</v>
      </c>
      <c r="G118" s="3" t="n">
        <v>4</v>
      </c>
      <c r="H118" s="3" t="n">
        <v>4</v>
      </c>
      <c r="I118" s="3" t="n">
        <v>3</v>
      </c>
      <c r="J118" s="3" t="n">
        <v>4</v>
      </c>
      <c r="K118" s="3" t="n">
        <v>3</v>
      </c>
      <c r="L118" s="3" t="n">
        <v>5</v>
      </c>
      <c r="M118" s="3" t="n">
        <v>3</v>
      </c>
      <c r="N118" s="3" t="n">
        <v>4</v>
      </c>
      <c r="O118" s="3" t="n">
        <v>3</v>
      </c>
      <c r="P118" s="3" t="n">
        <v>3</v>
      </c>
      <c r="Q118" s="3" t="n">
        <v>3</v>
      </c>
      <c r="R118" s="3" t="n">
        <v>3</v>
      </c>
      <c r="S118" s="3" t="n">
        <v>3</v>
      </c>
      <c r="T118" s="3" t="n">
        <v>0</v>
      </c>
      <c r="U118" s="3" t="n">
        <v>58</v>
      </c>
      <c r="V118" s="3" t="n">
        <v>31482</v>
      </c>
      <c r="W118" s="3" t="n">
        <v>2</v>
      </c>
      <c r="X118" s="3" t="n">
        <v>4</v>
      </c>
      <c r="Y118" s="3" t="n">
        <v>2</v>
      </c>
      <c r="Z118" s="3" t="n">
        <v>4</v>
      </c>
      <c r="AA118" s="4" t="n">
        <f aca="false">IF($B118=AA$1,1,0)</f>
        <v>0</v>
      </c>
      <c r="AB118" s="4" t="n">
        <f aca="false">IF($B118=AB$1,1,0)</f>
        <v>0</v>
      </c>
      <c r="AC118" s="4" t="n">
        <f aca="false">IF($B118=AC$1,1,0)</f>
        <v>0</v>
      </c>
      <c r="AD118" s="4" t="n">
        <f aca="false">IF($B118=AD$1,1,0)</f>
        <v>0</v>
      </c>
      <c r="AE118" s="4" t="n">
        <f aca="false">IF($B118=AE$1,1,0)</f>
        <v>0</v>
      </c>
      <c r="AF118" s="4" t="n">
        <f aca="false">IF($B118=AF$1,1,0)</f>
        <v>0</v>
      </c>
      <c r="AG118" s="4" t="n">
        <f aca="false">IF($B118=AG$1,1,0)</f>
        <v>0</v>
      </c>
      <c r="AH118" s="4" t="n">
        <f aca="false">IF($B118=AH$1,1,0)</f>
        <v>1</v>
      </c>
      <c r="AI118" s="4" t="n">
        <f aca="false">IF($B118=AI$1,1,0)</f>
        <v>0</v>
      </c>
      <c r="AJ118" s="4" t="n">
        <f aca="false">IF($B118=AJ$1,1,0)</f>
        <v>0</v>
      </c>
      <c r="AK118" s="4" t="n">
        <f aca="false">IF($B118=AK$1,1,0)</f>
        <v>0</v>
      </c>
      <c r="AL118" s="4" t="n">
        <f aca="false">IF($B118=AL$1,1,0)</f>
        <v>0</v>
      </c>
      <c r="AM118" s="4" t="n">
        <f aca="false">IF($B118=AM$1,1,0)</f>
        <v>0</v>
      </c>
      <c r="AN118" s="4" t="n">
        <f aca="false">IF($B118=AN$1,1,0)</f>
        <v>0</v>
      </c>
      <c r="AO118" s="4" t="n">
        <f aca="false">IF($B118=AO$1,1,0)</f>
        <v>0</v>
      </c>
      <c r="AP118" s="4" t="n">
        <f aca="false">IF($B118=AP$1,1,0)</f>
        <v>0</v>
      </c>
      <c r="AQ118" s="4" t="n">
        <f aca="false">IF($B118=AQ$1,1,0)</f>
        <v>0</v>
      </c>
      <c r="AR118" s="4" t="n">
        <f aca="false">IF($B118=AR$1,1,0)</f>
        <v>0</v>
      </c>
      <c r="AS118" s="4" t="n">
        <f aca="false">IF($B118=AS$1,1,0)</f>
        <v>0</v>
      </c>
      <c r="AT118" s="4" t="n">
        <f aca="false">IF($B118=AT$1,1,0)</f>
        <v>0</v>
      </c>
      <c r="BB118" s="4" t="n">
        <f aca="false">A118</f>
        <v>117</v>
      </c>
      <c r="BC118" s="7" t="n">
        <f aca="false">ABS($T118-$AX$2)+ABS($U118-$AY$2)+ABS($V118-$AZ$2)</f>
        <v>8667.28873239437</v>
      </c>
      <c r="BD118" s="7" t="n">
        <f aca="false">ABS($T118-$AX$3)+ABS($U118-$AY$3)+ABS($V118-$AZ$3)</f>
        <v>15197.9661016949</v>
      </c>
      <c r="BE118" s="7" t="n">
        <f aca="false">ABS($T118-$AX$4)+ABS($U118-$AY$4)+ABS($V118-$AZ$4)</f>
        <v>46328.6037735849</v>
      </c>
      <c r="BF118" s="7" t="n">
        <f aca="false">MIN(BC118:BE118)</f>
        <v>8667.28873239437</v>
      </c>
      <c r="BG118" s="4" t="n">
        <f aca="false">MATCH(BF118,BC118:BE118,0)</f>
        <v>1</v>
      </c>
      <c r="BH118" s="8" t="n">
        <v>1</v>
      </c>
      <c r="BI118" s="4" t="n">
        <f aca="false">IF(BG118=BH118,0,1)</f>
        <v>0</v>
      </c>
      <c r="BK118" s="8" t="n">
        <v>2</v>
      </c>
      <c r="BL118" s="8" t="n">
        <v>1</v>
      </c>
      <c r="BM118" s="8" t="n">
        <v>1</v>
      </c>
    </row>
    <row r="119" customFormat="false" ht="15" hidden="false" customHeight="false" outlineLevel="0" collapsed="false">
      <c r="A119" s="3" t="n">
        <v>118</v>
      </c>
      <c r="B119" s="3" t="s">
        <v>36</v>
      </c>
      <c r="C119" s="3" t="n">
        <v>1</v>
      </c>
      <c r="D119" s="3" t="n">
        <v>1</v>
      </c>
      <c r="E119" s="3" t="n">
        <v>0</v>
      </c>
      <c r="F119" s="3" t="n">
        <v>0</v>
      </c>
      <c r="G119" s="3" t="n">
        <v>0</v>
      </c>
      <c r="H119" s="3" t="n">
        <v>5</v>
      </c>
      <c r="I119" s="3" t="n">
        <v>5</v>
      </c>
      <c r="J119" s="3" t="n">
        <v>5</v>
      </c>
      <c r="K119" s="3" t="n">
        <v>5</v>
      </c>
      <c r="L119" s="3" t="n">
        <v>5</v>
      </c>
      <c r="M119" s="3" t="n">
        <v>5</v>
      </c>
      <c r="N119" s="3" t="n">
        <v>5</v>
      </c>
      <c r="O119" s="3" t="n">
        <v>5</v>
      </c>
      <c r="P119" s="3" t="n">
        <v>5</v>
      </c>
      <c r="Q119" s="3" t="n">
        <v>5</v>
      </c>
      <c r="R119" s="3" t="n">
        <v>5</v>
      </c>
      <c r="S119" s="3" t="n">
        <v>5</v>
      </c>
      <c r="T119" s="3" t="n">
        <v>0</v>
      </c>
      <c r="U119" s="3" t="n">
        <v>32</v>
      </c>
      <c r="V119" s="3" t="n">
        <v>24397</v>
      </c>
      <c r="W119" s="3" t="n">
        <v>1</v>
      </c>
      <c r="X119" s="3" t="n">
        <v>4</v>
      </c>
      <c r="Y119" s="3" t="n">
        <v>2</v>
      </c>
      <c r="Z119" s="3" t="n">
        <v>2</v>
      </c>
      <c r="AA119" s="4" t="n">
        <f aca="false">IF($B119=AA$1,1,0)</f>
        <v>0</v>
      </c>
      <c r="AB119" s="4" t="n">
        <f aca="false">IF($B119=AB$1,1,0)</f>
        <v>0</v>
      </c>
      <c r="AC119" s="4" t="n">
        <f aca="false">IF($B119=AC$1,1,0)</f>
        <v>0</v>
      </c>
      <c r="AD119" s="4" t="n">
        <f aca="false">IF($B119=AD$1,1,0)</f>
        <v>0</v>
      </c>
      <c r="AE119" s="4" t="n">
        <f aca="false">IF($B119=AE$1,1,0)</f>
        <v>0</v>
      </c>
      <c r="AF119" s="4" t="n">
        <f aca="false">IF($B119=AF$1,1,0)</f>
        <v>0</v>
      </c>
      <c r="AG119" s="4" t="n">
        <f aca="false">IF($B119=AG$1,1,0)</f>
        <v>0</v>
      </c>
      <c r="AH119" s="4" t="n">
        <f aca="false">IF($B119=AH$1,1,0)</f>
        <v>0</v>
      </c>
      <c r="AI119" s="4" t="n">
        <f aca="false">IF($B119=AI$1,1,0)</f>
        <v>0</v>
      </c>
      <c r="AJ119" s="4" t="n">
        <f aca="false">IF($B119=AJ$1,1,0)</f>
        <v>0</v>
      </c>
      <c r="AK119" s="4" t="n">
        <f aca="false">IF($B119=AK$1,1,0)</f>
        <v>1</v>
      </c>
      <c r="AL119" s="4" t="n">
        <f aca="false">IF($B119=AL$1,1,0)</f>
        <v>0</v>
      </c>
      <c r="AM119" s="4" t="n">
        <f aca="false">IF($B119=AM$1,1,0)</f>
        <v>0</v>
      </c>
      <c r="AN119" s="4" t="n">
        <f aca="false">IF($B119=AN$1,1,0)</f>
        <v>0</v>
      </c>
      <c r="AO119" s="4" t="n">
        <f aca="false">IF($B119=AO$1,1,0)</f>
        <v>0</v>
      </c>
      <c r="AP119" s="4" t="n">
        <f aca="false">IF($B119=AP$1,1,0)</f>
        <v>0</v>
      </c>
      <c r="AQ119" s="4" t="n">
        <f aca="false">IF($B119=AQ$1,1,0)</f>
        <v>0</v>
      </c>
      <c r="AR119" s="4" t="n">
        <f aca="false">IF($B119=AR$1,1,0)</f>
        <v>0</v>
      </c>
      <c r="AS119" s="4" t="n">
        <f aca="false">IF($B119=AS$1,1,0)</f>
        <v>0</v>
      </c>
      <c r="AT119" s="4" t="n">
        <f aca="false">IF($B119=AT$1,1,0)</f>
        <v>0</v>
      </c>
      <c r="BB119" s="4" t="n">
        <f aca="false">A119</f>
        <v>118</v>
      </c>
      <c r="BC119" s="7" t="n">
        <f aca="false">ABS($T119-$AX$2)+ABS($U119-$AY$2)+ABS($V119-$AZ$2)</f>
        <v>1569.7676056338</v>
      </c>
      <c r="BD119" s="7" t="n">
        <f aca="false">ABS($T119-$AX$3)+ABS($U119-$AY$3)+ABS($V119-$AZ$3)</f>
        <v>22275.7288135593</v>
      </c>
      <c r="BE119" s="7" t="n">
        <f aca="false">ABS($T119-$AX$4)+ABS($U119-$AY$4)+ABS($V119-$AZ$4)</f>
        <v>53407.641509434</v>
      </c>
      <c r="BF119" s="7" t="n">
        <f aca="false">MIN(BC119:BE119)</f>
        <v>1569.7676056338</v>
      </c>
      <c r="BG119" s="4" t="n">
        <f aca="false">MATCH(BF119,BC119:BE119,0)</f>
        <v>1</v>
      </c>
      <c r="BH119" s="8" t="n">
        <v>1</v>
      </c>
      <c r="BI119" s="4" t="n">
        <f aca="false">IF(BG119=BH119,0,1)</f>
        <v>0</v>
      </c>
      <c r="BK119" s="8" t="n">
        <v>1</v>
      </c>
      <c r="BL119" s="8" t="n">
        <v>1</v>
      </c>
      <c r="BM119" s="8" t="n">
        <v>1</v>
      </c>
    </row>
    <row r="120" customFormat="false" ht="15" hidden="false" customHeight="false" outlineLevel="0" collapsed="false">
      <c r="A120" s="3" t="n">
        <v>119</v>
      </c>
      <c r="B120" s="3" t="s">
        <v>33</v>
      </c>
      <c r="C120" s="3" t="n">
        <v>1</v>
      </c>
      <c r="D120" s="3" t="n">
        <v>0</v>
      </c>
      <c r="E120" s="3" t="n">
        <v>1</v>
      </c>
      <c r="F120" s="3" t="n">
        <v>0</v>
      </c>
      <c r="G120" s="3" t="n">
        <v>0</v>
      </c>
      <c r="H120" s="3" t="n">
        <v>4</v>
      </c>
      <c r="I120" s="3" t="n">
        <v>4</v>
      </c>
      <c r="J120" s="3" t="n">
        <v>4</v>
      </c>
      <c r="K120" s="3" t="n">
        <v>4</v>
      </c>
      <c r="L120" s="3" t="n">
        <v>5</v>
      </c>
      <c r="M120" s="3" t="n">
        <v>4</v>
      </c>
      <c r="N120" s="3" t="n">
        <v>4</v>
      </c>
      <c r="O120" s="3" t="n">
        <v>5</v>
      </c>
      <c r="P120" s="3" t="n">
        <v>5</v>
      </c>
      <c r="Q120" s="3" t="n">
        <v>5</v>
      </c>
      <c r="R120" s="3" t="n">
        <v>5</v>
      </c>
      <c r="S120" s="3" t="n">
        <v>4</v>
      </c>
      <c r="T120" s="3" t="n">
        <v>0</v>
      </c>
      <c r="U120" s="3" t="n">
        <v>35</v>
      </c>
      <c r="V120" s="3" t="n">
        <v>20924</v>
      </c>
      <c r="W120" s="3" t="n">
        <v>1</v>
      </c>
      <c r="X120" s="3" t="n">
        <v>4</v>
      </c>
      <c r="Y120" s="3" t="n">
        <v>2</v>
      </c>
      <c r="Z120" s="3" t="n">
        <v>2</v>
      </c>
      <c r="AA120" s="4" t="n">
        <f aca="false">IF($B120=AA$1,1,0)</f>
        <v>0</v>
      </c>
      <c r="AB120" s="4" t="n">
        <f aca="false">IF($B120=AB$1,1,0)</f>
        <v>0</v>
      </c>
      <c r="AC120" s="4" t="n">
        <f aca="false">IF($B120=AC$1,1,0)</f>
        <v>0</v>
      </c>
      <c r="AD120" s="4" t="n">
        <f aca="false">IF($B120=AD$1,1,0)</f>
        <v>0</v>
      </c>
      <c r="AE120" s="4" t="n">
        <f aca="false">IF($B120=AE$1,1,0)</f>
        <v>0</v>
      </c>
      <c r="AF120" s="4" t="n">
        <f aca="false">IF($B120=AF$1,1,0)</f>
        <v>0</v>
      </c>
      <c r="AG120" s="4" t="n">
        <f aca="false">IF($B120=AG$1,1,0)</f>
        <v>0</v>
      </c>
      <c r="AH120" s="4" t="n">
        <f aca="false">IF($B120=AH$1,1,0)</f>
        <v>1</v>
      </c>
      <c r="AI120" s="4" t="n">
        <f aca="false">IF($B120=AI$1,1,0)</f>
        <v>0</v>
      </c>
      <c r="AJ120" s="4" t="n">
        <f aca="false">IF($B120=AJ$1,1,0)</f>
        <v>0</v>
      </c>
      <c r="AK120" s="4" t="n">
        <f aca="false">IF($B120=AK$1,1,0)</f>
        <v>0</v>
      </c>
      <c r="AL120" s="4" t="n">
        <f aca="false">IF($B120=AL$1,1,0)</f>
        <v>0</v>
      </c>
      <c r="AM120" s="4" t="n">
        <f aca="false">IF($B120=AM$1,1,0)</f>
        <v>0</v>
      </c>
      <c r="AN120" s="4" t="n">
        <f aca="false">IF($B120=AN$1,1,0)</f>
        <v>0</v>
      </c>
      <c r="AO120" s="4" t="n">
        <f aca="false">IF($B120=AO$1,1,0)</f>
        <v>0</v>
      </c>
      <c r="AP120" s="4" t="n">
        <f aca="false">IF($B120=AP$1,1,0)</f>
        <v>0</v>
      </c>
      <c r="AQ120" s="4" t="n">
        <f aca="false">IF($B120=AQ$1,1,0)</f>
        <v>0</v>
      </c>
      <c r="AR120" s="4" t="n">
        <f aca="false">IF($B120=AR$1,1,0)</f>
        <v>0</v>
      </c>
      <c r="AS120" s="4" t="n">
        <f aca="false">IF($B120=AS$1,1,0)</f>
        <v>0</v>
      </c>
      <c r="AT120" s="4" t="n">
        <f aca="false">IF($B120=AT$1,1,0)</f>
        <v>0</v>
      </c>
      <c r="BB120" s="4" t="n">
        <f aca="false">A120</f>
        <v>119</v>
      </c>
      <c r="BC120" s="7" t="n">
        <f aca="false">ABS($T120-$AX$2)+ABS($U120-$AY$2)+ABS($V120-$AZ$2)</f>
        <v>1914.14788732395</v>
      </c>
      <c r="BD120" s="7" t="n">
        <f aca="false">ABS($T120-$AX$3)+ABS($U120-$AY$3)+ABS($V120-$AZ$3)</f>
        <v>25745.7288135593</v>
      </c>
      <c r="BE120" s="7" t="n">
        <f aca="false">ABS($T120-$AX$4)+ABS($U120-$AY$4)+ABS($V120-$AZ$4)</f>
        <v>56877.641509434</v>
      </c>
      <c r="BF120" s="7" t="n">
        <f aca="false">MIN(BC120:BE120)</f>
        <v>1914.14788732395</v>
      </c>
      <c r="BG120" s="4" t="n">
        <f aca="false">MATCH(BF120,BC120:BE120,0)</f>
        <v>1</v>
      </c>
      <c r="BH120" s="8" t="n">
        <v>1</v>
      </c>
      <c r="BI120" s="4" t="n">
        <f aca="false">IF(BG120=BH120,0,1)</f>
        <v>0</v>
      </c>
      <c r="BK120" s="8" t="n">
        <v>1</v>
      </c>
      <c r="BL120" s="8" t="n">
        <v>1</v>
      </c>
      <c r="BM120" s="8" t="n">
        <v>1</v>
      </c>
    </row>
    <row r="121" customFormat="false" ht="15" hidden="false" customHeight="false" outlineLevel="0" collapsed="false">
      <c r="A121" s="3" t="n">
        <v>120</v>
      </c>
      <c r="B121" s="3" t="s">
        <v>38</v>
      </c>
      <c r="C121" s="3" t="n">
        <v>0</v>
      </c>
      <c r="D121" s="3" t="n">
        <v>0</v>
      </c>
      <c r="E121" s="3" t="n">
        <v>1</v>
      </c>
      <c r="F121" s="3" t="n">
        <v>0</v>
      </c>
      <c r="G121" s="3" t="n">
        <v>0</v>
      </c>
      <c r="H121" s="3" t="n">
        <v>5</v>
      </c>
      <c r="I121" s="3" t="n">
        <v>4</v>
      </c>
      <c r="J121" s="3" t="n">
        <v>4</v>
      </c>
      <c r="K121" s="3" t="n">
        <v>4</v>
      </c>
      <c r="L121" s="3" t="n">
        <v>5</v>
      </c>
      <c r="M121" s="3" t="n">
        <v>4</v>
      </c>
      <c r="N121" s="3" t="n">
        <v>4</v>
      </c>
      <c r="O121" s="3" t="n">
        <v>5</v>
      </c>
      <c r="P121" s="3" t="n">
        <v>3</v>
      </c>
      <c r="Q121" s="3" t="n">
        <v>4</v>
      </c>
      <c r="R121" s="3" t="n">
        <v>5</v>
      </c>
      <c r="S121" s="3" t="n">
        <v>4</v>
      </c>
      <c r="T121" s="3" t="n">
        <v>1</v>
      </c>
      <c r="U121" s="3" t="n">
        <v>45</v>
      </c>
      <c r="V121" s="3" t="n">
        <v>66648</v>
      </c>
      <c r="W121" s="3" t="n">
        <v>1</v>
      </c>
      <c r="X121" s="3" t="n">
        <v>4</v>
      </c>
      <c r="Y121" s="3" t="n">
        <v>1</v>
      </c>
      <c r="Z121" s="3" t="n">
        <v>2</v>
      </c>
      <c r="AA121" s="4" t="n">
        <f aca="false">IF($B121=AA$1,1,0)</f>
        <v>0</v>
      </c>
      <c r="AB121" s="4" t="n">
        <f aca="false">IF($B121=AB$1,1,0)</f>
        <v>0</v>
      </c>
      <c r="AC121" s="4" t="n">
        <f aca="false">IF($B121=AC$1,1,0)</f>
        <v>0</v>
      </c>
      <c r="AD121" s="4" t="n">
        <f aca="false">IF($B121=AD$1,1,0)</f>
        <v>0</v>
      </c>
      <c r="AE121" s="4" t="n">
        <f aca="false">IF($B121=AE$1,1,0)</f>
        <v>0</v>
      </c>
      <c r="AF121" s="4" t="n">
        <f aca="false">IF($B121=AF$1,1,0)</f>
        <v>0</v>
      </c>
      <c r="AG121" s="4" t="n">
        <f aca="false">IF($B121=AG$1,1,0)</f>
        <v>0</v>
      </c>
      <c r="AH121" s="4" t="n">
        <f aca="false">IF($B121=AH$1,1,0)</f>
        <v>0</v>
      </c>
      <c r="AI121" s="4" t="n">
        <f aca="false">IF($B121=AI$1,1,0)</f>
        <v>0</v>
      </c>
      <c r="AJ121" s="4" t="n">
        <f aca="false">IF($B121=AJ$1,1,0)</f>
        <v>0</v>
      </c>
      <c r="AK121" s="4" t="n">
        <f aca="false">IF($B121=AK$1,1,0)</f>
        <v>0</v>
      </c>
      <c r="AL121" s="4" t="n">
        <f aca="false">IF($B121=AL$1,1,0)</f>
        <v>0</v>
      </c>
      <c r="AM121" s="4" t="n">
        <f aca="false">IF($B121=AM$1,1,0)</f>
        <v>1</v>
      </c>
      <c r="AN121" s="4" t="n">
        <f aca="false">IF($B121=AN$1,1,0)</f>
        <v>0</v>
      </c>
      <c r="AO121" s="4" t="n">
        <f aca="false">IF($B121=AO$1,1,0)</f>
        <v>0</v>
      </c>
      <c r="AP121" s="4" t="n">
        <f aca="false">IF($B121=AP$1,1,0)</f>
        <v>0</v>
      </c>
      <c r="AQ121" s="4" t="n">
        <f aca="false">IF($B121=AQ$1,1,0)</f>
        <v>0</v>
      </c>
      <c r="AR121" s="4" t="n">
        <f aca="false">IF($B121=AR$1,1,0)</f>
        <v>0</v>
      </c>
      <c r="AS121" s="4" t="n">
        <f aca="false">IF($B121=AS$1,1,0)</f>
        <v>0</v>
      </c>
      <c r="AT121" s="4" t="n">
        <f aca="false">IF($B121=AT$1,1,0)</f>
        <v>0</v>
      </c>
      <c r="BB121" s="4" t="n">
        <f aca="false">A121</f>
        <v>120</v>
      </c>
      <c r="BC121" s="7" t="n">
        <f aca="false">ABS($T121-$AX$2)+ABS($U121-$AY$2)+ABS($V121-$AZ$2)</f>
        <v>43820.8521126761</v>
      </c>
      <c r="BD121" s="7" t="n">
        <f aca="false">ABS($T121-$AX$3)+ABS($U121-$AY$3)+ABS($V121-$AZ$3)</f>
        <v>19989.2711864407</v>
      </c>
      <c r="BE121" s="7" t="n">
        <f aca="false">ABS($T121-$AX$4)+ABS($U121-$AY$4)+ABS($V121-$AZ$4)</f>
        <v>11150.0754716981</v>
      </c>
      <c r="BF121" s="7" t="n">
        <f aca="false">MIN(BC121:BE121)</f>
        <v>11150.0754716981</v>
      </c>
      <c r="BG121" s="4" t="n">
        <f aca="false">MATCH(BF121,BC121:BE121,0)</f>
        <v>3</v>
      </c>
      <c r="BH121" s="8" t="n">
        <v>3</v>
      </c>
      <c r="BI121" s="4" t="n">
        <f aca="false">IF(BG121=BH121,0,1)</f>
        <v>0</v>
      </c>
      <c r="BK121" s="8" t="n">
        <v>3</v>
      </c>
      <c r="BL121" s="8" t="n">
        <v>3</v>
      </c>
      <c r="BM121" s="8" t="n">
        <v>3</v>
      </c>
    </row>
    <row r="122" customFormat="false" ht="15" hidden="false" customHeight="false" outlineLevel="0" collapsed="false">
      <c r="A122" s="3" t="n">
        <v>121</v>
      </c>
      <c r="B122" s="3" t="s">
        <v>35</v>
      </c>
      <c r="C122" s="3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3</v>
      </c>
      <c r="I122" s="3" t="n">
        <v>4</v>
      </c>
      <c r="J122" s="3" t="n">
        <v>5</v>
      </c>
      <c r="K122" s="3" t="n">
        <v>4</v>
      </c>
      <c r="L122" s="3" t="n">
        <v>5</v>
      </c>
      <c r="M122" s="3" t="n">
        <v>5</v>
      </c>
      <c r="N122" s="3" t="n">
        <v>6</v>
      </c>
      <c r="O122" s="3" t="n">
        <v>3</v>
      </c>
      <c r="P122" s="3" t="n">
        <v>3</v>
      </c>
      <c r="Q122" s="3" t="n">
        <v>4</v>
      </c>
      <c r="R122" s="3" t="n">
        <v>4</v>
      </c>
      <c r="S122" s="3" t="n">
        <v>5</v>
      </c>
      <c r="T122" s="3" t="n">
        <v>0</v>
      </c>
      <c r="U122" s="3" t="n">
        <v>55</v>
      </c>
      <c r="V122" s="3" t="n">
        <v>57404</v>
      </c>
      <c r="W122" s="3" t="n">
        <v>2</v>
      </c>
      <c r="X122" s="3" t="n">
        <v>4</v>
      </c>
      <c r="Y122" s="3" t="n">
        <v>2</v>
      </c>
      <c r="Z122" s="3" t="n">
        <v>2</v>
      </c>
      <c r="AA122" s="4" t="n">
        <f aca="false">IF($B122=AA$1,1,0)</f>
        <v>0</v>
      </c>
      <c r="AB122" s="4" t="n">
        <f aca="false">IF($B122=AB$1,1,0)</f>
        <v>0</v>
      </c>
      <c r="AC122" s="4" t="n">
        <f aca="false">IF($B122=AC$1,1,0)</f>
        <v>0</v>
      </c>
      <c r="AD122" s="4" t="n">
        <f aca="false">IF($B122=AD$1,1,0)</f>
        <v>0</v>
      </c>
      <c r="AE122" s="4" t="n">
        <f aca="false">IF($B122=AE$1,1,0)</f>
        <v>0</v>
      </c>
      <c r="AF122" s="4" t="n">
        <f aca="false">IF($B122=AF$1,1,0)</f>
        <v>0</v>
      </c>
      <c r="AG122" s="4" t="n">
        <f aca="false">IF($B122=AG$1,1,0)</f>
        <v>0</v>
      </c>
      <c r="AH122" s="4" t="n">
        <f aca="false">IF($B122=AH$1,1,0)</f>
        <v>0</v>
      </c>
      <c r="AI122" s="4" t="n">
        <f aca="false">IF($B122=AI$1,1,0)</f>
        <v>0</v>
      </c>
      <c r="AJ122" s="4" t="n">
        <f aca="false">IF($B122=AJ$1,1,0)</f>
        <v>1</v>
      </c>
      <c r="AK122" s="4" t="n">
        <f aca="false">IF($B122=AK$1,1,0)</f>
        <v>0</v>
      </c>
      <c r="AL122" s="4" t="n">
        <f aca="false">IF($B122=AL$1,1,0)</f>
        <v>0</v>
      </c>
      <c r="AM122" s="4" t="n">
        <f aca="false">IF($B122=AM$1,1,0)</f>
        <v>0</v>
      </c>
      <c r="AN122" s="4" t="n">
        <f aca="false">IF($B122=AN$1,1,0)</f>
        <v>0</v>
      </c>
      <c r="AO122" s="4" t="n">
        <f aca="false">IF($B122=AO$1,1,0)</f>
        <v>0</v>
      </c>
      <c r="AP122" s="4" t="n">
        <f aca="false">IF($B122=AP$1,1,0)</f>
        <v>0</v>
      </c>
      <c r="AQ122" s="4" t="n">
        <f aca="false">IF($B122=AQ$1,1,0)</f>
        <v>0</v>
      </c>
      <c r="AR122" s="4" t="n">
        <f aca="false">IF($B122=AR$1,1,0)</f>
        <v>0</v>
      </c>
      <c r="AS122" s="4" t="n">
        <f aca="false">IF($B122=AS$1,1,0)</f>
        <v>0</v>
      </c>
      <c r="AT122" s="4" t="n">
        <f aca="false">IF($B122=AT$1,1,0)</f>
        <v>0</v>
      </c>
      <c r="BB122" s="4" t="n">
        <f aca="false">A122</f>
        <v>121</v>
      </c>
      <c r="BC122" s="7" t="n">
        <f aca="false">ABS($T122-$AX$2)+ABS($U122-$AY$2)+ABS($V122-$AZ$2)</f>
        <v>34586.2887323944</v>
      </c>
      <c r="BD122" s="7" t="n">
        <f aca="false">ABS($T122-$AX$3)+ABS($U122-$AY$3)+ABS($V122-$AZ$3)</f>
        <v>10754.6440677966</v>
      </c>
      <c r="BE122" s="7" t="n">
        <f aca="false">ABS($T122-$AX$4)+ABS($U122-$AY$4)+ABS($V122-$AZ$4)</f>
        <v>20403.6037735849</v>
      </c>
      <c r="BF122" s="7" t="n">
        <f aca="false">MIN(BC122:BE122)</f>
        <v>10754.6440677966</v>
      </c>
      <c r="BG122" s="4" t="n">
        <f aca="false">MATCH(BF122,BC122:BE122,0)</f>
        <v>2</v>
      </c>
      <c r="BH122" s="8" t="n">
        <v>2</v>
      </c>
      <c r="BI122" s="4" t="n">
        <f aca="false">IF(BG122=BH122,0,1)</f>
        <v>0</v>
      </c>
      <c r="BK122" s="8" t="n">
        <v>2</v>
      </c>
      <c r="BL122" s="8" t="n">
        <v>2</v>
      </c>
      <c r="BM122" s="8" t="n">
        <v>2</v>
      </c>
    </row>
    <row r="123" customFormat="false" ht="15" hidden="false" customHeight="false" outlineLevel="0" collapsed="false">
      <c r="A123" s="3" t="n">
        <v>122</v>
      </c>
      <c r="B123" s="3" t="s">
        <v>33</v>
      </c>
      <c r="C123" s="3" t="n">
        <v>1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5</v>
      </c>
      <c r="I123" s="3" t="n">
        <v>5</v>
      </c>
      <c r="J123" s="3" t="n">
        <v>5</v>
      </c>
      <c r="K123" s="3" t="n">
        <v>5</v>
      </c>
      <c r="L123" s="3" t="n">
        <v>5</v>
      </c>
      <c r="M123" s="3" t="n">
        <v>5</v>
      </c>
      <c r="N123" s="3" t="n">
        <v>5</v>
      </c>
      <c r="O123" s="3" t="n">
        <v>5</v>
      </c>
      <c r="P123" s="3" t="n">
        <v>5</v>
      </c>
      <c r="Q123" s="3" t="n">
        <v>5</v>
      </c>
      <c r="R123" s="3" t="n">
        <v>5</v>
      </c>
      <c r="S123" s="3" t="n">
        <v>5</v>
      </c>
      <c r="T123" s="3" t="n">
        <v>0</v>
      </c>
      <c r="U123" s="3" t="n">
        <v>29</v>
      </c>
      <c r="V123" s="3" t="n">
        <v>15332</v>
      </c>
      <c r="W123" s="3" t="n">
        <v>1</v>
      </c>
      <c r="X123" s="3" t="n">
        <v>1</v>
      </c>
      <c r="Y123" s="3" t="n">
        <v>1</v>
      </c>
      <c r="Z123" s="3" t="n">
        <v>1</v>
      </c>
      <c r="AA123" s="4" t="n">
        <f aca="false">IF($B123=AA$1,1,0)</f>
        <v>0</v>
      </c>
      <c r="AB123" s="4" t="n">
        <f aca="false">IF($B123=AB$1,1,0)</f>
        <v>0</v>
      </c>
      <c r="AC123" s="4" t="n">
        <f aca="false">IF($B123=AC$1,1,0)</f>
        <v>0</v>
      </c>
      <c r="AD123" s="4" t="n">
        <f aca="false">IF($B123=AD$1,1,0)</f>
        <v>0</v>
      </c>
      <c r="AE123" s="4" t="n">
        <f aca="false">IF($B123=AE$1,1,0)</f>
        <v>0</v>
      </c>
      <c r="AF123" s="4" t="n">
        <f aca="false">IF($B123=AF$1,1,0)</f>
        <v>0</v>
      </c>
      <c r="AG123" s="4" t="n">
        <f aca="false">IF($B123=AG$1,1,0)</f>
        <v>0</v>
      </c>
      <c r="AH123" s="4" t="n">
        <f aca="false">IF($B123=AH$1,1,0)</f>
        <v>1</v>
      </c>
      <c r="AI123" s="4" t="n">
        <f aca="false">IF($B123=AI$1,1,0)</f>
        <v>0</v>
      </c>
      <c r="AJ123" s="4" t="n">
        <f aca="false">IF($B123=AJ$1,1,0)</f>
        <v>0</v>
      </c>
      <c r="AK123" s="4" t="n">
        <f aca="false">IF($B123=AK$1,1,0)</f>
        <v>0</v>
      </c>
      <c r="AL123" s="4" t="n">
        <f aca="false">IF($B123=AL$1,1,0)</f>
        <v>0</v>
      </c>
      <c r="AM123" s="4" t="n">
        <f aca="false">IF($B123=AM$1,1,0)</f>
        <v>0</v>
      </c>
      <c r="AN123" s="4" t="n">
        <f aca="false">IF($B123=AN$1,1,0)</f>
        <v>0</v>
      </c>
      <c r="AO123" s="4" t="n">
        <f aca="false">IF($B123=AO$1,1,0)</f>
        <v>0</v>
      </c>
      <c r="AP123" s="4" t="n">
        <f aca="false">IF($B123=AP$1,1,0)</f>
        <v>0</v>
      </c>
      <c r="AQ123" s="4" t="n">
        <f aca="false">IF($B123=AQ$1,1,0)</f>
        <v>0</v>
      </c>
      <c r="AR123" s="4" t="n">
        <f aca="false">IF($B123=AR$1,1,0)</f>
        <v>0</v>
      </c>
      <c r="AS123" s="4" t="n">
        <f aca="false">IF($B123=AS$1,1,0)</f>
        <v>0</v>
      </c>
      <c r="AT123" s="4" t="n">
        <f aca="false">IF($B123=AT$1,1,0)</f>
        <v>0</v>
      </c>
      <c r="BB123" s="4" t="n">
        <f aca="false">A123</f>
        <v>122</v>
      </c>
      <c r="BC123" s="7" t="n">
        <f aca="false">ABS($T123-$AX$2)+ABS($U123-$AY$2)+ABS($V123-$AZ$2)</f>
        <v>7512.14788732395</v>
      </c>
      <c r="BD123" s="7" t="n">
        <f aca="false">ABS($T123-$AX$3)+ABS($U123-$AY$3)+ABS($V123-$AZ$3)</f>
        <v>31343.7288135593</v>
      </c>
      <c r="BE123" s="7" t="n">
        <f aca="false">ABS($T123-$AX$4)+ABS($U123-$AY$4)+ABS($V123-$AZ$4)</f>
        <v>62475.641509434</v>
      </c>
      <c r="BF123" s="7" t="n">
        <f aca="false">MIN(BC123:BE123)</f>
        <v>7512.14788732395</v>
      </c>
      <c r="BG123" s="4" t="n">
        <f aca="false">MATCH(BF123,BC123:BE123,0)</f>
        <v>1</v>
      </c>
      <c r="BH123" s="8" t="n">
        <v>1</v>
      </c>
      <c r="BI123" s="4" t="n">
        <f aca="false">IF(BG123=BH123,0,1)</f>
        <v>0</v>
      </c>
      <c r="BK123" s="8" t="n">
        <v>1</v>
      </c>
      <c r="BL123" s="8" t="n">
        <v>1</v>
      </c>
      <c r="BM123" s="8" t="n">
        <v>1</v>
      </c>
    </row>
    <row r="124" customFormat="false" ht="15" hidden="false" customHeight="false" outlineLevel="0" collapsed="false">
      <c r="A124" s="3" t="n">
        <v>123</v>
      </c>
      <c r="B124" s="3" t="s">
        <v>33</v>
      </c>
      <c r="C124" s="3" t="n">
        <v>1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4</v>
      </c>
      <c r="I124" s="3" t="n">
        <v>3</v>
      </c>
      <c r="J124" s="3" t="n">
        <v>4</v>
      </c>
      <c r="K124" s="3" t="n">
        <v>5</v>
      </c>
      <c r="L124" s="3" t="n">
        <v>5</v>
      </c>
      <c r="M124" s="3" t="n">
        <v>4</v>
      </c>
      <c r="N124" s="3" t="n">
        <v>4</v>
      </c>
      <c r="O124" s="3" t="n">
        <v>3</v>
      </c>
      <c r="P124" s="3" t="n">
        <v>4</v>
      </c>
      <c r="Q124" s="3" t="n">
        <v>5</v>
      </c>
      <c r="R124" s="3" t="n">
        <v>5</v>
      </c>
      <c r="S124" s="3" t="n">
        <v>4</v>
      </c>
      <c r="T124" s="3" t="n">
        <v>0</v>
      </c>
      <c r="U124" s="3" t="n">
        <v>24</v>
      </c>
      <c r="V124" s="3" t="n">
        <v>10157</v>
      </c>
      <c r="W124" s="3" t="n">
        <v>2</v>
      </c>
      <c r="X124" s="3" t="n">
        <v>2</v>
      </c>
      <c r="Y124" s="3" t="n">
        <v>2</v>
      </c>
      <c r="Z124" s="3" t="n">
        <v>1</v>
      </c>
      <c r="AA124" s="4" t="n">
        <f aca="false">IF($B124=AA$1,1,0)</f>
        <v>0</v>
      </c>
      <c r="AB124" s="4" t="n">
        <f aca="false">IF($B124=AB$1,1,0)</f>
        <v>0</v>
      </c>
      <c r="AC124" s="4" t="n">
        <f aca="false">IF($B124=AC$1,1,0)</f>
        <v>0</v>
      </c>
      <c r="AD124" s="4" t="n">
        <f aca="false">IF($B124=AD$1,1,0)</f>
        <v>0</v>
      </c>
      <c r="AE124" s="4" t="n">
        <f aca="false">IF($B124=AE$1,1,0)</f>
        <v>0</v>
      </c>
      <c r="AF124" s="4" t="n">
        <f aca="false">IF($B124=AF$1,1,0)</f>
        <v>0</v>
      </c>
      <c r="AG124" s="4" t="n">
        <f aca="false">IF($B124=AG$1,1,0)</f>
        <v>0</v>
      </c>
      <c r="AH124" s="4" t="n">
        <f aca="false">IF($B124=AH$1,1,0)</f>
        <v>1</v>
      </c>
      <c r="AI124" s="4" t="n">
        <f aca="false">IF($B124=AI$1,1,0)</f>
        <v>0</v>
      </c>
      <c r="AJ124" s="4" t="n">
        <f aca="false">IF($B124=AJ$1,1,0)</f>
        <v>0</v>
      </c>
      <c r="AK124" s="4" t="n">
        <f aca="false">IF($B124=AK$1,1,0)</f>
        <v>0</v>
      </c>
      <c r="AL124" s="4" t="n">
        <f aca="false">IF($B124=AL$1,1,0)</f>
        <v>0</v>
      </c>
      <c r="AM124" s="4" t="n">
        <f aca="false">IF($B124=AM$1,1,0)</f>
        <v>0</v>
      </c>
      <c r="AN124" s="4" t="n">
        <f aca="false">IF($B124=AN$1,1,0)</f>
        <v>0</v>
      </c>
      <c r="AO124" s="4" t="n">
        <f aca="false">IF($B124=AO$1,1,0)</f>
        <v>0</v>
      </c>
      <c r="AP124" s="4" t="n">
        <f aca="false">IF($B124=AP$1,1,0)</f>
        <v>0</v>
      </c>
      <c r="AQ124" s="4" t="n">
        <f aca="false">IF($B124=AQ$1,1,0)</f>
        <v>0</v>
      </c>
      <c r="AR124" s="4" t="n">
        <f aca="false">IF($B124=AR$1,1,0)</f>
        <v>0</v>
      </c>
      <c r="AS124" s="4" t="n">
        <f aca="false">IF($B124=AS$1,1,0)</f>
        <v>0</v>
      </c>
      <c r="AT124" s="4" t="n">
        <f aca="false">IF($B124=AT$1,1,0)</f>
        <v>0</v>
      </c>
      <c r="BB124" s="4" t="n">
        <f aca="false">A124</f>
        <v>123</v>
      </c>
      <c r="BC124" s="7" t="n">
        <f aca="false">ABS($T124-$AX$2)+ABS($U124-$AY$2)+ABS($V124-$AZ$2)</f>
        <v>12692.1478873239</v>
      </c>
      <c r="BD124" s="7" t="n">
        <f aca="false">ABS($T124-$AX$3)+ABS($U124-$AY$3)+ABS($V124-$AZ$3)</f>
        <v>36523.7288135593</v>
      </c>
      <c r="BE124" s="7" t="n">
        <f aca="false">ABS($T124-$AX$4)+ABS($U124-$AY$4)+ABS($V124-$AZ$4)</f>
        <v>67655.641509434</v>
      </c>
      <c r="BF124" s="7" t="n">
        <f aca="false">MIN(BC124:BE124)</f>
        <v>12692.1478873239</v>
      </c>
      <c r="BG124" s="4" t="n">
        <f aca="false">MATCH(BF124,BC124:BE124,0)</f>
        <v>1</v>
      </c>
      <c r="BH124" s="8" t="n">
        <v>1</v>
      </c>
      <c r="BI124" s="4" t="n">
        <f aca="false">IF(BG124=BH124,0,1)</f>
        <v>0</v>
      </c>
      <c r="BK124" s="8" t="n">
        <v>1</v>
      </c>
      <c r="BL124" s="8" t="n">
        <v>1</v>
      </c>
      <c r="BM124" s="8" t="n">
        <v>1</v>
      </c>
    </row>
    <row r="125" customFormat="false" ht="15" hidden="false" customHeight="false" outlineLevel="0" collapsed="false">
      <c r="A125" s="3" t="n">
        <v>124</v>
      </c>
      <c r="B125" s="3" t="s">
        <v>36</v>
      </c>
      <c r="C125" s="3" t="n">
        <v>1</v>
      </c>
      <c r="D125" s="3" t="n">
        <v>0</v>
      </c>
      <c r="E125" s="3" t="n">
        <v>0</v>
      </c>
      <c r="F125" s="3" t="n">
        <v>0</v>
      </c>
      <c r="G125" s="3" t="n">
        <v>1</v>
      </c>
      <c r="H125" s="3" t="n">
        <v>5</v>
      </c>
      <c r="I125" s="3" t="n">
        <v>5</v>
      </c>
      <c r="J125" s="3" t="n">
        <v>5</v>
      </c>
      <c r="K125" s="3" t="n">
        <v>5</v>
      </c>
      <c r="L125" s="3" t="n">
        <v>5</v>
      </c>
      <c r="M125" s="3" t="n">
        <v>4</v>
      </c>
      <c r="N125" s="3" t="n">
        <v>5</v>
      </c>
      <c r="O125" s="3" t="n">
        <v>5</v>
      </c>
      <c r="P125" s="3" t="n">
        <v>3</v>
      </c>
      <c r="Q125" s="3" t="n">
        <v>3</v>
      </c>
      <c r="R125" s="3" t="n">
        <v>5</v>
      </c>
      <c r="S125" s="3" t="n">
        <v>4</v>
      </c>
      <c r="T125" s="3" t="n">
        <v>0</v>
      </c>
      <c r="U125" s="3" t="n">
        <v>56</v>
      </c>
      <c r="V125" s="3" t="n">
        <v>25152</v>
      </c>
      <c r="W125" s="3" t="n">
        <v>5</v>
      </c>
      <c r="X125" s="3" t="n">
        <v>5</v>
      </c>
      <c r="Y125" s="3" t="n">
        <v>5</v>
      </c>
      <c r="Z125" s="3" t="n">
        <v>5</v>
      </c>
      <c r="AA125" s="4" t="n">
        <f aca="false">IF($B125=AA$1,1,0)</f>
        <v>0</v>
      </c>
      <c r="AB125" s="4" t="n">
        <f aca="false">IF($B125=AB$1,1,0)</f>
        <v>0</v>
      </c>
      <c r="AC125" s="4" t="n">
        <f aca="false">IF($B125=AC$1,1,0)</f>
        <v>0</v>
      </c>
      <c r="AD125" s="4" t="n">
        <f aca="false">IF($B125=AD$1,1,0)</f>
        <v>0</v>
      </c>
      <c r="AE125" s="4" t="n">
        <f aca="false">IF($B125=AE$1,1,0)</f>
        <v>0</v>
      </c>
      <c r="AF125" s="4" t="n">
        <f aca="false">IF($B125=AF$1,1,0)</f>
        <v>0</v>
      </c>
      <c r="AG125" s="4" t="n">
        <f aca="false">IF($B125=AG$1,1,0)</f>
        <v>0</v>
      </c>
      <c r="AH125" s="4" t="n">
        <f aca="false">IF($B125=AH$1,1,0)</f>
        <v>0</v>
      </c>
      <c r="AI125" s="4" t="n">
        <f aca="false">IF($B125=AI$1,1,0)</f>
        <v>0</v>
      </c>
      <c r="AJ125" s="4" t="n">
        <f aca="false">IF($B125=AJ$1,1,0)</f>
        <v>0</v>
      </c>
      <c r="AK125" s="4" t="n">
        <f aca="false">IF($B125=AK$1,1,0)</f>
        <v>1</v>
      </c>
      <c r="AL125" s="4" t="n">
        <f aca="false">IF($B125=AL$1,1,0)</f>
        <v>0</v>
      </c>
      <c r="AM125" s="4" t="n">
        <f aca="false">IF($B125=AM$1,1,0)</f>
        <v>0</v>
      </c>
      <c r="AN125" s="4" t="n">
        <f aca="false">IF($B125=AN$1,1,0)</f>
        <v>0</v>
      </c>
      <c r="AO125" s="4" t="n">
        <f aca="false">IF($B125=AO$1,1,0)</f>
        <v>0</v>
      </c>
      <c r="AP125" s="4" t="n">
        <f aca="false">IF($B125=AP$1,1,0)</f>
        <v>0</v>
      </c>
      <c r="AQ125" s="4" t="n">
        <f aca="false">IF($B125=AQ$1,1,0)</f>
        <v>0</v>
      </c>
      <c r="AR125" s="4" t="n">
        <f aca="false">IF($B125=AR$1,1,0)</f>
        <v>0</v>
      </c>
      <c r="AS125" s="4" t="n">
        <f aca="false">IF($B125=AS$1,1,0)</f>
        <v>0</v>
      </c>
      <c r="AT125" s="4" t="n">
        <f aca="false">IF($B125=AT$1,1,0)</f>
        <v>0</v>
      </c>
      <c r="BB125" s="4" t="n">
        <f aca="false">A125</f>
        <v>124</v>
      </c>
      <c r="BC125" s="7" t="n">
        <f aca="false">ABS($T125-$AX$2)+ABS($U125-$AY$2)+ABS($V125-$AZ$2)</f>
        <v>2335.28873239436</v>
      </c>
      <c r="BD125" s="7" t="n">
        <f aca="false">ABS($T125-$AX$3)+ABS($U125-$AY$3)+ABS($V125-$AZ$3)</f>
        <v>21525.9661016949</v>
      </c>
      <c r="BE125" s="7" t="n">
        <f aca="false">ABS($T125-$AX$4)+ABS($U125-$AY$4)+ABS($V125-$AZ$4)</f>
        <v>52656.6037735849</v>
      </c>
      <c r="BF125" s="7" t="n">
        <f aca="false">MIN(BC125:BE125)</f>
        <v>2335.28873239436</v>
      </c>
      <c r="BG125" s="4" t="n">
        <f aca="false">MATCH(BF125,BC125:BE125,0)</f>
        <v>1</v>
      </c>
      <c r="BH125" s="8" t="n">
        <v>1</v>
      </c>
      <c r="BI125" s="4" t="n">
        <f aca="false">IF(BG125=BH125,0,1)</f>
        <v>0</v>
      </c>
      <c r="BK125" s="8" t="n">
        <v>1</v>
      </c>
      <c r="BL125" s="8" t="n">
        <v>1</v>
      </c>
      <c r="BM125" s="8" t="n">
        <v>1</v>
      </c>
    </row>
    <row r="126" customFormat="false" ht="15" hidden="false" customHeight="false" outlineLevel="0" collapsed="false">
      <c r="A126" s="3" t="n">
        <v>125</v>
      </c>
      <c r="B126" s="3" t="s">
        <v>30</v>
      </c>
      <c r="C126" s="3" t="n">
        <v>1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4</v>
      </c>
      <c r="I126" s="3" t="n">
        <v>4</v>
      </c>
      <c r="J126" s="3" t="n">
        <v>4</v>
      </c>
      <c r="K126" s="3" t="n">
        <v>4</v>
      </c>
      <c r="L126" s="3" t="n">
        <v>5</v>
      </c>
      <c r="M126" s="3" t="n">
        <v>4</v>
      </c>
      <c r="N126" s="3" t="n">
        <v>5</v>
      </c>
      <c r="O126" s="3" t="n">
        <v>4</v>
      </c>
      <c r="P126" s="3" t="n">
        <v>3</v>
      </c>
      <c r="Q126" s="3" t="n">
        <v>4</v>
      </c>
      <c r="R126" s="3" t="n">
        <v>5</v>
      </c>
      <c r="S126" s="3" t="n">
        <v>4</v>
      </c>
      <c r="T126" s="3" t="n">
        <v>0</v>
      </c>
      <c r="U126" s="3" t="n">
        <v>33</v>
      </c>
      <c r="V126" s="3" t="n">
        <v>27529</v>
      </c>
      <c r="W126" s="3" t="n">
        <v>2</v>
      </c>
      <c r="X126" s="3" t="n">
        <v>4</v>
      </c>
      <c r="Y126" s="3" t="n">
        <v>1</v>
      </c>
      <c r="Z126" s="3" t="n">
        <v>1</v>
      </c>
      <c r="AA126" s="4" t="n">
        <f aca="false">IF($B126=AA$1,1,0)</f>
        <v>0</v>
      </c>
      <c r="AB126" s="4" t="n">
        <f aca="false">IF($B126=AB$1,1,0)</f>
        <v>0</v>
      </c>
      <c r="AC126" s="4" t="n">
        <f aca="false">IF($B126=AC$1,1,0)</f>
        <v>0</v>
      </c>
      <c r="AD126" s="4" t="n">
        <f aca="false">IF($B126=AD$1,1,0)</f>
        <v>0</v>
      </c>
      <c r="AE126" s="4" t="n">
        <f aca="false">IF($B126=AE$1,1,0)</f>
        <v>1</v>
      </c>
      <c r="AF126" s="4" t="n">
        <f aca="false">IF($B126=AF$1,1,0)</f>
        <v>0</v>
      </c>
      <c r="AG126" s="4" t="n">
        <f aca="false">IF($B126=AG$1,1,0)</f>
        <v>0</v>
      </c>
      <c r="AH126" s="4" t="n">
        <f aca="false">IF($B126=AH$1,1,0)</f>
        <v>0</v>
      </c>
      <c r="AI126" s="4" t="n">
        <f aca="false">IF($B126=AI$1,1,0)</f>
        <v>0</v>
      </c>
      <c r="AJ126" s="4" t="n">
        <f aca="false">IF($B126=AJ$1,1,0)</f>
        <v>0</v>
      </c>
      <c r="AK126" s="4" t="n">
        <f aca="false">IF($B126=AK$1,1,0)</f>
        <v>0</v>
      </c>
      <c r="AL126" s="4" t="n">
        <f aca="false">IF($B126=AL$1,1,0)</f>
        <v>0</v>
      </c>
      <c r="AM126" s="4" t="n">
        <f aca="false">IF($B126=AM$1,1,0)</f>
        <v>0</v>
      </c>
      <c r="AN126" s="4" t="n">
        <f aca="false">IF($B126=AN$1,1,0)</f>
        <v>0</v>
      </c>
      <c r="AO126" s="4" t="n">
        <f aca="false">IF($B126=AO$1,1,0)</f>
        <v>0</v>
      </c>
      <c r="AP126" s="4" t="n">
        <f aca="false">IF($B126=AP$1,1,0)</f>
        <v>0</v>
      </c>
      <c r="AQ126" s="4" t="n">
        <f aca="false">IF($B126=AQ$1,1,0)</f>
        <v>0</v>
      </c>
      <c r="AR126" s="4" t="n">
        <f aca="false">IF($B126=AR$1,1,0)</f>
        <v>0</v>
      </c>
      <c r="AS126" s="4" t="n">
        <f aca="false">IF($B126=AS$1,1,0)</f>
        <v>0</v>
      </c>
      <c r="AT126" s="4" t="n">
        <f aca="false">IF($B126=AT$1,1,0)</f>
        <v>0</v>
      </c>
      <c r="BB126" s="4" t="n">
        <f aca="false">A126</f>
        <v>125</v>
      </c>
      <c r="BC126" s="7" t="n">
        <f aca="false">ABS($T126-$AX$2)+ABS($U126-$AY$2)+ABS($V126-$AZ$2)</f>
        <v>4700.7676056338</v>
      </c>
      <c r="BD126" s="7" t="n">
        <f aca="false">ABS($T126-$AX$3)+ABS($U126-$AY$3)+ABS($V126-$AZ$3)</f>
        <v>19142.7288135593</v>
      </c>
      <c r="BE126" s="7" t="n">
        <f aca="false">ABS($T126-$AX$4)+ABS($U126-$AY$4)+ABS($V126-$AZ$4)</f>
        <v>50274.641509434</v>
      </c>
      <c r="BF126" s="7" t="n">
        <f aca="false">MIN(BC126:BE126)</f>
        <v>4700.7676056338</v>
      </c>
      <c r="BG126" s="4" t="n">
        <f aca="false">MATCH(BF126,BC126:BE126,0)</f>
        <v>1</v>
      </c>
      <c r="BH126" s="8" t="n">
        <v>1</v>
      </c>
      <c r="BI126" s="4" t="n">
        <f aca="false">IF(BG126=BH126,0,1)</f>
        <v>0</v>
      </c>
      <c r="BK126" s="8" t="n">
        <v>1</v>
      </c>
      <c r="BL126" s="8" t="n">
        <v>1</v>
      </c>
      <c r="BM126" s="8" t="n">
        <v>1</v>
      </c>
    </row>
    <row r="127" customFormat="false" ht="15" hidden="false" customHeight="false" outlineLevel="0" collapsed="false">
      <c r="A127" s="3" t="n">
        <v>126</v>
      </c>
      <c r="B127" s="3" t="s">
        <v>38</v>
      </c>
      <c r="C127" s="3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5</v>
      </c>
      <c r="I127" s="3" t="n">
        <v>5</v>
      </c>
      <c r="J127" s="3" t="n">
        <v>5</v>
      </c>
      <c r="K127" s="3" t="n">
        <v>5</v>
      </c>
      <c r="L127" s="3" t="n">
        <v>5</v>
      </c>
      <c r="M127" s="3" t="n">
        <v>5</v>
      </c>
      <c r="N127" s="3" t="n">
        <v>5</v>
      </c>
      <c r="O127" s="3" t="n">
        <v>5</v>
      </c>
      <c r="P127" s="3" t="n">
        <v>5</v>
      </c>
      <c r="Q127" s="3" t="n">
        <v>5</v>
      </c>
      <c r="R127" s="3" t="n">
        <v>5</v>
      </c>
      <c r="S127" s="3" t="n">
        <v>5</v>
      </c>
      <c r="T127" s="3" t="n">
        <v>0</v>
      </c>
      <c r="U127" s="3" t="n">
        <v>19</v>
      </c>
      <c r="V127" s="3" t="n">
        <v>63255</v>
      </c>
      <c r="W127" s="3" t="n">
        <v>1</v>
      </c>
      <c r="X127" s="3" t="n">
        <v>1</v>
      </c>
      <c r="Y127" s="3" t="n">
        <v>1</v>
      </c>
      <c r="Z127" s="3" t="n">
        <v>1</v>
      </c>
      <c r="AA127" s="4" t="n">
        <f aca="false">IF($B127=AA$1,1,0)</f>
        <v>0</v>
      </c>
      <c r="AB127" s="4" t="n">
        <f aca="false">IF($B127=AB$1,1,0)</f>
        <v>0</v>
      </c>
      <c r="AC127" s="4" t="n">
        <f aca="false">IF($B127=AC$1,1,0)</f>
        <v>0</v>
      </c>
      <c r="AD127" s="4" t="n">
        <f aca="false">IF($B127=AD$1,1,0)</f>
        <v>0</v>
      </c>
      <c r="AE127" s="4" t="n">
        <f aca="false">IF($B127=AE$1,1,0)</f>
        <v>0</v>
      </c>
      <c r="AF127" s="4" t="n">
        <f aca="false">IF($B127=AF$1,1,0)</f>
        <v>0</v>
      </c>
      <c r="AG127" s="4" t="n">
        <f aca="false">IF($B127=AG$1,1,0)</f>
        <v>0</v>
      </c>
      <c r="AH127" s="4" t="n">
        <f aca="false">IF($B127=AH$1,1,0)</f>
        <v>0</v>
      </c>
      <c r="AI127" s="4" t="n">
        <f aca="false">IF($B127=AI$1,1,0)</f>
        <v>0</v>
      </c>
      <c r="AJ127" s="4" t="n">
        <f aca="false">IF($B127=AJ$1,1,0)</f>
        <v>0</v>
      </c>
      <c r="AK127" s="4" t="n">
        <f aca="false">IF($B127=AK$1,1,0)</f>
        <v>0</v>
      </c>
      <c r="AL127" s="4" t="n">
        <f aca="false">IF($B127=AL$1,1,0)</f>
        <v>0</v>
      </c>
      <c r="AM127" s="4" t="n">
        <f aca="false">IF($B127=AM$1,1,0)</f>
        <v>1</v>
      </c>
      <c r="AN127" s="4" t="n">
        <f aca="false">IF($B127=AN$1,1,0)</f>
        <v>0</v>
      </c>
      <c r="AO127" s="4" t="n">
        <f aca="false">IF($B127=AO$1,1,0)</f>
        <v>0</v>
      </c>
      <c r="AP127" s="4" t="n">
        <f aca="false">IF($B127=AP$1,1,0)</f>
        <v>0</v>
      </c>
      <c r="AQ127" s="4" t="n">
        <f aca="false">IF($B127=AQ$1,1,0)</f>
        <v>0</v>
      </c>
      <c r="AR127" s="4" t="n">
        <f aca="false">IF($B127=AR$1,1,0)</f>
        <v>0</v>
      </c>
      <c r="AS127" s="4" t="n">
        <f aca="false">IF($B127=AS$1,1,0)</f>
        <v>0</v>
      </c>
      <c r="AT127" s="4" t="n">
        <f aca="false">IF($B127=AT$1,1,0)</f>
        <v>0</v>
      </c>
      <c r="BB127" s="4" t="n">
        <f aca="false">A127</f>
        <v>126</v>
      </c>
      <c r="BC127" s="7" t="n">
        <f aca="false">ABS($T127-$AX$2)+ABS($U127-$AY$2)+ABS($V127-$AZ$2)</f>
        <v>40440.7676056338</v>
      </c>
      <c r="BD127" s="7" t="n">
        <f aca="false">ABS($T127-$AX$3)+ABS($U127-$AY$3)+ABS($V127-$AZ$3)</f>
        <v>16614.406779661</v>
      </c>
      <c r="BE127" s="7" t="n">
        <f aca="false">ABS($T127-$AX$4)+ABS($U127-$AY$4)+ABS($V127-$AZ$4)</f>
        <v>14562.641509434</v>
      </c>
      <c r="BF127" s="7" t="n">
        <f aca="false">MIN(BC127:BE127)</f>
        <v>14562.641509434</v>
      </c>
      <c r="BG127" s="4" t="n">
        <f aca="false">MATCH(BF127,BC127:BE127,0)</f>
        <v>3</v>
      </c>
      <c r="BH127" s="8" t="n">
        <v>3</v>
      </c>
      <c r="BI127" s="4" t="n">
        <f aca="false">IF(BG127=BH127,0,1)</f>
        <v>0</v>
      </c>
      <c r="BK127" s="8" t="n">
        <v>2</v>
      </c>
      <c r="BL127" s="8" t="n">
        <v>3</v>
      </c>
      <c r="BM127" s="8" t="n">
        <v>3</v>
      </c>
    </row>
    <row r="128" customFormat="false" ht="15" hidden="false" customHeight="false" outlineLevel="0" collapsed="false">
      <c r="A128" s="3" t="n">
        <v>127</v>
      </c>
      <c r="B128" s="3" t="s">
        <v>38</v>
      </c>
      <c r="C128" s="3" t="n">
        <v>0</v>
      </c>
      <c r="D128" s="3" t="n">
        <v>1</v>
      </c>
      <c r="E128" s="3" t="n">
        <v>1</v>
      </c>
      <c r="F128" s="3" t="n">
        <v>0</v>
      </c>
      <c r="G128" s="3" t="n">
        <v>0</v>
      </c>
      <c r="H128" s="3" t="n">
        <v>5</v>
      </c>
      <c r="I128" s="3" t="n">
        <v>3</v>
      </c>
      <c r="J128" s="3" t="n">
        <v>5</v>
      </c>
      <c r="K128" s="3" t="n">
        <v>4</v>
      </c>
      <c r="L128" s="3" t="n">
        <v>5</v>
      </c>
      <c r="M128" s="3" t="n">
        <v>4</v>
      </c>
      <c r="N128" s="3" t="n">
        <v>3</v>
      </c>
      <c r="O128" s="3" t="n">
        <v>3</v>
      </c>
      <c r="P128" s="3" t="n">
        <v>2</v>
      </c>
      <c r="Q128" s="3" t="n">
        <v>5</v>
      </c>
      <c r="R128" s="3" t="n">
        <v>5</v>
      </c>
      <c r="S128" s="3" t="n">
        <v>2</v>
      </c>
      <c r="T128" s="3" t="n">
        <v>1</v>
      </c>
      <c r="U128" s="3" t="n">
        <v>55</v>
      </c>
      <c r="V128" s="3" t="n">
        <v>67983</v>
      </c>
      <c r="W128" s="3" t="n">
        <v>2</v>
      </c>
      <c r="X128" s="3" t="n">
        <v>4</v>
      </c>
      <c r="Y128" s="3" t="n">
        <v>2</v>
      </c>
      <c r="Z128" s="3" t="n">
        <v>1</v>
      </c>
      <c r="AA128" s="4" t="n">
        <f aca="false">IF($B128=AA$1,1,0)</f>
        <v>0</v>
      </c>
      <c r="AB128" s="4" t="n">
        <f aca="false">IF($B128=AB$1,1,0)</f>
        <v>0</v>
      </c>
      <c r="AC128" s="4" t="n">
        <f aca="false">IF($B128=AC$1,1,0)</f>
        <v>0</v>
      </c>
      <c r="AD128" s="4" t="n">
        <f aca="false">IF($B128=AD$1,1,0)</f>
        <v>0</v>
      </c>
      <c r="AE128" s="4" t="n">
        <f aca="false">IF($B128=AE$1,1,0)</f>
        <v>0</v>
      </c>
      <c r="AF128" s="4" t="n">
        <f aca="false">IF($B128=AF$1,1,0)</f>
        <v>0</v>
      </c>
      <c r="AG128" s="4" t="n">
        <f aca="false">IF($B128=AG$1,1,0)</f>
        <v>0</v>
      </c>
      <c r="AH128" s="4" t="n">
        <f aca="false">IF($B128=AH$1,1,0)</f>
        <v>0</v>
      </c>
      <c r="AI128" s="4" t="n">
        <f aca="false">IF($B128=AI$1,1,0)</f>
        <v>0</v>
      </c>
      <c r="AJ128" s="4" t="n">
        <f aca="false">IF($B128=AJ$1,1,0)</f>
        <v>0</v>
      </c>
      <c r="AK128" s="4" t="n">
        <f aca="false">IF($B128=AK$1,1,0)</f>
        <v>0</v>
      </c>
      <c r="AL128" s="4" t="n">
        <f aca="false">IF($B128=AL$1,1,0)</f>
        <v>0</v>
      </c>
      <c r="AM128" s="4" t="n">
        <f aca="false">IF($B128=AM$1,1,0)</f>
        <v>1</v>
      </c>
      <c r="AN128" s="4" t="n">
        <f aca="false">IF($B128=AN$1,1,0)</f>
        <v>0</v>
      </c>
      <c r="AO128" s="4" t="n">
        <f aca="false">IF($B128=AO$1,1,0)</f>
        <v>0</v>
      </c>
      <c r="AP128" s="4" t="n">
        <f aca="false">IF($B128=AP$1,1,0)</f>
        <v>0</v>
      </c>
      <c r="AQ128" s="4" t="n">
        <f aca="false">IF($B128=AQ$1,1,0)</f>
        <v>0</v>
      </c>
      <c r="AR128" s="4" t="n">
        <f aca="false">IF($B128=AR$1,1,0)</f>
        <v>0</v>
      </c>
      <c r="AS128" s="4" t="n">
        <f aca="false">IF($B128=AS$1,1,0)</f>
        <v>0</v>
      </c>
      <c r="AT128" s="4" t="n">
        <f aca="false">IF($B128=AT$1,1,0)</f>
        <v>0</v>
      </c>
      <c r="BB128" s="4" t="n">
        <f aca="false">A128</f>
        <v>127</v>
      </c>
      <c r="BC128" s="7" t="n">
        <f aca="false">ABS($T128-$AX$2)+ABS($U128-$AY$2)+ABS($V128-$AZ$2)</f>
        <v>45165.8521126761</v>
      </c>
      <c r="BD128" s="7" t="n">
        <f aca="false">ABS($T128-$AX$3)+ABS($U128-$AY$3)+ABS($V128-$AZ$3)</f>
        <v>21334.2711864407</v>
      </c>
      <c r="BE128" s="7" t="n">
        <f aca="false">ABS($T128-$AX$4)+ABS($U128-$AY$4)+ABS($V128-$AZ$4)</f>
        <v>9825.07547169811</v>
      </c>
      <c r="BF128" s="7" t="n">
        <f aca="false">MIN(BC128:BE128)</f>
        <v>9825.07547169811</v>
      </c>
      <c r="BG128" s="4" t="n">
        <f aca="false">MATCH(BF128,BC128:BE128,0)</f>
        <v>3</v>
      </c>
      <c r="BH128" s="8" t="n">
        <v>3</v>
      </c>
      <c r="BI128" s="4" t="n">
        <f aca="false">IF(BG128=BH128,0,1)</f>
        <v>0</v>
      </c>
      <c r="BK128" s="8" t="n">
        <v>3</v>
      </c>
      <c r="BL128" s="8" t="n">
        <v>3</v>
      </c>
      <c r="BM128" s="8" t="n">
        <v>3</v>
      </c>
    </row>
    <row r="129" customFormat="false" ht="15" hidden="false" customHeight="false" outlineLevel="0" collapsed="false">
      <c r="A129" s="3" t="n">
        <v>128</v>
      </c>
      <c r="B129" s="3" t="s">
        <v>38</v>
      </c>
      <c r="C129" s="3" t="n">
        <v>1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5</v>
      </c>
      <c r="I129" s="3" t="n">
        <v>4</v>
      </c>
      <c r="J129" s="3" t="n">
        <v>5</v>
      </c>
      <c r="K129" s="3" t="n">
        <v>5</v>
      </c>
      <c r="L129" s="3" t="n">
        <v>5</v>
      </c>
      <c r="M129" s="3" t="n">
        <v>5</v>
      </c>
      <c r="N129" s="3" t="n">
        <v>5</v>
      </c>
      <c r="O129" s="3" t="n">
        <v>4</v>
      </c>
      <c r="P129" s="3" t="n">
        <v>3</v>
      </c>
      <c r="Q129" s="3" t="n">
        <v>5</v>
      </c>
      <c r="R129" s="3" t="n">
        <v>4</v>
      </c>
      <c r="S129" s="3" t="n">
        <v>5</v>
      </c>
      <c r="T129" s="3" t="n">
        <v>0</v>
      </c>
      <c r="U129" s="3" t="n">
        <v>34</v>
      </c>
      <c r="V129" s="3" t="n">
        <v>27244</v>
      </c>
      <c r="W129" s="3" t="n">
        <v>1</v>
      </c>
      <c r="X129" s="3" t="n">
        <v>4</v>
      </c>
      <c r="Y129" s="3" t="n">
        <v>2</v>
      </c>
      <c r="Z129" s="3" t="n">
        <v>2</v>
      </c>
      <c r="AA129" s="4" t="n">
        <f aca="false">IF($B129=AA$1,1,0)</f>
        <v>0</v>
      </c>
      <c r="AB129" s="4" t="n">
        <f aca="false">IF($B129=AB$1,1,0)</f>
        <v>0</v>
      </c>
      <c r="AC129" s="4" t="n">
        <f aca="false">IF($B129=AC$1,1,0)</f>
        <v>0</v>
      </c>
      <c r="AD129" s="4" t="n">
        <f aca="false">IF($B129=AD$1,1,0)</f>
        <v>0</v>
      </c>
      <c r="AE129" s="4" t="n">
        <f aca="false">IF($B129=AE$1,1,0)</f>
        <v>0</v>
      </c>
      <c r="AF129" s="4" t="n">
        <f aca="false">IF($B129=AF$1,1,0)</f>
        <v>0</v>
      </c>
      <c r="AG129" s="4" t="n">
        <f aca="false">IF($B129=AG$1,1,0)</f>
        <v>0</v>
      </c>
      <c r="AH129" s="4" t="n">
        <f aca="false">IF($B129=AH$1,1,0)</f>
        <v>0</v>
      </c>
      <c r="AI129" s="4" t="n">
        <f aca="false">IF($B129=AI$1,1,0)</f>
        <v>0</v>
      </c>
      <c r="AJ129" s="4" t="n">
        <f aca="false">IF($B129=AJ$1,1,0)</f>
        <v>0</v>
      </c>
      <c r="AK129" s="4" t="n">
        <f aca="false">IF($B129=AK$1,1,0)</f>
        <v>0</v>
      </c>
      <c r="AL129" s="4" t="n">
        <f aca="false">IF($B129=AL$1,1,0)</f>
        <v>0</v>
      </c>
      <c r="AM129" s="4" t="n">
        <f aca="false">IF($B129=AM$1,1,0)</f>
        <v>1</v>
      </c>
      <c r="AN129" s="4" t="n">
        <f aca="false">IF($B129=AN$1,1,0)</f>
        <v>0</v>
      </c>
      <c r="AO129" s="4" t="n">
        <f aca="false">IF($B129=AO$1,1,0)</f>
        <v>0</v>
      </c>
      <c r="AP129" s="4" t="n">
        <f aca="false">IF($B129=AP$1,1,0)</f>
        <v>0</v>
      </c>
      <c r="AQ129" s="4" t="n">
        <f aca="false">IF($B129=AQ$1,1,0)</f>
        <v>0</v>
      </c>
      <c r="AR129" s="4" t="n">
        <f aca="false">IF($B129=AR$1,1,0)</f>
        <v>0</v>
      </c>
      <c r="AS129" s="4" t="n">
        <f aca="false">IF($B129=AS$1,1,0)</f>
        <v>0</v>
      </c>
      <c r="AT129" s="4" t="n">
        <f aca="false">IF($B129=AT$1,1,0)</f>
        <v>0</v>
      </c>
      <c r="BB129" s="4" t="n">
        <f aca="false">A129</f>
        <v>128</v>
      </c>
      <c r="BC129" s="7" t="n">
        <f aca="false">ABS($T129-$AX$2)+ABS($U129-$AY$2)+ABS($V129-$AZ$2)</f>
        <v>4414.7676056338</v>
      </c>
      <c r="BD129" s="7" t="n">
        <f aca="false">ABS($T129-$AX$3)+ABS($U129-$AY$3)+ABS($V129-$AZ$3)</f>
        <v>19426.7288135593</v>
      </c>
      <c r="BE129" s="7" t="n">
        <f aca="false">ABS($T129-$AX$4)+ABS($U129-$AY$4)+ABS($V129-$AZ$4)</f>
        <v>50558.641509434</v>
      </c>
      <c r="BF129" s="7" t="n">
        <f aca="false">MIN(BC129:BE129)</f>
        <v>4414.7676056338</v>
      </c>
      <c r="BG129" s="4" t="n">
        <f aca="false">MATCH(BF129,BC129:BE129,0)</f>
        <v>1</v>
      </c>
      <c r="BH129" s="8" t="n">
        <v>1</v>
      </c>
      <c r="BI129" s="4" t="n">
        <f aca="false">IF(BG129=BH129,0,1)</f>
        <v>0</v>
      </c>
      <c r="BK129" s="8" t="n">
        <v>1</v>
      </c>
      <c r="BL129" s="8" t="n">
        <v>1</v>
      </c>
      <c r="BM129" s="8" t="n">
        <v>1</v>
      </c>
    </row>
    <row r="130" customFormat="false" ht="15" hidden="false" customHeight="false" outlineLevel="0" collapsed="false">
      <c r="A130" s="3" t="n">
        <v>129</v>
      </c>
      <c r="B130" s="3" t="s">
        <v>30</v>
      </c>
      <c r="C130" s="3" t="n">
        <v>0</v>
      </c>
      <c r="D130" s="3" t="n">
        <v>0</v>
      </c>
      <c r="E130" s="3" t="n">
        <v>1</v>
      </c>
      <c r="F130" s="3" t="n">
        <v>0</v>
      </c>
      <c r="G130" s="3" t="n">
        <v>0</v>
      </c>
      <c r="H130" s="3" t="n">
        <v>4</v>
      </c>
      <c r="I130" s="3" t="n">
        <v>4</v>
      </c>
      <c r="J130" s="3" t="n">
        <v>3</v>
      </c>
      <c r="K130" s="3" t="n">
        <v>5</v>
      </c>
      <c r="L130" s="3" t="n">
        <v>5</v>
      </c>
      <c r="M130" s="3" t="n">
        <v>4</v>
      </c>
      <c r="N130" s="3" t="n">
        <v>3</v>
      </c>
      <c r="O130" s="3" t="n">
        <v>2</v>
      </c>
      <c r="P130" s="3" t="n">
        <v>2</v>
      </c>
      <c r="Q130" s="3" t="n">
        <v>3</v>
      </c>
      <c r="R130" s="3" t="n">
        <v>3</v>
      </c>
      <c r="S130" s="3" t="n">
        <v>3</v>
      </c>
      <c r="T130" s="3" t="n">
        <v>0</v>
      </c>
      <c r="U130" s="3" t="n">
        <v>37</v>
      </c>
      <c r="V130" s="3" t="n">
        <v>83082</v>
      </c>
      <c r="W130" s="3" t="n">
        <v>1</v>
      </c>
      <c r="X130" s="3" t="n">
        <v>4</v>
      </c>
      <c r="Y130" s="3" t="n">
        <v>1</v>
      </c>
      <c r="Z130" s="3" t="n">
        <v>1</v>
      </c>
      <c r="AA130" s="4" t="n">
        <f aca="false">IF($B130=AA$1,1,0)</f>
        <v>0</v>
      </c>
      <c r="AB130" s="4" t="n">
        <f aca="false">IF($B130=AB$1,1,0)</f>
        <v>0</v>
      </c>
      <c r="AC130" s="4" t="n">
        <f aca="false">IF($B130=AC$1,1,0)</f>
        <v>0</v>
      </c>
      <c r="AD130" s="4" t="n">
        <f aca="false">IF($B130=AD$1,1,0)</f>
        <v>0</v>
      </c>
      <c r="AE130" s="4" t="n">
        <f aca="false">IF($B130=AE$1,1,0)</f>
        <v>1</v>
      </c>
      <c r="AF130" s="4" t="n">
        <f aca="false">IF($B130=AF$1,1,0)</f>
        <v>0</v>
      </c>
      <c r="AG130" s="4" t="n">
        <f aca="false">IF($B130=AG$1,1,0)</f>
        <v>0</v>
      </c>
      <c r="AH130" s="4" t="n">
        <f aca="false">IF($B130=AH$1,1,0)</f>
        <v>0</v>
      </c>
      <c r="AI130" s="4" t="n">
        <f aca="false">IF($B130=AI$1,1,0)</f>
        <v>0</v>
      </c>
      <c r="AJ130" s="4" t="n">
        <f aca="false">IF($B130=AJ$1,1,0)</f>
        <v>0</v>
      </c>
      <c r="AK130" s="4" t="n">
        <f aca="false">IF($B130=AK$1,1,0)</f>
        <v>0</v>
      </c>
      <c r="AL130" s="4" t="n">
        <f aca="false">IF($B130=AL$1,1,0)</f>
        <v>0</v>
      </c>
      <c r="AM130" s="4" t="n">
        <f aca="false">IF($B130=AM$1,1,0)</f>
        <v>0</v>
      </c>
      <c r="AN130" s="4" t="n">
        <f aca="false">IF($B130=AN$1,1,0)</f>
        <v>0</v>
      </c>
      <c r="AO130" s="4" t="n">
        <f aca="false">IF($B130=AO$1,1,0)</f>
        <v>0</v>
      </c>
      <c r="AP130" s="4" t="n">
        <f aca="false">IF($B130=AP$1,1,0)</f>
        <v>0</v>
      </c>
      <c r="AQ130" s="4" t="n">
        <f aca="false">IF($B130=AQ$1,1,0)</f>
        <v>0</v>
      </c>
      <c r="AR130" s="4" t="n">
        <f aca="false">IF($B130=AR$1,1,0)</f>
        <v>0</v>
      </c>
      <c r="AS130" s="4" t="n">
        <f aca="false">IF($B130=AS$1,1,0)</f>
        <v>0</v>
      </c>
      <c r="AT130" s="4" t="n">
        <f aca="false">IF($B130=AT$1,1,0)</f>
        <v>0</v>
      </c>
      <c r="BB130" s="4" t="n">
        <f aca="false">A130</f>
        <v>129</v>
      </c>
      <c r="BC130" s="7" t="n">
        <f aca="false">ABS($T130-$AX$2)+ABS($U130-$AY$2)+ABS($V130-$AZ$2)</f>
        <v>60249.7676056338</v>
      </c>
      <c r="BD130" s="7" t="n">
        <f aca="false">ABS($T130-$AX$3)+ABS($U130-$AY$3)+ABS($V130-$AZ$3)</f>
        <v>36423.406779661</v>
      </c>
      <c r="BE130" s="7" t="n">
        <f aca="false">ABS($T130-$AX$4)+ABS($U130-$AY$4)+ABS($V130-$AZ$4)</f>
        <v>5292.92452830189</v>
      </c>
      <c r="BF130" s="7" t="n">
        <f aca="false">MIN(BC130:BE130)</f>
        <v>5292.92452830189</v>
      </c>
      <c r="BG130" s="4" t="n">
        <f aca="false">MATCH(BF130,BC130:BE130,0)</f>
        <v>3</v>
      </c>
      <c r="BH130" s="8" t="n">
        <v>3</v>
      </c>
      <c r="BI130" s="4" t="n">
        <f aca="false">IF(BG130=BH130,0,1)</f>
        <v>0</v>
      </c>
      <c r="BK130" s="8" t="n">
        <v>3</v>
      </c>
      <c r="BL130" s="8" t="n">
        <v>3</v>
      </c>
      <c r="BM130" s="8" t="n">
        <v>3</v>
      </c>
    </row>
    <row r="131" customFormat="false" ht="15" hidden="false" customHeight="false" outlineLevel="0" collapsed="false">
      <c r="A131" s="3" t="n">
        <v>130</v>
      </c>
      <c r="B131" s="3" t="s">
        <v>30</v>
      </c>
      <c r="C131" s="3" t="n">
        <v>0</v>
      </c>
      <c r="D131" s="3" t="n">
        <v>0</v>
      </c>
      <c r="E131" s="3" t="n">
        <v>1</v>
      </c>
      <c r="F131" s="3" t="n">
        <v>0</v>
      </c>
      <c r="G131" s="3" t="n">
        <v>0</v>
      </c>
      <c r="H131" s="3" t="n">
        <v>5</v>
      </c>
      <c r="I131" s="3" t="n">
        <v>5</v>
      </c>
      <c r="J131" s="3" t="n">
        <v>5</v>
      </c>
      <c r="K131" s="3" t="n">
        <v>5</v>
      </c>
      <c r="L131" s="3" t="n">
        <v>5</v>
      </c>
      <c r="M131" s="3" t="n">
        <v>4</v>
      </c>
      <c r="N131" s="3" t="n">
        <v>5</v>
      </c>
      <c r="O131" s="3" t="n">
        <v>3</v>
      </c>
      <c r="P131" s="3" t="n">
        <v>2</v>
      </c>
      <c r="Q131" s="3" t="n">
        <v>4</v>
      </c>
      <c r="R131" s="3" t="n">
        <v>5</v>
      </c>
      <c r="S131" s="3" t="n">
        <v>5</v>
      </c>
      <c r="T131" s="3" t="n">
        <v>0</v>
      </c>
      <c r="U131" s="3" t="n">
        <v>29</v>
      </c>
      <c r="V131" s="3" t="n">
        <v>26778</v>
      </c>
      <c r="W131" s="3" t="n">
        <v>1</v>
      </c>
      <c r="X131" s="3" t="n">
        <v>4</v>
      </c>
      <c r="Y131" s="3" t="n">
        <v>2</v>
      </c>
      <c r="Z131" s="3" t="n">
        <v>1</v>
      </c>
      <c r="AA131" s="4" t="n">
        <f aca="false">IF($B131=AA$1,1,0)</f>
        <v>0</v>
      </c>
      <c r="AB131" s="4" t="n">
        <f aca="false">IF($B131=AB$1,1,0)</f>
        <v>0</v>
      </c>
      <c r="AC131" s="4" t="n">
        <f aca="false">IF($B131=AC$1,1,0)</f>
        <v>0</v>
      </c>
      <c r="AD131" s="4" t="n">
        <f aca="false">IF($B131=AD$1,1,0)</f>
        <v>0</v>
      </c>
      <c r="AE131" s="4" t="n">
        <f aca="false">IF($B131=AE$1,1,0)</f>
        <v>1</v>
      </c>
      <c r="AF131" s="4" t="n">
        <f aca="false">IF($B131=AF$1,1,0)</f>
        <v>0</v>
      </c>
      <c r="AG131" s="4" t="n">
        <f aca="false">IF($B131=AG$1,1,0)</f>
        <v>0</v>
      </c>
      <c r="AH131" s="4" t="n">
        <f aca="false">IF($B131=AH$1,1,0)</f>
        <v>0</v>
      </c>
      <c r="AI131" s="4" t="n">
        <f aca="false">IF($B131=AI$1,1,0)</f>
        <v>0</v>
      </c>
      <c r="AJ131" s="4" t="n">
        <f aca="false">IF($B131=AJ$1,1,0)</f>
        <v>0</v>
      </c>
      <c r="AK131" s="4" t="n">
        <f aca="false">IF($B131=AK$1,1,0)</f>
        <v>0</v>
      </c>
      <c r="AL131" s="4" t="n">
        <f aca="false">IF($B131=AL$1,1,0)</f>
        <v>0</v>
      </c>
      <c r="AM131" s="4" t="n">
        <f aca="false">IF($B131=AM$1,1,0)</f>
        <v>0</v>
      </c>
      <c r="AN131" s="4" t="n">
        <f aca="false">IF($B131=AN$1,1,0)</f>
        <v>0</v>
      </c>
      <c r="AO131" s="4" t="n">
        <f aca="false">IF($B131=AO$1,1,0)</f>
        <v>0</v>
      </c>
      <c r="AP131" s="4" t="n">
        <f aca="false">IF($B131=AP$1,1,0)</f>
        <v>0</v>
      </c>
      <c r="AQ131" s="4" t="n">
        <f aca="false">IF($B131=AQ$1,1,0)</f>
        <v>0</v>
      </c>
      <c r="AR131" s="4" t="n">
        <f aca="false">IF($B131=AR$1,1,0)</f>
        <v>0</v>
      </c>
      <c r="AS131" s="4" t="n">
        <f aca="false">IF($B131=AS$1,1,0)</f>
        <v>0</v>
      </c>
      <c r="AT131" s="4" t="n">
        <f aca="false">IF($B131=AT$1,1,0)</f>
        <v>0</v>
      </c>
      <c r="BB131" s="4" t="n">
        <f aca="false">A131</f>
        <v>130</v>
      </c>
      <c r="BC131" s="7" t="n">
        <f aca="false">ABS($T131-$AX$2)+ABS($U131-$AY$2)+ABS($V131-$AZ$2)</f>
        <v>3953.7676056338</v>
      </c>
      <c r="BD131" s="7" t="n">
        <f aca="false">ABS($T131-$AX$3)+ABS($U131-$AY$3)+ABS($V131-$AZ$3)</f>
        <v>19897.7288135593</v>
      </c>
      <c r="BE131" s="7" t="n">
        <f aca="false">ABS($T131-$AX$4)+ABS($U131-$AY$4)+ABS($V131-$AZ$4)</f>
        <v>51029.641509434</v>
      </c>
      <c r="BF131" s="7" t="n">
        <f aca="false">MIN(BC131:BE131)</f>
        <v>3953.7676056338</v>
      </c>
      <c r="BG131" s="4" t="n">
        <f aca="false">MATCH(BF131,BC131:BE131,0)</f>
        <v>1</v>
      </c>
      <c r="BH131" s="8" t="n">
        <v>1</v>
      </c>
      <c r="BI131" s="4" t="n">
        <f aca="false">IF(BG131=BH131,0,1)</f>
        <v>0</v>
      </c>
      <c r="BK131" s="8" t="n">
        <v>1</v>
      </c>
      <c r="BL131" s="8" t="n">
        <v>1</v>
      </c>
      <c r="BM131" s="8" t="n">
        <v>1</v>
      </c>
    </row>
    <row r="132" customFormat="false" ht="15" hidden="false" customHeight="false" outlineLevel="0" collapsed="false">
      <c r="A132" s="3" t="n">
        <v>131</v>
      </c>
      <c r="B132" s="3" t="s">
        <v>33</v>
      </c>
      <c r="C132" s="3" t="n">
        <v>1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4</v>
      </c>
      <c r="I132" s="3" t="n">
        <v>4</v>
      </c>
      <c r="J132" s="3" t="n">
        <v>5</v>
      </c>
      <c r="K132" s="3" t="n">
        <v>4</v>
      </c>
      <c r="L132" s="3" t="n">
        <v>5</v>
      </c>
      <c r="M132" s="3" t="n">
        <v>4</v>
      </c>
      <c r="N132" s="3" t="n">
        <v>4</v>
      </c>
      <c r="O132" s="3" t="n">
        <v>4</v>
      </c>
      <c r="P132" s="3" t="n">
        <v>3</v>
      </c>
      <c r="Q132" s="3" t="n">
        <v>5</v>
      </c>
      <c r="R132" s="3" t="n">
        <v>5</v>
      </c>
      <c r="S132" s="3" t="n">
        <v>3</v>
      </c>
      <c r="T132" s="3" t="n">
        <v>1</v>
      </c>
      <c r="U132" s="3" t="n">
        <v>59</v>
      </c>
      <c r="V132" s="3" t="n">
        <v>75777</v>
      </c>
      <c r="W132" s="3" t="n">
        <v>2</v>
      </c>
      <c r="X132" s="3" t="n">
        <v>3</v>
      </c>
      <c r="Y132" s="3" t="n">
        <v>2</v>
      </c>
      <c r="Z132" s="3" t="n">
        <v>2</v>
      </c>
      <c r="AA132" s="4" t="n">
        <f aca="false">IF($B132=AA$1,1,0)</f>
        <v>0</v>
      </c>
      <c r="AB132" s="4" t="n">
        <f aca="false">IF($B132=AB$1,1,0)</f>
        <v>0</v>
      </c>
      <c r="AC132" s="4" t="n">
        <f aca="false">IF($B132=AC$1,1,0)</f>
        <v>0</v>
      </c>
      <c r="AD132" s="4" t="n">
        <f aca="false">IF($B132=AD$1,1,0)</f>
        <v>0</v>
      </c>
      <c r="AE132" s="4" t="n">
        <f aca="false">IF($B132=AE$1,1,0)</f>
        <v>0</v>
      </c>
      <c r="AF132" s="4" t="n">
        <f aca="false">IF($B132=AF$1,1,0)</f>
        <v>0</v>
      </c>
      <c r="AG132" s="4" t="n">
        <f aca="false">IF($B132=AG$1,1,0)</f>
        <v>0</v>
      </c>
      <c r="AH132" s="4" t="n">
        <f aca="false">IF($B132=AH$1,1,0)</f>
        <v>1</v>
      </c>
      <c r="AI132" s="4" t="n">
        <f aca="false">IF($B132=AI$1,1,0)</f>
        <v>0</v>
      </c>
      <c r="AJ132" s="4" t="n">
        <f aca="false">IF($B132=AJ$1,1,0)</f>
        <v>0</v>
      </c>
      <c r="AK132" s="4" t="n">
        <f aca="false">IF($B132=AK$1,1,0)</f>
        <v>0</v>
      </c>
      <c r="AL132" s="4" t="n">
        <f aca="false">IF($B132=AL$1,1,0)</f>
        <v>0</v>
      </c>
      <c r="AM132" s="4" t="n">
        <f aca="false">IF($B132=AM$1,1,0)</f>
        <v>0</v>
      </c>
      <c r="AN132" s="4" t="n">
        <f aca="false">IF($B132=AN$1,1,0)</f>
        <v>0</v>
      </c>
      <c r="AO132" s="4" t="n">
        <f aca="false">IF($B132=AO$1,1,0)</f>
        <v>0</v>
      </c>
      <c r="AP132" s="4" t="n">
        <f aca="false">IF($B132=AP$1,1,0)</f>
        <v>0</v>
      </c>
      <c r="AQ132" s="4" t="n">
        <f aca="false">IF($B132=AQ$1,1,0)</f>
        <v>0</v>
      </c>
      <c r="AR132" s="4" t="n">
        <f aca="false">IF($B132=AR$1,1,0)</f>
        <v>0</v>
      </c>
      <c r="AS132" s="4" t="n">
        <f aca="false">IF($B132=AS$1,1,0)</f>
        <v>0</v>
      </c>
      <c r="AT132" s="4" t="n">
        <f aca="false">IF($B132=AT$1,1,0)</f>
        <v>0</v>
      </c>
      <c r="BB132" s="4" t="n">
        <f aca="false">A132</f>
        <v>131</v>
      </c>
      <c r="BC132" s="7" t="n">
        <f aca="false">ABS($T132-$AX$2)+ABS($U132-$AY$2)+ABS($V132-$AZ$2)</f>
        <v>52963.8521126761</v>
      </c>
      <c r="BD132" s="7" t="n">
        <f aca="false">ABS($T132-$AX$3)+ABS($U132-$AY$3)+ABS($V132-$AZ$3)</f>
        <v>29132.2711864407</v>
      </c>
      <c r="BE132" s="7" t="n">
        <f aca="false">ABS($T132-$AX$4)+ABS($U132-$AY$4)+ABS($V132-$AZ$4)</f>
        <v>2035.07547169811</v>
      </c>
      <c r="BF132" s="7" t="n">
        <f aca="false">MIN(BC132:BE132)</f>
        <v>2035.07547169811</v>
      </c>
      <c r="BG132" s="4" t="n">
        <f aca="false">MATCH(BF132,BC132:BE132,0)</f>
        <v>3</v>
      </c>
      <c r="BH132" s="8" t="n">
        <v>3</v>
      </c>
      <c r="BI132" s="4" t="n">
        <f aca="false">IF(BG132=BH132,0,1)</f>
        <v>0</v>
      </c>
      <c r="BK132" s="8" t="n">
        <v>3</v>
      </c>
      <c r="BL132" s="8" t="n">
        <v>3</v>
      </c>
      <c r="BM132" s="8" t="n">
        <v>3</v>
      </c>
    </row>
    <row r="133" customFormat="false" ht="15" hidden="false" customHeight="false" outlineLevel="0" collapsed="false">
      <c r="A133" s="3" t="n">
        <v>132</v>
      </c>
      <c r="B133" s="3" t="s">
        <v>33</v>
      </c>
      <c r="C133" s="3" t="n">
        <v>0</v>
      </c>
      <c r="D133" s="3" t="n">
        <v>0</v>
      </c>
      <c r="E133" s="3" t="n">
        <v>1</v>
      </c>
      <c r="F133" s="3" t="n">
        <v>0</v>
      </c>
      <c r="G133" s="3" t="n">
        <v>0</v>
      </c>
      <c r="H133" s="3" t="n">
        <v>5</v>
      </c>
      <c r="I133" s="3" t="n">
        <v>5</v>
      </c>
      <c r="J133" s="3" t="n">
        <v>5</v>
      </c>
      <c r="K133" s="3" t="n">
        <v>3</v>
      </c>
      <c r="L133" s="3" t="n">
        <v>5</v>
      </c>
      <c r="M133" s="3" t="n">
        <v>5</v>
      </c>
      <c r="N133" s="3" t="n">
        <v>5</v>
      </c>
      <c r="O133" s="3" t="n">
        <v>5</v>
      </c>
      <c r="P133" s="3" t="n">
        <v>3</v>
      </c>
      <c r="Q133" s="3" t="n">
        <v>5</v>
      </c>
      <c r="R133" s="3" t="n">
        <v>5</v>
      </c>
      <c r="S133" s="3" t="n">
        <v>5</v>
      </c>
      <c r="T133" s="3" t="n">
        <v>0</v>
      </c>
      <c r="U133" s="3" t="n">
        <v>54</v>
      </c>
      <c r="V133" s="3" t="n">
        <v>58036</v>
      </c>
      <c r="W133" s="3" t="n">
        <v>1</v>
      </c>
      <c r="X133" s="3" t="n">
        <v>4</v>
      </c>
      <c r="Y133" s="3" t="n">
        <v>2</v>
      </c>
      <c r="Z133" s="3" t="n">
        <v>1</v>
      </c>
      <c r="AA133" s="4" t="n">
        <f aca="false">IF($B133=AA$1,1,0)</f>
        <v>0</v>
      </c>
      <c r="AB133" s="4" t="n">
        <f aca="false">IF($B133=AB$1,1,0)</f>
        <v>0</v>
      </c>
      <c r="AC133" s="4" t="n">
        <f aca="false">IF($B133=AC$1,1,0)</f>
        <v>0</v>
      </c>
      <c r="AD133" s="4" t="n">
        <f aca="false">IF($B133=AD$1,1,0)</f>
        <v>0</v>
      </c>
      <c r="AE133" s="4" t="n">
        <f aca="false">IF($B133=AE$1,1,0)</f>
        <v>0</v>
      </c>
      <c r="AF133" s="4" t="n">
        <f aca="false">IF($B133=AF$1,1,0)</f>
        <v>0</v>
      </c>
      <c r="AG133" s="4" t="n">
        <f aca="false">IF($B133=AG$1,1,0)</f>
        <v>0</v>
      </c>
      <c r="AH133" s="4" t="n">
        <f aca="false">IF($B133=AH$1,1,0)</f>
        <v>1</v>
      </c>
      <c r="AI133" s="4" t="n">
        <f aca="false">IF($B133=AI$1,1,0)</f>
        <v>0</v>
      </c>
      <c r="AJ133" s="4" t="n">
        <f aca="false">IF($B133=AJ$1,1,0)</f>
        <v>0</v>
      </c>
      <c r="AK133" s="4" t="n">
        <f aca="false">IF($B133=AK$1,1,0)</f>
        <v>0</v>
      </c>
      <c r="AL133" s="4" t="n">
        <f aca="false">IF($B133=AL$1,1,0)</f>
        <v>0</v>
      </c>
      <c r="AM133" s="4" t="n">
        <f aca="false">IF($B133=AM$1,1,0)</f>
        <v>0</v>
      </c>
      <c r="AN133" s="4" t="n">
        <f aca="false">IF($B133=AN$1,1,0)</f>
        <v>0</v>
      </c>
      <c r="AO133" s="4" t="n">
        <f aca="false">IF($B133=AO$1,1,0)</f>
        <v>0</v>
      </c>
      <c r="AP133" s="4" t="n">
        <f aca="false">IF($B133=AP$1,1,0)</f>
        <v>0</v>
      </c>
      <c r="AQ133" s="4" t="n">
        <f aca="false">IF($B133=AQ$1,1,0)</f>
        <v>0</v>
      </c>
      <c r="AR133" s="4" t="n">
        <f aca="false">IF($B133=AR$1,1,0)</f>
        <v>0</v>
      </c>
      <c r="AS133" s="4" t="n">
        <f aca="false">IF($B133=AS$1,1,0)</f>
        <v>0</v>
      </c>
      <c r="AT133" s="4" t="n">
        <f aca="false">IF($B133=AT$1,1,0)</f>
        <v>0</v>
      </c>
      <c r="BB133" s="4" t="n">
        <f aca="false">A133</f>
        <v>132</v>
      </c>
      <c r="BC133" s="7" t="n">
        <f aca="false">ABS($T133-$AX$2)+ABS($U133-$AY$2)+ABS($V133-$AZ$2)</f>
        <v>35217.2887323944</v>
      </c>
      <c r="BD133" s="7" t="n">
        <f aca="false">ABS($T133-$AX$3)+ABS($U133-$AY$3)+ABS($V133-$AZ$3)</f>
        <v>11385.6440677966</v>
      </c>
      <c r="BE133" s="7" t="n">
        <f aca="false">ABS($T133-$AX$4)+ABS($U133-$AY$4)+ABS($V133-$AZ$4)</f>
        <v>19770.6037735849</v>
      </c>
      <c r="BF133" s="7" t="n">
        <f aca="false">MIN(BC133:BE133)</f>
        <v>11385.6440677966</v>
      </c>
      <c r="BG133" s="4" t="n">
        <f aca="false">MATCH(BF133,BC133:BE133,0)</f>
        <v>2</v>
      </c>
      <c r="BH133" s="8" t="n">
        <v>2</v>
      </c>
      <c r="BI133" s="4" t="n">
        <f aca="false">IF(BG133=BH133,0,1)</f>
        <v>0</v>
      </c>
      <c r="BK133" s="8" t="n">
        <v>2</v>
      </c>
      <c r="BL133" s="8" t="n">
        <v>2</v>
      </c>
      <c r="BM133" s="8" t="n">
        <v>2</v>
      </c>
    </row>
    <row r="134" customFormat="false" ht="15" hidden="false" customHeight="false" outlineLevel="0" collapsed="false">
      <c r="A134" s="3" t="n">
        <v>133</v>
      </c>
      <c r="B134" s="3" t="s">
        <v>42</v>
      </c>
      <c r="C134" s="3" t="n">
        <v>1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5</v>
      </c>
      <c r="I134" s="3" t="n">
        <v>5</v>
      </c>
      <c r="J134" s="3" t="n">
        <v>5</v>
      </c>
      <c r="K134" s="3" t="n">
        <v>5</v>
      </c>
      <c r="L134" s="3" t="n">
        <v>5</v>
      </c>
      <c r="M134" s="3" t="n">
        <v>4</v>
      </c>
      <c r="N134" s="3" t="n">
        <v>2</v>
      </c>
      <c r="O134" s="3" t="n">
        <v>3</v>
      </c>
      <c r="P134" s="3" t="n">
        <v>4</v>
      </c>
      <c r="Q134" s="3" t="n">
        <v>3</v>
      </c>
      <c r="R134" s="3" t="n">
        <v>3</v>
      </c>
      <c r="S134" s="3" t="n">
        <v>3</v>
      </c>
      <c r="T134" s="3" t="n">
        <v>0</v>
      </c>
      <c r="U134" s="3" t="n">
        <v>57</v>
      </c>
      <c r="V134" s="3" t="n">
        <v>82425</v>
      </c>
      <c r="W134" s="3" t="n">
        <v>2</v>
      </c>
      <c r="X134" s="3" t="n">
        <v>4</v>
      </c>
      <c r="Y134" s="3" t="n">
        <v>2</v>
      </c>
      <c r="Z134" s="3" t="n">
        <v>1</v>
      </c>
      <c r="AA134" s="4" t="n">
        <f aca="false">IF($B134=AA$1,1,0)</f>
        <v>0</v>
      </c>
      <c r="AB134" s="4" t="n">
        <f aca="false">IF($B134=AB$1,1,0)</f>
        <v>0</v>
      </c>
      <c r="AC134" s="4" t="n">
        <f aca="false">IF($B134=AC$1,1,0)</f>
        <v>0</v>
      </c>
      <c r="AD134" s="4" t="n">
        <f aca="false">IF($B134=AD$1,1,0)</f>
        <v>0</v>
      </c>
      <c r="AE134" s="4" t="n">
        <f aca="false">IF($B134=AE$1,1,0)</f>
        <v>0</v>
      </c>
      <c r="AF134" s="4" t="n">
        <f aca="false">IF($B134=AF$1,1,0)</f>
        <v>0</v>
      </c>
      <c r="AG134" s="4" t="n">
        <f aca="false">IF($B134=AG$1,1,0)</f>
        <v>0</v>
      </c>
      <c r="AH134" s="4" t="n">
        <f aca="false">IF($B134=AH$1,1,0)</f>
        <v>0</v>
      </c>
      <c r="AI134" s="4" t="n">
        <f aca="false">IF($B134=AI$1,1,0)</f>
        <v>0</v>
      </c>
      <c r="AJ134" s="4" t="n">
        <f aca="false">IF($B134=AJ$1,1,0)</f>
        <v>0</v>
      </c>
      <c r="AK134" s="4" t="n">
        <f aca="false">IF($B134=AK$1,1,0)</f>
        <v>0</v>
      </c>
      <c r="AL134" s="4" t="n">
        <f aca="false">IF($B134=AL$1,1,0)</f>
        <v>0</v>
      </c>
      <c r="AM134" s="4" t="n">
        <f aca="false">IF($B134=AM$1,1,0)</f>
        <v>0</v>
      </c>
      <c r="AN134" s="4" t="n">
        <f aca="false">IF($B134=AN$1,1,0)</f>
        <v>0</v>
      </c>
      <c r="AO134" s="4" t="n">
        <f aca="false">IF($B134=AO$1,1,0)</f>
        <v>0</v>
      </c>
      <c r="AP134" s="4" t="n">
        <f aca="false">IF($B134=AP$1,1,0)</f>
        <v>0</v>
      </c>
      <c r="AQ134" s="4" t="n">
        <f aca="false">IF($B134=AQ$1,1,0)</f>
        <v>1</v>
      </c>
      <c r="AR134" s="4" t="n">
        <f aca="false">IF($B134=AR$1,1,0)</f>
        <v>0</v>
      </c>
      <c r="AS134" s="4" t="n">
        <f aca="false">IF($B134=AS$1,1,0)</f>
        <v>0</v>
      </c>
      <c r="AT134" s="4" t="n">
        <f aca="false">IF($B134=AT$1,1,0)</f>
        <v>0</v>
      </c>
      <c r="BB134" s="4" t="n">
        <f aca="false">A134</f>
        <v>133</v>
      </c>
      <c r="BC134" s="7" t="n">
        <f aca="false">ABS($T134-$AX$2)+ABS($U134-$AY$2)+ABS($V134-$AZ$2)</f>
        <v>59609.2887323944</v>
      </c>
      <c r="BD134" s="7" t="n">
        <f aca="false">ABS($T134-$AX$3)+ABS($U134-$AY$3)+ABS($V134-$AZ$3)</f>
        <v>35777.6440677966</v>
      </c>
      <c r="BE134" s="7" t="n">
        <f aca="false">ABS($T134-$AX$4)+ABS($U134-$AY$4)+ABS($V134-$AZ$4)</f>
        <v>4645.88679245283</v>
      </c>
      <c r="BF134" s="7" t="n">
        <f aca="false">MIN(BC134:BE134)</f>
        <v>4645.88679245283</v>
      </c>
      <c r="BG134" s="4" t="n">
        <f aca="false">MATCH(BF134,BC134:BE134,0)</f>
        <v>3</v>
      </c>
      <c r="BH134" s="8" t="n">
        <v>3</v>
      </c>
      <c r="BI134" s="4" t="n">
        <f aca="false">IF(BG134=BH134,0,1)</f>
        <v>0</v>
      </c>
      <c r="BK134" s="8" t="n">
        <v>3</v>
      </c>
      <c r="BL134" s="8" t="n">
        <v>3</v>
      </c>
      <c r="BM134" s="8" t="n">
        <v>3</v>
      </c>
    </row>
    <row r="135" customFormat="false" ht="15" hidden="false" customHeight="false" outlineLevel="0" collapsed="false">
      <c r="A135" s="3" t="n">
        <v>134</v>
      </c>
      <c r="B135" s="3" t="s">
        <v>35</v>
      </c>
      <c r="C135" s="3" t="n">
        <v>1</v>
      </c>
      <c r="D135" s="3" t="n">
        <v>1</v>
      </c>
      <c r="E135" s="3" t="n">
        <v>1</v>
      </c>
      <c r="F135" s="3" t="n">
        <v>0</v>
      </c>
      <c r="G135" s="3" t="n">
        <v>0</v>
      </c>
      <c r="H135" s="3" t="n">
        <v>5</v>
      </c>
      <c r="I135" s="3" t="n">
        <v>5</v>
      </c>
      <c r="J135" s="3" t="n">
        <v>5</v>
      </c>
      <c r="K135" s="3" t="n">
        <v>5</v>
      </c>
      <c r="L135" s="3" t="n">
        <v>5</v>
      </c>
      <c r="M135" s="3" t="n">
        <v>5</v>
      </c>
      <c r="N135" s="3" t="n">
        <v>5</v>
      </c>
      <c r="O135" s="3" t="n">
        <v>4</v>
      </c>
      <c r="P135" s="3" t="n">
        <v>5</v>
      </c>
      <c r="Q135" s="3" t="n">
        <v>5</v>
      </c>
      <c r="R135" s="3" t="n">
        <v>5</v>
      </c>
      <c r="S135" s="3" t="n">
        <v>4</v>
      </c>
      <c r="T135" s="3" t="n">
        <v>0</v>
      </c>
      <c r="U135" s="3" t="n">
        <v>29</v>
      </c>
      <c r="V135" s="3" t="n">
        <v>14472</v>
      </c>
      <c r="W135" s="3" t="n">
        <v>1</v>
      </c>
      <c r="X135" s="3" t="n">
        <v>3</v>
      </c>
      <c r="Y135" s="3" t="n">
        <v>1</v>
      </c>
      <c r="Z135" s="3" t="n">
        <v>2</v>
      </c>
      <c r="AA135" s="4" t="n">
        <f aca="false">IF($B135=AA$1,1,0)</f>
        <v>0</v>
      </c>
      <c r="AB135" s="4" t="n">
        <f aca="false">IF($B135=AB$1,1,0)</f>
        <v>0</v>
      </c>
      <c r="AC135" s="4" t="n">
        <f aca="false">IF($B135=AC$1,1,0)</f>
        <v>0</v>
      </c>
      <c r="AD135" s="4" t="n">
        <f aca="false">IF($B135=AD$1,1,0)</f>
        <v>0</v>
      </c>
      <c r="AE135" s="4" t="n">
        <f aca="false">IF($B135=AE$1,1,0)</f>
        <v>0</v>
      </c>
      <c r="AF135" s="4" t="n">
        <f aca="false">IF($B135=AF$1,1,0)</f>
        <v>0</v>
      </c>
      <c r="AG135" s="4" t="n">
        <f aca="false">IF($B135=AG$1,1,0)</f>
        <v>0</v>
      </c>
      <c r="AH135" s="4" t="n">
        <f aca="false">IF($B135=AH$1,1,0)</f>
        <v>0</v>
      </c>
      <c r="AI135" s="4" t="n">
        <f aca="false">IF($B135=AI$1,1,0)</f>
        <v>0</v>
      </c>
      <c r="AJ135" s="4" t="n">
        <f aca="false">IF($B135=AJ$1,1,0)</f>
        <v>1</v>
      </c>
      <c r="AK135" s="4" t="n">
        <f aca="false">IF($B135=AK$1,1,0)</f>
        <v>0</v>
      </c>
      <c r="AL135" s="4" t="n">
        <f aca="false">IF($B135=AL$1,1,0)</f>
        <v>0</v>
      </c>
      <c r="AM135" s="4" t="n">
        <f aca="false">IF($B135=AM$1,1,0)</f>
        <v>0</v>
      </c>
      <c r="AN135" s="4" t="n">
        <f aca="false">IF($B135=AN$1,1,0)</f>
        <v>0</v>
      </c>
      <c r="AO135" s="4" t="n">
        <f aca="false">IF($B135=AO$1,1,0)</f>
        <v>0</v>
      </c>
      <c r="AP135" s="4" t="n">
        <f aca="false">IF($B135=AP$1,1,0)</f>
        <v>0</v>
      </c>
      <c r="AQ135" s="4" t="n">
        <f aca="false">IF($B135=AQ$1,1,0)</f>
        <v>0</v>
      </c>
      <c r="AR135" s="4" t="n">
        <f aca="false">IF($B135=AR$1,1,0)</f>
        <v>0</v>
      </c>
      <c r="AS135" s="4" t="n">
        <f aca="false">IF($B135=AS$1,1,0)</f>
        <v>0</v>
      </c>
      <c r="AT135" s="4" t="n">
        <f aca="false">IF($B135=AT$1,1,0)</f>
        <v>0</v>
      </c>
      <c r="BB135" s="4" t="n">
        <f aca="false">A135</f>
        <v>134</v>
      </c>
      <c r="BC135" s="7" t="n">
        <f aca="false">ABS($T135-$AX$2)+ABS($U135-$AY$2)+ABS($V135-$AZ$2)</f>
        <v>8372.14788732395</v>
      </c>
      <c r="BD135" s="7" t="n">
        <f aca="false">ABS($T135-$AX$3)+ABS($U135-$AY$3)+ABS($V135-$AZ$3)</f>
        <v>32203.7288135593</v>
      </c>
      <c r="BE135" s="7" t="n">
        <f aca="false">ABS($T135-$AX$4)+ABS($U135-$AY$4)+ABS($V135-$AZ$4)</f>
        <v>63335.641509434</v>
      </c>
      <c r="BF135" s="7" t="n">
        <f aca="false">MIN(BC135:BE135)</f>
        <v>8372.14788732395</v>
      </c>
      <c r="BG135" s="4" t="n">
        <f aca="false">MATCH(BF135,BC135:BE135,0)</f>
        <v>1</v>
      </c>
      <c r="BH135" s="8" t="n">
        <v>1</v>
      </c>
      <c r="BI135" s="4" t="n">
        <f aca="false">IF(BG135=BH135,0,1)</f>
        <v>0</v>
      </c>
      <c r="BK135" s="8" t="n">
        <v>1</v>
      </c>
      <c r="BL135" s="8" t="n">
        <v>1</v>
      </c>
      <c r="BM135" s="8" t="n">
        <v>1</v>
      </c>
    </row>
    <row r="136" customFormat="false" ht="15" hidden="false" customHeight="false" outlineLevel="0" collapsed="false">
      <c r="A136" s="3" t="n">
        <v>135</v>
      </c>
      <c r="B136" s="3" t="s">
        <v>33</v>
      </c>
      <c r="C136" s="3" t="n">
        <v>0</v>
      </c>
      <c r="D136" s="3" t="n">
        <v>0</v>
      </c>
      <c r="E136" s="3" t="n">
        <v>1</v>
      </c>
      <c r="F136" s="3" t="n">
        <v>0</v>
      </c>
      <c r="G136" s="3" t="n">
        <v>0</v>
      </c>
      <c r="H136" s="3" t="n">
        <v>4</v>
      </c>
      <c r="I136" s="3" t="n">
        <v>4</v>
      </c>
      <c r="J136" s="3" t="n">
        <v>4</v>
      </c>
      <c r="K136" s="3" t="n">
        <v>5</v>
      </c>
      <c r="L136" s="3" t="n">
        <v>5</v>
      </c>
      <c r="M136" s="3" t="n">
        <v>4</v>
      </c>
      <c r="N136" s="3" t="n">
        <v>4</v>
      </c>
      <c r="O136" s="3" t="n">
        <v>4</v>
      </c>
      <c r="P136" s="3" t="n">
        <v>2</v>
      </c>
      <c r="Q136" s="3" t="n">
        <v>5</v>
      </c>
      <c r="R136" s="3" t="n">
        <v>5</v>
      </c>
      <c r="S136" s="3" t="n">
        <v>4</v>
      </c>
      <c r="T136" s="3" t="n">
        <v>1</v>
      </c>
      <c r="U136" s="3" t="n">
        <v>33</v>
      </c>
      <c r="V136" s="3" t="n">
        <v>80682</v>
      </c>
      <c r="W136" s="3" t="n">
        <v>5</v>
      </c>
      <c r="X136" s="3" t="n">
        <v>3</v>
      </c>
      <c r="Y136" s="3" t="n">
        <v>2</v>
      </c>
      <c r="Z136" s="3" t="n">
        <v>1</v>
      </c>
      <c r="AA136" s="4" t="n">
        <f aca="false">IF($B136=AA$1,1,0)</f>
        <v>0</v>
      </c>
      <c r="AB136" s="4" t="n">
        <f aca="false">IF($B136=AB$1,1,0)</f>
        <v>0</v>
      </c>
      <c r="AC136" s="4" t="n">
        <f aca="false">IF($B136=AC$1,1,0)</f>
        <v>0</v>
      </c>
      <c r="AD136" s="4" t="n">
        <f aca="false">IF($B136=AD$1,1,0)</f>
        <v>0</v>
      </c>
      <c r="AE136" s="4" t="n">
        <f aca="false">IF($B136=AE$1,1,0)</f>
        <v>0</v>
      </c>
      <c r="AF136" s="4" t="n">
        <f aca="false">IF($B136=AF$1,1,0)</f>
        <v>0</v>
      </c>
      <c r="AG136" s="4" t="n">
        <f aca="false">IF($B136=AG$1,1,0)</f>
        <v>0</v>
      </c>
      <c r="AH136" s="4" t="n">
        <f aca="false">IF($B136=AH$1,1,0)</f>
        <v>1</v>
      </c>
      <c r="AI136" s="4" t="n">
        <f aca="false">IF($B136=AI$1,1,0)</f>
        <v>0</v>
      </c>
      <c r="AJ136" s="4" t="n">
        <f aca="false">IF($B136=AJ$1,1,0)</f>
        <v>0</v>
      </c>
      <c r="AK136" s="4" t="n">
        <f aca="false">IF($B136=AK$1,1,0)</f>
        <v>0</v>
      </c>
      <c r="AL136" s="4" t="n">
        <f aca="false">IF($B136=AL$1,1,0)</f>
        <v>0</v>
      </c>
      <c r="AM136" s="4" t="n">
        <f aca="false">IF($B136=AM$1,1,0)</f>
        <v>0</v>
      </c>
      <c r="AN136" s="4" t="n">
        <f aca="false">IF($B136=AN$1,1,0)</f>
        <v>0</v>
      </c>
      <c r="AO136" s="4" t="n">
        <f aca="false">IF($B136=AO$1,1,0)</f>
        <v>0</v>
      </c>
      <c r="AP136" s="4" t="n">
        <f aca="false">IF($B136=AP$1,1,0)</f>
        <v>0</v>
      </c>
      <c r="AQ136" s="4" t="n">
        <f aca="false">IF($B136=AQ$1,1,0)</f>
        <v>0</v>
      </c>
      <c r="AR136" s="4" t="n">
        <f aca="false">IF($B136=AR$1,1,0)</f>
        <v>0</v>
      </c>
      <c r="AS136" s="4" t="n">
        <f aca="false">IF($B136=AS$1,1,0)</f>
        <v>0</v>
      </c>
      <c r="AT136" s="4" t="n">
        <f aca="false">IF($B136=AT$1,1,0)</f>
        <v>0</v>
      </c>
      <c r="BB136" s="4" t="n">
        <f aca="false">A136</f>
        <v>135</v>
      </c>
      <c r="BC136" s="7" t="n">
        <f aca="false">ABS($T136-$AX$2)+ABS($U136-$AY$2)+ABS($V136-$AZ$2)</f>
        <v>57854.3309859155</v>
      </c>
      <c r="BD136" s="7" t="n">
        <f aca="false">ABS($T136-$AX$3)+ABS($U136-$AY$3)+ABS($V136-$AZ$3)</f>
        <v>34028.0338983051</v>
      </c>
      <c r="BE136" s="7" t="n">
        <f aca="false">ABS($T136-$AX$4)+ABS($U136-$AY$4)+ABS($V136-$AZ$4)</f>
        <v>2897.39622641509</v>
      </c>
      <c r="BF136" s="7" t="n">
        <f aca="false">MIN(BC136:BE136)</f>
        <v>2897.39622641509</v>
      </c>
      <c r="BG136" s="4" t="n">
        <f aca="false">MATCH(BF136,BC136:BE136,0)</f>
        <v>3</v>
      </c>
      <c r="BH136" s="8" t="n">
        <v>3</v>
      </c>
      <c r="BI136" s="4" t="n">
        <f aca="false">IF(BG136=BH136,0,1)</f>
        <v>0</v>
      </c>
      <c r="BK136" s="8" t="n">
        <v>3</v>
      </c>
      <c r="BL136" s="8" t="n">
        <v>3</v>
      </c>
      <c r="BM136" s="8" t="n">
        <v>3</v>
      </c>
    </row>
    <row r="137" customFormat="false" ht="15" hidden="false" customHeight="false" outlineLevel="0" collapsed="false">
      <c r="A137" s="3" t="n">
        <v>136</v>
      </c>
      <c r="B137" s="3" t="s">
        <v>42</v>
      </c>
      <c r="C137" s="3" t="n">
        <v>1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4</v>
      </c>
      <c r="I137" s="3" t="n">
        <v>4</v>
      </c>
      <c r="J137" s="3" t="n">
        <v>5</v>
      </c>
      <c r="K137" s="3" t="n">
        <v>5</v>
      </c>
      <c r="L137" s="3" t="n">
        <v>5</v>
      </c>
      <c r="M137" s="3" t="n">
        <v>4</v>
      </c>
      <c r="N137" s="3" t="n">
        <v>4</v>
      </c>
      <c r="O137" s="3" t="n">
        <v>3</v>
      </c>
      <c r="P137" s="3" t="n">
        <v>3</v>
      </c>
      <c r="Q137" s="3" t="n">
        <v>5</v>
      </c>
      <c r="R137" s="3" t="n">
        <v>4</v>
      </c>
      <c r="S137" s="3" t="n">
        <v>4</v>
      </c>
      <c r="T137" s="3" t="n">
        <v>0</v>
      </c>
      <c r="U137" s="3" t="n">
        <v>21</v>
      </c>
      <c r="V137" s="3" t="n">
        <v>28482</v>
      </c>
      <c r="W137" s="3" t="n">
        <v>1</v>
      </c>
      <c r="X137" s="3" t="n">
        <v>4</v>
      </c>
      <c r="Y137" s="3" t="n">
        <v>1</v>
      </c>
      <c r="Z137" s="3" t="n">
        <v>1</v>
      </c>
      <c r="AA137" s="4" t="n">
        <f aca="false">IF($B137=AA$1,1,0)</f>
        <v>0</v>
      </c>
      <c r="AB137" s="4" t="n">
        <f aca="false">IF($B137=AB$1,1,0)</f>
        <v>0</v>
      </c>
      <c r="AC137" s="4" t="n">
        <f aca="false">IF($B137=AC$1,1,0)</f>
        <v>0</v>
      </c>
      <c r="AD137" s="4" t="n">
        <f aca="false">IF($B137=AD$1,1,0)</f>
        <v>0</v>
      </c>
      <c r="AE137" s="4" t="n">
        <f aca="false">IF($B137=AE$1,1,0)</f>
        <v>0</v>
      </c>
      <c r="AF137" s="4" t="n">
        <f aca="false">IF($B137=AF$1,1,0)</f>
        <v>0</v>
      </c>
      <c r="AG137" s="4" t="n">
        <f aca="false">IF($B137=AG$1,1,0)</f>
        <v>0</v>
      </c>
      <c r="AH137" s="4" t="n">
        <f aca="false">IF($B137=AH$1,1,0)</f>
        <v>0</v>
      </c>
      <c r="AI137" s="4" t="n">
        <f aca="false">IF($B137=AI$1,1,0)</f>
        <v>0</v>
      </c>
      <c r="AJ137" s="4" t="n">
        <f aca="false">IF($B137=AJ$1,1,0)</f>
        <v>0</v>
      </c>
      <c r="AK137" s="4" t="n">
        <f aca="false">IF($B137=AK$1,1,0)</f>
        <v>0</v>
      </c>
      <c r="AL137" s="4" t="n">
        <f aca="false">IF($B137=AL$1,1,0)</f>
        <v>0</v>
      </c>
      <c r="AM137" s="4" t="n">
        <f aca="false">IF($B137=AM$1,1,0)</f>
        <v>0</v>
      </c>
      <c r="AN137" s="4" t="n">
        <f aca="false">IF($B137=AN$1,1,0)</f>
        <v>0</v>
      </c>
      <c r="AO137" s="4" t="n">
        <f aca="false">IF($B137=AO$1,1,0)</f>
        <v>0</v>
      </c>
      <c r="AP137" s="4" t="n">
        <f aca="false">IF($B137=AP$1,1,0)</f>
        <v>0</v>
      </c>
      <c r="AQ137" s="4" t="n">
        <f aca="false">IF($B137=AQ$1,1,0)</f>
        <v>1</v>
      </c>
      <c r="AR137" s="4" t="n">
        <f aca="false">IF($B137=AR$1,1,0)</f>
        <v>0</v>
      </c>
      <c r="AS137" s="4" t="n">
        <f aca="false">IF($B137=AS$1,1,0)</f>
        <v>0</v>
      </c>
      <c r="AT137" s="4" t="n">
        <f aca="false">IF($B137=AT$1,1,0)</f>
        <v>0</v>
      </c>
      <c r="BB137" s="4" t="n">
        <f aca="false">A137</f>
        <v>136</v>
      </c>
      <c r="BC137" s="7" t="n">
        <f aca="false">ABS($T137-$AX$2)+ABS($U137-$AY$2)+ABS($V137-$AZ$2)</f>
        <v>5665.7676056338</v>
      </c>
      <c r="BD137" s="7" t="n">
        <f aca="false">ABS($T137-$AX$3)+ABS($U137-$AY$3)+ABS($V137-$AZ$3)</f>
        <v>18201.7288135593</v>
      </c>
      <c r="BE137" s="7" t="n">
        <f aca="false">ABS($T137-$AX$4)+ABS($U137-$AY$4)+ABS($V137-$AZ$4)</f>
        <v>49333.641509434</v>
      </c>
      <c r="BF137" s="7" t="n">
        <f aca="false">MIN(BC137:BE137)</f>
        <v>5665.7676056338</v>
      </c>
      <c r="BG137" s="4" t="n">
        <f aca="false">MATCH(BF137,BC137:BE137,0)</f>
        <v>1</v>
      </c>
      <c r="BH137" s="8" t="n">
        <v>1</v>
      </c>
      <c r="BI137" s="4" t="n">
        <f aca="false">IF(BG137=BH137,0,1)</f>
        <v>0</v>
      </c>
      <c r="BK137" s="8" t="n">
        <v>1</v>
      </c>
      <c r="BL137" s="8" t="n">
        <v>1</v>
      </c>
      <c r="BM137" s="8" t="n">
        <v>1</v>
      </c>
    </row>
    <row r="138" customFormat="false" ht="15" hidden="false" customHeight="false" outlineLevel="0" collapsed="false">
      <c r="A138" s="3" t="n">
        <v>137</v>
      </c>
      <c r="B138" s="3" t="s">
        <v>33</v>
      </c>
      <c r="C138" s="3" t="n">
        <v>0</v>
      </c>
      <c r="D138" s="3" t="n">
        <v>1</v>
      </c>
      <c r="E138" s="3" t="n">
        <v>0</v>
      </c>
      <c r="F138" s="3" t="n">
        <v>0</v>
      </c>
      <c r="G138" s="3" t="n">
        <v>0</v>
      </c>
      <c r="H138" s="3" t="n">
        <v>4</v>
      </c>
      <c r="I138" s="3" t="n">
        <v>4</v>
      </c>
      <c r="J138" s="3" t="n">
        <v>4</v>
      </c>
      <c r="K138" s="3" t="n">
        <v>4</v>
      </c>
      <c r="L138" s="3" t="n">
        <v>5</v>
      </c>
      <c r="M138" s="3" t="n">
        <v>4</v>
      </c>
      <c r="N138" s="3" t="n">
        <v>3</v>
      </c>
      <c r="O138" s="3" t="n">
        <v>4</v>
      </c>
      <c r="P138" s="3" t="n">
        <v>3</v>
      </c>
      <c r="Q138" s="3" t="n">
        <v>5</v>
      </c>
      <c r="R138" s="3" t="n">
        <v>5</v>
      </c>
      <c r="S138" s="3" t="n">
        <v>5</v>
      </c>
      <c r="T138" s="3" t="n">
        <v>0</v>
      </c>
      <c r="U138" s="3" t="n">
        <v>60</v>
      </c>
      <c r="V138" s="3" t="n">
        <v>74211</v>
      </c>
      <c r="W138" s="3" t="n">
        <v>3</v>
      </c>
      <c r="X138" s="3" t="n">
        <v>3</v>
      </c>
      <c r="Y138" s="3" t="n">
        <v>2</v>
      </c>
      <c r="Z138" s="3" t="n">
        <v>2</v>
      </c>
      <c r="AA138" s="4" t="n">
        <f aca="false">IF($B138=AA$1,1,0)</f>
        <v>0</v>
      </c>
      <c r="AB138" s="4" t="n">
        <f aca="false">IF($B138=AB$1,1,0)</f>
        <v>0</v>
      </c>
      <c r="AC138" s="4" t="n">
        <f aca="false">IF($B138=AC$1,1,0)</f>
        <v>0</v>
      </c>
      <c r="AD138" s="4" t="n">
        <f aca="false">IF($B138=AD$1,1,0)</f>
        <v>0</v>
      </c>
      <c r="AE138" s="4" t="n">
        <f aca="false">IF($B138=AE$1,1,0)</f>
        <v>0</v>
      </c>
      <c r="AF138" s="4" t="n">
        <f aca="false">IF($B138=AF$1,1,0)</f>
        <v>0</v>
      </c>
      <c r="AG138" s="4" t="n">
        <f aca="false">IF($B138=AG$1,1,0)</f>
        <v>0</v>
      </c>
      <c r="AH138" s="4" t="n">
        <f aca="false">IF($B138=AH$1,1,0)</f>
        <v>1</v>
      </c>
      <c r="AI138" s="4" t="n">
        <f aca="false">IF($B138=AI$1,1,0)</f>
        <v>0</v>
      </c>
      <c r="AJ138" s="4" t="n">
        <f aca="false">IF($B138=AJ$1,1,0)</f>
        <v>0</v>
      </c>
      <c r="AK138" s="4" t="n">
        <f aca="false">IF($B138=AK$1,1,0)</f>
        <v>0</v>
      </c>
      <c r="AL138" s="4" t="n">
        <f aca="false">IF($B138=AL$1,1,0)</f>
        <v>0</v>
      </c>
      <c r="AM138" s="4" t="n">
        <f aca="false">IF($B138=AM$1,1,0)</f>
        <v>0</v>
      </c>
      <c r="AN138" s="4" t="n">
        <f aca="false">IF($B138=AN$1,1,0)</f>
        <v>0</v>
      </c>
      <c r="AO138" s="4" t="n">
        <f aca="false">IF($B138=AO$1,1,0)</f>
        <v>0</v>
      </c>
      <c r="AP138" s="4" t="n">
        <f aca="false">IF($B138=AP$1,1,0)</f>
        <v>0</v>
      </c>
      <c r="AQ138" s="4" t="n">
        <f aca="false">IF($B138=AQ$1,1,0)</f>
        <v>0</v>
      </c>
      <c r="AR138" s="4" t="n">
        <f aca="false">IF($B138=AR$1,1,0)</f>
        <v>0</v>
      </c>
      <c r="AS138" s="4" t="n">
        <f aca="false">IF($B138=AS$1,1,0)</f>
        <v>0</v>
      </c>
      <c r="AT138" s="4" t="n">
        <f aca="false">IF($B138=AT$1,1,0)</f>
        <v>0</v>
      </c>
      <c r="BB138" s="4" t="n">
        <f aca="false">A138</f>
        <v>137</v>
      </c>
      <c r="BC138" s="7" t="n">
        <f aca="false">ABS($T138-$AX$2)+ABS($U138-$AY$2)+ABS($V138-$AZ$2)</f>
        <v>51398.2887323944</v>
      </c>
      <c r="BD138" s="7" t="n">
        <f aca="false">ABS($T138-$AX$3)+ABS($U138-$AY$3)+ABS($V138-$AZ$3)</f>
        <v>27566.6440677966</v>
      </c>
      <c r="BE138" s="7" t="n">
        <f aca="false">ABS($T138-$AX$4)+ABS($U138-$AY$4)+ABS($V138-$AZ$4)</f>
        <v>3601.60377358491</v>
      </c>
      <c r="BF138" s="7" t="n">
        <f aca="false">MIN(BC138:BE138)</f>
        <v>3601.60377358491</v>
      </c>
      <c r="BG138" s="4" t="n">
        <f aca="false">MATCH(BF138,BC138:BE138,0)</f>
        <v>3</v>
      </c>
      <c r="BH138" s="8" t="n">
        <v>3</v>
      </c>
      <c r="BI138" s="4" t="n">
        <f aca="false">IF(BG138=BH138,0,1)</f>
        <v>0</v>
      </c>
      <c r="BK138" s="8" t="n">
        <v>3</v>
      </c>
      <c r="BL138" s="8" t="n">
        <v>3</v>
      </c>
      <c r="BM138" s="8" t="n">
        <v>3</v>
      </c>
    </row>
    <row r="139" customFormat="false" ht="15" hidden="false" customHeight="false" outlineLevel="0" collapsed="false">
      <c r="A139" s="3" t="n">
        <v>138</v>
      </c>
      <c r="B139" s="3" t="s">
        <v>38</v>
      </c>
      <c r="C139" s="3" t="n">
        <v>0</v>
      </c>
      <c r="D139" s="3" t="n">
        <v>0</v>
      </c>
      <c r="E139" s="3" t="n">
        <v>1</v>
      </c>
      <c r="F139" s="3" t="n">
        <v>0</v>
      </c>
      <c r="G139" s="3" t="n">
        <v>0</v>
      </c>
      <c r="H139" s="3" t="n">
        <v>5</v>
      </c>
      <c r="I139" s="3" t="n">
        <v>5</v>
      </c>
      <c r="J139" s="3" t="n">
        <v>4</v>
      </c>
      <c r="K139" s="3" t="n">
        <v>4</v>
      </c>
      <c r="L139" s="3" t="n">
        <v>5</v>
      </c>
      <c r="M139" s="3" t="n">
        <v>4</v>
      </c>
      <c r="N139" s="3" t="n">
        <v>2</v>
      </c>
      <c r="O139" s="3" t="n">
        <v>5</v>
      </c>
      <c r="P139" s="3" t="n">
        <v>5</v>
      </c>
      <c r="Q139" s="3" t="n">
        <v>5</v>
      </c>
      <c r="R139" s="3" t="n">
        <v>5</v>
      </c>
      <c r="S139" s="3" t="n">
        <v>5</v>
      </c>
      <c r="T139" s="3" t="n">
        <v>0</v>
      </c>
      <c r="U139" s="3" t="n">
        <v>43</v>
      </c>
      <c r="V139" s="3" t="n">
        <v>42644</v>
      </c>
      <c r="W139" s="3" t="n">
        <v>1</v>
      </c>
      <c r="X139" s="3" t="n">
        <v>2</v>
      </c>
      <c r="Y139" s="3" t="n">
        <v>2</v>
      </c>
      <c r="Z139" s="3" t="n">
        <v>2</v>
      </c>
      <c r="AA139" s="4" t="n">
        <f aca="false">IF($B139=AA$1,1,0)</f>
        <v>0</v>
      </c>
      <c r="AB139" s="4" t="n">
        <f aca="false">IF($B139=AB$1,1,0)</f>
        <v>0</v>
      </c>
      <c r="AC139" s="4" t="n">
        <f aca="false">IF($B139=AC$1,1,0)</f>
        <v>0</v>
      </c>
      <c r="AD139" s="4" t="n">
        <f aca="false">IF($B139=AD$1,1,0)</f>
        <v>0</v>
      </c>
      <c r="AE139" s="4" t="n">
        <f aca="false">IF($B139=AE$1,1,0)</f>
        <v>0</v>
      </c>
      <c r="AF139" s="4" t="n">
        <f aca="false">IF($B139=AF$1,1,0)</f>
        <v>0</v>
      </c>
      <c r="AG139" s="4" t="n">
        <f aca="false">IF($B139=AG$1,1,0)</f>
        <v>0</v>
      </c>
      <c r="AH139" s="4" t="n">
        <f aca="false">IF($B139=AH$1,1,0)</f>
        <v>0</v>
      </c>
      <c r="AI139" s="4" t="n">
        <f aca="false">IF($B139=AI$1,1,0)</f>
        <v>0</v>
      </c>
      <c r="AJ139" s="4" t="n">
        <f aca="false">IF($B139=AJ$1,1,0)</f>
        <v>0</v>
      </c>
      <c r="AK139" s="4" t="n">
        <f aca="false">IF($B139=AK$1,1,0)</f>
        <v>0</v>
      </c>
      <c r="AL139" s="4" t="n">
        <f aca="false">IF($B139=AL$1,1,0)</f>
        <v>0</v>
      </c>
      <c r="AM139" s="4" t="n">
        <f aca="false">IF($B139=AM$1,1,0)</f>
        <v>1</v>
      </c>
      <c r="AN139" s="4" t="n">
        <f aca="false">IF($B139=AN$1,1,0)</f>
        <v>0</v>
      </c>
      <c r="AO139" s="4" t="n">
        <f aca="false">IF($B139=AO$1,1,0)</f>
        <v>0</v>
      </c>
      <c r="AP139" s="4" t="n">
        <f aca="false">IF($B139=AP$1,1,0)</f>
        <v>0</v>
      </c>
      <c r="AQ139" s="4" t="n">
        <f aca="false">IF($B139=AQ$1,1,0)</f>
        <v>0</v>
      </c>
      <c r="AR139" s="4" t="n">
        <f aca="false">IF($B139=AR$1,1,0)</f>
        <v>0</v>
      </c>
      <c r="AS139" s="4" t="n">
        <f aca="false">IF($B139=AS$1,1,0)</f>
        <v>0</v>
      </c>
      <c r="AT139" s="4" t="n">
        <f aca="false">IF($B139=AT$1,1,0)</f>
        <v>0</v>
      </c>
      <c r="BB139" s="4" t="n">
        <f aca="false">A139</f>
        <v>138</v>
      </c>
      <c r="BC139" s="7" t="n">
        <f aca="false">ABS($T139-$AX$2)+ABS($U139-$AY$2)+ABS($V139-$AZ$2)</f>
        <v>19814.2887323944</v>
      </c>
      <c r="BD139" s="7" t="n">
        <f aca="false">ABS($T139-$AX$3)+ABS($U139-$AY$3)+ABS($V139-$AZ$3)</f>
        <v>4020.96610169492</v>
      </c>
      <c r="BE139" s="7" t="n">
        <f aca="false">ABS($T139-$AX$4)+ABS($U139-$AY$4)+ABS($V139-$AZ$4)</f>
        <v>35151.6037735849</v>
      </c>
      <c r="BF139" s="7" t="n">
        <f aca="false">MIN(BC139:BE139)</f>
        <v>4020.96610169492</v>
      </c>
      <c r="BG139" s="4" t="n">
        <f aca="false">MATCH(BF139,BC139:BE139,0)</f>
        <v>2</v>
      </c>
      <c r="BH139" s="8" t="n">
        <v>2</v>
      </c>
      <c r="BI139" s="4" t="n">
        <f aca="false">IF(BG139=BH139,0,1)</f>
        <v>0</v>
      </c>
      <c r="BK139" s="8" t="n">
        <v>2</v>
      </c>
      <c r="BL139" s="8" t="n">
        <v>2</v>
      </c>
      <c r="BM139" s="8" t="n">
        <v>2</v>
      </c>
    </row>
    <row r="140" customFormat="false" ht="15" hidden="false" customHeight="false" outlineLevel="0" collapsed="false">
      <c r="A140" s="3" t="n">
        <v>139</v>
      </c>
      <c r="B140" s="3" t="s">
        <v>42</v>
      </c>
      <c r="C140" s="3" t="n">
        <v>0</v>
      </c>
      <c r="D140" s="3" t="n">
        <v>1</v>
      </c>
      <c r="E140" s="3" t="n">
        <v>0</v>
      </c>
      <c r="F140" s="3" t="n">
        <v>0</v>
      </c>
      <c r="G140" s="3" t="n">
        <v>0</v>
      </c>
      <c r="H140" s="3" t="n">
        <v>5</v>
      </c>
      <c r="I140" s="3" t="n">
        <v>4</v>
      </c>
      <c r="J140" s="3" t="n">
        <v>5</v>
      </c>
      <c r="K140" s="3" t="n">
        <v>5</v>
      </c>
      <c r="L140" s="3" t="n">
        <v>5</v>
      </c>
      <c r="M140" s="3" t="n">
        <v>5</v>
      </c>
      <c r="N140" s="3" t="n">
        <v>5</v>
      </c>
      <c r="O140" s="3" t="n">
        <v>5</v>
      </c>
      <c r="P140" s="3" t="n">
        <v>3</v>
      </c>
      <c r="Q140" s="3" t="n">
        <v>5</v>
      </c>
      <c r="R140" s="3" t="n">
        <v>5</v>
      </c>
      <c r="S140" s="3" t="n">
        <v>3</v>
      </c>
      <c r="T140" s="3" t="n">
        <v>1</v>
      </c>
      <c r="U140" s="3" t="n">
        <v>42</v>
      </c>
      <c r="V140" s="3" t="n">
        <v>29442</v>
      </c>
      <c r="W140" s="3" t="n">
        <v>1</v>
      </c>
      <c r="X140" s="3" t="n">
        <v>4</v>
      </c>
      <c r="Y140" s="3" t="n">
        <v>2</v>
      </c>
      <c r="Z140" s="3" t="n">
        <v>1</v>
      </c>
      <c r="AA140" s="4" t="n">
        <f aca="false">IF($B140=AA$1,1,0)</f>
        <v>0</v>
      </c>
      <c r="AB140" s="4" t="n">
        <f aca="false">IF($B140=AB$1,1,0)</f>
        <v>0</v>
      </c>
      <c r="AC140" s="4" t="n">
        <f aca="false">IF($B140=AC$1,1,0)</f>
        <v>0</v>
      </c>
      <c r="AD140" s="4" t="n">
        <f aca="false">IF($B140=AD$1,1,0)</f>
        <v>0</v>
      </c>
      <c r="AE140" s="4" t="n">
        <f aca="false">IF($B140=AE$1,1,0)</f>
        <v>0</v>
      </c>
      <c r="AF140" s="4" t="n">
        <f aca="false">IF($B140=AF$1,1,0)</f>
        <v>0</v>
      </c>
      <c r="AG140" s="4" t="n">
        <f aca="false">IF($B140=AG$1,1,0)</f>
        <v>0</v>
      </c>
      <c r="AH140" s="4" t="n">
        <f aca="false">IF($B140=AH$1,1,0)</f>
        <v>0</v>
      </c>
      <c r="AI140" s="4" t="n">
        <f aca="false">IF($B140=AI$1,1,0)</f>
        <v>0</v>
      </c>
      <c r="AJ140" s="4" t="n">
        <f aca="false">IF($B140=AJ$1,1,0)</f>
        <v>0</v>
      </c>
      <c r="AK140" s="4" t="n">
        <f aca="false">IF($B140=AK$1,1,0)</f>
        <v>0</v>
      </c>
      <c r="AL140" s="4" t="n">
        <f aca="false">IF($B140=AL$1,1,0)</f>
        <v>0</v>
      </c>
      <c r="AM140" s="4" t="n">
        <f aca="false">IF($B140=AM$1,1,0)</f>
        <v>0</v>
      </c>
      <c r="AN140" s="4" t="n">
        <f aca="false">IF($B140=AN$1,1,0)</f>
        <v>0</v>
      </c>
      <c r="AO140" s="4" t="n">
        <f aca="false">IF($B140=AO$1,1,0)</f>
        <v>0</v>
      </c>
      <c r="AP140" s="4" t="n">
        <f aca="false">IF($B140=AP$1,1,0)</f>
        <v>0</v>
      </c>
      <c r="AQ140" s="4" t="n">
        <f aca="false">IF($B140=AQ$1,1,0)</f>
        <v>1</v>
      </c>
      <c r="AR140" s="4" t="n">
        <f aca="false">IF($B140=AR$1,1,0)</f>
        <v>0</v>
      </c>
      <c r="AS140" s="4" t="n">
        <f aca="false">IF($B140=AS$1,1,0)</f>
        <v>0</v>
      </c>
      <c r="AT140" s="4" t="n">
        <f aca="false">IF($B140=AT$1,1,0)</f>
        <v>0</v>
      </c>
      <c r="BB140" s="4" t="n">
        <f aca="false">A140</f>
        <v>139</v>
      </c>
      <c r="BC140" s="7" t="n">
        <f aca="false">ABS($T140-$AX$2)+ABS($U140-$AY$2)+ABS($V140-$AZ$2)</f>
        <v>6611.85211267605</v>
      </c>
      <c r="BD140" s="7" t="n">
        <f aca="false">ABS($T140-$AX$3)+ABS($U140-$AY$3)+ABS($V140-$AZ$3)</f>
        <v>17222.593220339</v>
      </c>
      <c r="BE140" s="7" t="n">
        <f aca="false">ABS($T140-$AX$4)+ABS($U140-$AY$4)+ABS($V140-$AZ$4)</f>
        <v>48353.1132075472</v>
      </c>
      <c r="BF140" s="7" t="n">
        <f aca="false">MIN(BC140:BE140)</f>
        <v>6611.85211267605</v>
      </c>
      <c r="BG140" s="4" t="n">
        <f aca="false">MATCH(BF140,BC140:BE140,0)</f>
        <v>1</v>
      </c>
      <c r="BH140" s="8" t="n">
        <v>1</v>
      </c>
      <c r="BI140" s="4" t="n">
        <f aca="false">IF(BG140=BH140,0,1)</f>
        <v>0</v>
      </c>
      <c r="BK140" s="8" t="n">
        <v>1</v>
      </c>
      <c r="BL140" s="8" t="n">
        <v>1</v>
      </c>
      <c r="BM140" s="8" t="n">
        <v>1</v>
      </c>
    </row>
    <row r="141" customFormat="false" ht="15" hidden="false" customHeight="false" outlineLevel="0" collapsed="false">
      <c r="A141" s="3" t="n">
        <v>140</v>
      </c>
      <c r="B141" s="3" t="s">
        <v>42</v>
      </c>
      <c r="C141" s="3" t="n">
        <v>1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5</v>
      </c>
      <c r="I141" s="3" t="n">
        <v>5</v>
      </c>
      <c r="J141" s="3" t="n">
        <v>5</v>
      </c>
      <c r="K141" s="3" t="n">
        <v>5</v>
      </c>
      <c r="L141" s="3" t="n">
        <v>5</v>
      </c>
      <c r="M141" s="3" t="n">
        <v>5</v>
      </c>
      <c r="N141" s="3" t="n">
        <v>5</v>
      </c>
      <c r="O141" s="3" t="n">
        <v>5</v>
      </c>
      <c r="P141" s="3" t="n">
        <v>5</v>
      </c>
      <c r="Q141" s="3" t="n">
        <v>5</v>
      </c>
      <c r="R141" s="3" t="n">
        <v>5</v>
      </c>
      <c r="S141" s="3" t="n">
        <v>5</v>
      </c>
      <c r="T141" s="3" t="n">
        <v>0</v>
      </c>
      <c r="U141" s="3" t="n">
        <v>41</v>
      </c>
      <c r="V141" s="3" t="n">
        <v>25062</v>
      </c>
      <c r="W141" s="3" t="n">
        <v>1</v>
      </c>
      <c r="X141" s="3" t="n">
        <v>2</v>
      </c>
      <c r="Y141" s="3" t="n">
        <v>1</v>
      </c>
      <c r="Z141" s="3" t="n">
        <v>1</v>
      </c>
      <c r="AA141" s="4" t="n">
        <f aca="false">IF($B141=AA$1,1,0)</f>
        <v>0</v>
      </c>
      <c r="AB141" s="4" t="n">
        <f aca="false">IF($B141=AB$1,1,0)</f>
        <v>0</v>
      </c>
      <c r="AC141" s="4" t="n">
        <f aca="false">IF($B141=AC$1,1,0)</f>
        <v>0</v>
      </c>
      <c r="AD141" s="4" t="n">
        <f aca="false">IF($B141=AD$1,1,0)</f>
        <v>0</v>
      </c>
      <c r="AE141" s="4" t="n">
        <f aca="false">IF($B141=AE$1,1,0)</f>
        <v>0</v>
      </c>
      <c r="AF141" s="4" t="n">
        <f aca="false">IF($B141=AF$1,1,0)</f>
        <v>0</v>
      </c>
      <c r="AG141" s="4" t="n">
        <f aca="false">IF($B141=AG$1,1,0)</f>
        <v>0</v>
      </c>
      <c r="AH141" s="4" t="n">
        <f aca="false">IF($B141=AH$1,1,0)</f>
        <v>0</v>
      </c>
      <c r="AI141" s="4" t="n">
        <f aca="false">IF($B141=AI$1,1,0)</f>
        <v>0</v>
      </c>
      <c r="AJ141" s="4" t="n">
        <f aca="false">IF($B141=AJ$1,1,0)</f>
        <v>0</v>
      </c>
      <c r="AK141" s="4" t="n">
        <f aca="false">IF($B141=AK$1,1,0)</f>
        <v>0</v>
      </c>
      <c r="AL141" s="4" t="n">
        <f aca="false">IF($B141=AL$1,1,0)</f>
        <v>0</v>
      </c>
      <c r="AM141" s="4" t="n">
        <f aca="false">IF($B141=AM$1,1,0)</f>
        <v>0</v>
      </c>
      <c r="AN141" s="4" t="n">
        <f aca="false">IF($B141=AN$1,1,0)</f>
        <v>0</v>
      </c>
      <c r="AO141" s="4" t="n">
        <f aca="false">IF($B141=AO$1,1,0)</f>
        <v>0</v>
      </c>
      <c r="AP141" s="4" t="n">
        <f aca="false">IF($B141=AP$1,1,0)</f>
        <v>0</v>
      </c>
      <c r="AQ141" s="4" t="n">
        <f aca="false">IF($B141=AQ$1,1,0)</f>
        <v>1</v>
      </c>
      <c r="AR141" s="4" t="n">
        <f aca="false">IF($B141=AR$1,1,0)</f>
        <v>0</v>
      </c>
      <c r="AS141" s="4" t="n">
        <f aca="false">IF($B141=AS$1,1,0)</f>
        <v>0</v>
      </c>
      <c r="AT141" s="4" t="n">
        <f aca="false">IF($B141=AT$1,1,0)</f>
        <v>0</v>
      </c>
      <c r="BB141" s="4" t="n">
        <f aca="false">A141</f>
        <v>140</v>
      </c>
      <c r="BC141" s="7" t="n">
        <f aca="false">ABS($T141-$AX$2)+ABS($U141-$AY$2)+ABS($V141-$AZ$2)</f>
        <v>2230.28873239436</v>
      </c>
      <c r="BD141" s="7" t="n">
        <f aca="false">ABS($T141-$AX$3)+ABS($U141-$AY$3)+ABS($V141-$AZ$3)</f>
        <v>21601.7288135593</v>
      </c>
      <c r="BE141" s="7" t="n">
        <f aca="false">ABS($T141-$AX$4)+ABS($U141-$AY$4)+ABS($V141-$AZ$4)</f>
        <v>52733.641509434</v>
      </c>
      <c r="BF141" s="7" t="n">
        <f aca="false">MIN(BC141:BE141)</f>
        <v>2230.28873239436</v>
      </c>
      <c r="BG141" s="4" t="n">
        <f aca="false">MATCH(BF141,BC141:BE141,0)</f>
        <v>1</v>
      </c>
      <c r="BH141" s="8" t="n">
        <v>1</v>
      </c>
      <c r="BI141" s="4" t="n">
        <f aca="false">IF(BG141=BH141,0,1)</f>
        <v>0</v>
      </c>
      <c r="BK141" s="8" t="n">
        <v>1</v>
      </c>
      <c r="BL141" s="8" t="n">
        <v>1</v>
      </c>
      <c r="BM141" s="8" t="n">
        <v>1</v>
      </c>
    </row>
    <row r="142" customFormat="false" ht="15" hidden="false" customHeight="false" outlineLevel="0" collapsed="false">
      <c r="A142" s="3" t="n">
        <v>141</v>
      </c>
      <c r="B142" s="3" t="s">
        <v>33</v>
      </c>
      <c r="C142" s="3" t="n">
        <v>1</v>
      </c>
      <c r="D142" s="3" t="n">
        <v>0</v>
      </c>
      <c r="E142" s="3" t="n">
        <v>0</v>
      </c>
      <c r="F142" s="3" t="n">
        <v>0</v>
      </c>
      <c r="G142" s="3" t="n">
        <v>4</v>
      </c>
      <c r="H142" s="3" t="n">
        <v>4</v>
      </c>
      <c r="I142" s="3" t="n">
        <v>5</v>
      </c>
      <c r="J142" s="3" t="n">
        <v>5</v>
      </c>
      <c r="K142" s="3" t="n">
        <v>5</v>
      </c>
      <c r="L142" s="3" t="n">
        <v>5</v>
      </c>
      <c r="M142" s="3" t="n">
        <v>4</v>
      </c>
      <c r="N142" s="3" t="n">
        <v>3</v>
      </c>
      <c r="O142" s="3" t="n">
        <v>5</v>
      </c>
      <c r="P142" s="3" t="n">
        <v>5</v>
      </c>
      <c r="Q142" s="3" t="n">
        <v>5</v>
      </c>
      <c r="R142" s="3" t="n">
        <v>5</v>
      </c>
      <c r="S142" s="3" t="n">
        <v>3</v>
      </c>
      <c r="T142" s="3" t="n">
        <v>0</v>
      </c>
      <c r="U142" s="3" t="n">
        <v>40</v>
      </c>
      <c r="V142" s="3" t="n">
        <v>56304</v>
      </c>
      <c r="W142" s="3" t="n">
        <v>1</v>
      </c>
      <c r="X142" s="3" t="n">
        <v>3</v>
      </c>
      <c r="Y142" s="3" t="n">
        <v>1</v>
      </c>
      <c r="Z142" s="3" t="n">
        <v>1</v>
      </c>
      <c r="AA142" s="4" t="n">
        <f aca="false">IF($B142=AA$1,1,0)</f>
        <v>0</v>
      </c>
      <c r="AB142" s="4" t="n">
        <f aca="false">IF($B142=AB$1,1,0)</f>
        <v>0</v>
      </c>
      <c r="AC142" s="4" t="n">
        <f aca="false">IF($B142=AC$1,1,0)</f>
        <v>0</v>
      </c>
      <c r="AD142" s="4" t="n">
        <f aca="false">IF($B142=AD$1,1,0)</f>
        <v>0</v>
      </c>
      <c r="AE142" s="4" t="n">
        <f aca="false">IF($B142=AE$1,1,0)</f>
        <v>0</v>
      </c>
      <c r="AF142" s="4" t="n">
        <f aca="false">IF($B142=AF$1,1,0)</f>
        <v>0</v>
      </c>
      <c r="AG142" s="4" t="n">
        <f aca="false">IF($B142=AG$1,1,0)</f>
        <v>0</v>
      </c>
      <c r="AH142" s="4" t="n">
        <f aca="false">IF($B142=AH$1,1,0)</f>
        <v>1</v>
      </c>
      <c r="AI142" s="4" t="n">
        <f aca="false">IF($B142=AI$1,1,0)</f>
        <v>0</v>
      </c>
      <c r="AJ142" s="4" t="n">
        <f aca="false">IF($B142=AJ$1,1,0)</f>
        <v>0</v>
      </c>
      <c r="AK142" s="4" t="n">
        <f aca="false">IF($B142=AK$1,1,0)</f>
        <v>0</v>
      </c>
      <c r="AL142" s="4" t="n">
        <f aca="false">IF($B142=AL$1,1,0)</f>
        <v>0</v>
      </c>
      <c r="AM142" s="4" t="n">
        <f aca="false">IF($B142=AM$1,1,0)</f>
        <v>0</v>
      </c>
      <c r="AN142" s="4" t="n">
        <f aca="false">IF($B142=AN$1,1,0)</f>
        <v>0</v>
      </c>
      <c r="AO142" s="4" t="n">
        <f aca="false">IF($B142=AO$1,1,0)</f>
        <v>0</v>
      </c>
      <c r="AP142" s="4" t="n">
        <f aca="false">IF($B142=AP$1,1,0)</f>
        <v>0</v>
      </c>
      <c r="AQ142" s="4" t="n">
        <f aca="false">IF($B142=AQ$1,1,0)</f>
        <v>0</v>
      </c>
      <c r="AR142" s="4" t="n">
        <f aca="false">IF($B142=AR$1,1,0)</f>
        <v>0</v>
      </c>
      <c r="AS142" s="4" t="n">
        <f aca="false">IF($B142=AS$1,1,0)</f>
        <v>0</v>
      </c>
      <c r="AT142" s="4" t="n">
        <f aca="false">IF($B142=AT$1,1,0)</f>
        <v>0</v>
      </c>
      <c r="BB142" s="4" t="n">
        <f aca="false">A142</f>
        <v>141</v>
      </c>
      <c r="BC142" s="7" t="n">
        <f aca="false">ABS($T142-$AX$2)+ABS($U142-$AY$2)+ABS($V142-$AZ$2)</f>
        <v>33471.2887323944</v>
      </c>
      <c r="BD142" s="7" t="n">
        <f aca="false">ABS($T142-$AX$3)+ABS($U142-$AY$3)+ABS($V142-$AZ$3)</f>
        <v>9642.40677966102</v>
      </c>
      <c r="BE142" s="7" t="n">
        <f aca="false">ABS($T142-$AX$4)+ABS($U142-$AY$4)+ABS($V142-$AZ$4)</f>
        <v>21492.641509434</v>
      </c>
      <c r="BF142" s="7" t="n">
        <f aca="false">MIN(BC142:BE142)</f>
        <v>9642.40677966102</v>
      </c>
      <c r="BG142" s="4" t="n">
        <f aca="false">MATCH(BF142,BC142:BE142,0)</f>
        <v>2</v>
      </c>
      <c r="BH142" s="8" t="n">
        <v>2</v>
      </c>
      <c r="BI142" s="4" t="n">
        <f aca="false">IF(BG142=BH142,0,1)</f>
        <v>0</v>
      </c>
      <c r="BK142" s="8" t="n">
        <v>2</v>
      </c>
      <c r="BL142" s="8" t="n">
        <v>2</v>
      </c>
      <c r="BM142" s="8" t="n">
        <v>2</v>
      </c>
    </row>
    <row r="143" customFormat="false" ht="15" hidden="false" customHeight="false" outlineLevel="0" collapsed="false">
      <c r="A143" s="3" t="n">
        <v>142</v>
      </c>
      <c r="B143" s="3" t="s">
        <v>42</v>
      </c>
      <c r="C143" s="3" t="n">
        <v>0</v>
      </c>
      <c r="D143" s="3" t="n">
        <v>0</v>
      </c>
      <c r="E143" s="3" t="n">
        <v>1</v>
      </c>
      <c r="F143" s="3" t="n">
        <v>0</v>
      </c>
      <c r="G143" s="3" t="n">
        <v>0</v>
      </c>
      <c r="H143" s="3" t="n">
        <v>4</v>
      </c>
      <c r="I143" s="3" t="n">
        <v>4</v>
      </c>
      <c r="J143" s="3" t="n">
        <v>4</v>
      </c>
      <c r="K143" s="3" t="n">
        <v>3</v>
      </c>
      <c r="L143" s="3" t="n">
        <v>5</v>
      </c>
      <c r="M143" s="3" t="n">
        <v>4</v>
      </c>
      <c r="N143" s="3" t="n">
        <v>2</v>
      </c>
      <c r="O143" s="3" t="n">
        <v>4</v>
      </c>
      <c r="P143" s="3" t="n">
        <v>3</v>
      </c>
      <c r="Q143" s="3" t="n">
        <v>4</v>
      </c>
      <c r="R143" s="3" t="n">
        <v>5</v>
      </c>
      <c r="S143" s="3" t="n">
        <v>4</v>
      </c>
      <c r="T143" s="3" t="n">
        <v>0</v>
      </c>
      <c r="U143" s="3" t="n">
        <v>39</v>
      </c>
      <c r="V143" s="3" t="n">
        <v>61332</v>
      </c>
      <c r="W143" s="3" t="n">
        <v>2</v>
      </c>
      <c r="X143" s="3" t="n">
        <v>2</v>
      </c>
      <c r="Y143" s="3" t="n">
        <v>1</v>
      </c>
      <c r="Z143" s="3" t="n">
        <v>2</v>
      </c>
      <c r="AA143" s="4" t="n">
        <f aca="false">IF($B143=AA$1,1,0)</f>
        <v>0</v>
      </c>
      <c r="AB143" s="4" t="n">
        <f aca="false">IF($B143=AB$1,1,0)</f>
        <v>0</v>
      </c>
      <c r="AC143" s="4" t="n">
        <f aca="false">IF($B143=AC$1,1,0)</f>
        <v>0</v>
      </c>
      <c r="AD143" s="4" t="n">
        <f aca="false">IF($B143=AD$1,1,0)</f>
        <v>0</v>
      </c>
      <c r="AE143" s="4" t="n">
        <f aca="false">IF($B143=AE$1,1,0)</f>
        <v>0</v>
      </c>
      <c r="AF143" s="4" t="n">
        <f aca="false">IF($B143=AF$1,1,0)</f>
        <v>0</v>
      </c>
      <c r="AG143" s="4" t="n">
        <f aca="false">IF($B143=AG$1,1,0)</f>
        <v>0</v>
      </c>
      <c r="AH143" s="4" t="n">
        <f aca="false">IF($B143=AH$1,1,0)</f>
        <v>0</v>
      </c>
      <c r="AI143" s="4" t="n">
        <f aca="false">IF($B143=AI$1,1,0)</f>
        <v>0</v>
      </c>
      <c r="AJ143" s="4" t="n">
        <f aca="false">IF($B143=AJ$1,1,0)</f>
        <v>0</v>
      </c>
      <c r="AK143" s="4" t="n">
        <f aca="false">IF($B143=AK$1,1,0)</f>
        <v>0</v>
      </c>
      <c r="AL143" s="4" t="n">
        <f aca="false">IF($B143=AL$1,1,0)</f>
        <v>0</v>
      </c>
      <c r="AM143" s="4" t="n">
        <f aca="false">IF($B143=AM$1,1,0)</f>
        <v>0</v>
      </c>
      <c r="AN143" s="4" t="n">
        <f aca="false">IF($B143=AN$1,1,0)</f>
        <v>0</v>
      </c>
      <c r="AO143" s="4" t="n">
        <f aca="false">IF($B143=AO$1,1,0)</f>
        <v>0</v>
      </c>
      <c r="AP143" s="4" t="n">
        <f aca="false">IF($B143=AP$1,1,0)</f>
        <v>0</v>
      </c>
      <c r="AQ143" s="4" t="n">
        <f aca="false">IF($B143=AQ$1,1,0)</f>
        <v>1</v>
      </c>
      <c r="AR143" s="4" t="n">
        <f aca="false">IF($B143=AR$1,1,0)</f>
        <v>0</v>
      </c>
      <c r="AS143" s="4" t="n">
        <f aca="false">IF($B143=AS$1,1,0)</f>
        <v>0</v>
      </c>
      <c r="AT143" s="4" t="n">
        <f aca="false">IF($B143=AT$1,1,0)</f>
        <v>0</v>
      </c>
      <c r="BB143" s="4" t="n">
        <f aca="false">A143</f>
        <v>142</v>
      </c>
      <c r="BC143" s="7" t="n">
        <f aca="false">ABS($T143-$AX$2)+ABS($U143-$AY$2)+ABS($V143-$AZ$2)</f>
        <v>38498.2887323944</v>
      </c>
      <c r="BD143" s="7" t="n">
        <f aca="false">ABS($T143-$AX$3)+ABS($U143-$AY$3)+ABS($V143-$AZ$3)</f>
        <v>14671.406779661</v>
      </c>
      <c r="BE143" s="7" t="n">
        <f aca="false">ABS($T143-$AX$4)+ABS($U143-$AY$4)+ABS($V143-$AZ$4)</f>
        <v>16465.641509434</v>
      </c>
      <c r="BF143" s="7" t="n">
        <f aca="false">MIN(BC143:BE143)</f>
        <v>14671.406779661</v>
      </c>
      <c r="BG143" s="4" t="n">
        <f aca="false">MATCH(BF143,BC143:BE143,0)</f>
        <v>2</v>
      </c>
      <c r="BH143" s="8" t="n">
        <v>2</v>
      </c>
      <c r="BI143" s="4" t="n">
        <f aca="false">IF(BG143=BH143,0,1)</f>
        <v>0</v>
      </c>
      <c r="BK143" s="8" t="n">
        <v>2</v>
      </c>
      <c r="BL143" s="8" t="n">
        <v>2</v>
      </c>
      <c r="BM143" s="8" t="n">
        <v>2</v>
      </c>
    </row>
    <row r="144" customFormat="false" ht="15" hidden="false" customHeight="false" outlineLevel="0" collapsed="false">
      <c r="A144" s="3" t="n">
        <v>143</v>
      </c>
      <c r="B144" s="3" t="s">
        <v>38</v>
      </c>
      <c r="C144" s="3" t="n">
        <v>1</v>
      </c>
      <c r="D144" s="3" t="n">
        <v>0</v>
      </c>
      <c r="E144" s="3" t="n">
        <v>0</v>
      </c>
      <c r="F144" s="3" t="n">
        <v>0</v>
      </c>
      <c r="G144" s="3" t="n">
        <v>2</v>
      </c>
      <c r="H144" s="3" t="n">
        <v>5</v>
      </c>
      <c r="I144" s="3" t="n">
        <v>5</v>
      </c>
      <c r="J144" s="3" t="n">
        <v>4</v>
      </c>
      <c r="K144" s="3" t="n">
        <v>3</v>
      </c>
      <c r="L144" s="3" t="n">
        <v>5</v>
      </c>
      <c r="M144" s="3" t="n">
        <v>5</v>
      </c>
      <c r="N144" s="3" t="n">
        <v>2</v>
      </c>
      <c r="O144" s="3" t="n">
        <v>5</v>
      </c>
      <c r="P144" s="3" t="n">
        <v>5</v>
      </c>
      <c r="Q144" s="3" t="n">
        <v>5</v>
      </c>
      <c r="R144" s="3" t="n">
        <v>5</v>
      </c>
      <c r="S144" s="3" t="n">
        <v>3</v>
      </c>
      <c r="T144" s="3" t="n">
        <v>0</v>
      </c>
      <c r="U144" s="3" t="n">
        <v>29</v>
      </c>
      <c r="V144" s="3" t="n">
        <v>80871</v>
      </c>
      <c r="W144" s="3" t="n">
        <v>2</v>
      </c>
      <c r="X144" s="3" t="n">
        <v>2</v>
      </c>
      <c r="Y144" s="3" t="n">
        <v>1</v>
      </c>
      <c r="Z144" s="3" t="n">
        <v>1</v>
      </c>
      <c r="AA144" s="4" t="n">
        <f aca="false">IF($B144=AA$1,1,0)</f>
        <v>0</v>
      </c>
      <c r="AB144" s="4" t="n">
        <f aca="false">IF($B144=AB$1,1,0)</f>
        <v>0</v>
      </c>
      <c r="AC144" s="4" t="n">
        <f aca="false">IF($B144=AC$1,1,0)</f>
        <v>0</v>
      </c>
      <c r="AD144" s="4" t="n">
        <f aca="false">IF($B144=AD$1,1,0)</f>
        <v>0</v>
      </c>
      <c r="AE144" s="4" t="n">
        <f aca="false">IF($B144=AE$1,1,0)</f>
        <v>0</v>
      </c>
      <c r="AF144" s="4" t="n">
        <f aca="false">IF($B144=AF$1,1,0)</f>
        <v>0</v>
      </c>
      <c r="AG144" s="4" t="n">
        <f aca="false">IF($B144=AG$1,1,0)</f>
        <v>0</v>
      </c>
      <c r="AH144" s="4" t="n">
        <f aca="false">IF($B144=AH$1,1,0)</f>
        <v>0</v>
      </c>
      <c r="AI144" s="4" t="n">
        <f aca="false">IF($B144=AI$1,1,0)</f>
        <v>0</v>
      </c>
      <c r="AJ144" s="4" t="n">
        <f aca="false">IF($B144=AJ$1,1,0)</f>
        <v>0</v>
      </c>
      <c r="AK144" s="4" t="n">
        <f aca="false">IF($B144=AK$1,1,0)</f>
        <v>0</v>
      </c>
      <c r="AL144" s="4" t="n">
        <f aca="false">IF($B144=AL$1,1,0)</f>
        <v>0</v>
      </c>
      <c r="AM144" s="4" t="n">
        <f aca="false">IF($B144=AM$1,1,0)</f>
        <v>1</v>
      </c>
      <c r="AN144" s="4" t="n">
        <f aca="false">IF($B144=AN$1,1,0)</f>
        <v>0</v>
      </c>
      <c r="AO144" s="4" t="n">
        <f aca="false">IF($B144=AO$1,1,0)</f>
        <v>0</v>
      </c>
      <c r="AP144" s="4" t="n">
        <f aca="false">IF($B144=AP$1,1,0)</f>
        <v>0</v>
      </c>
      <c r="AQ144" s="4" t="n">
        <f aca="false">IF($B144=AQ$1,1,0)</f>
        <v>0</v>
      </c>
      <c r="AR144" s="4" t="n">
        <f aca="false">IF($B144=AR$1,1,0)</f>
        <v>0</v>
      </c>
      <c r="AS144" s="4" t="n">
        <f aca="false">IF($B144=AS$1,1,0)</f>
        <v>0</v>
      </c>
      <c r="AT144" s="4" t="n">
        <f aca="false">IF($B144=AT$1,1,0)</f>
        <v>0</v>
      </c>
      <c r="BB144" s="4" t="n">
        <f aca="false">A144</f>
        <v>143</v>
      </c>
      <c r="BC144" s="7" t="n">
        <f aca="false">ABS($T144-$AX$2)+ABS($U144-$AY$2)+ABS($V144-$AZ$2)</f>
        <v>58046.7676056338</v>
      </c>
      <c r="BD144" s="7" t="n">
        <f aca="false">ABS($T144-$AX$3)+ABS($U144-$AY$3)+ABS($V144-$AZ$3)</f>
        <v>34220.406779661</v>
      </c>
      <c r="BE144" s="7" t="n">
        <f aca="false">ABS($T144-$AX$4)+ABS($U144-$AY$4)+ABS($V144-$AZ$4)</f>
        <v>3089.92452830189</v>
      </c>
      <c r="BF144" s="7" t="n">
        <f aca="false">MIN(BC144:BE144)</f>
        <v>3089.92452830189</v>
      </c>
      <c r="BG144" s="4" t="n">
        <f aca="false">MATCH(BF144,BC144:BE144,0)</f>
        <v>3</v>
      </c>
      <c r="BH144" s="8" t="n">
        <v>3</v>
      </c>
      <c r="BI144" s="4" t="n">
        <f aca="false">IF(BG144=BH144,0,1)</f>
        <v>0</v>
      </c>
      <c r="BK144" s="8" t="n">
        <v>3</v>
      </c>
      <c r="BL144" s="8" t="n">
        <v>3</v>
      </c>
      <c r="BM144" s="8" t="n">
        <v>3</v>
      </c>
    </row>
    <row r="145" customFormat="false" ht="15" hidden="false" customHeight="false" outlineLevel="0" collapsed="false">
      <c r="A145" s="3" t="n">
        <v>144</v>
      </c>
      <c r="B145" s="3" t="s">
        <v>35</v>
      </c>
      <c r="C145" s="3" t="n">
        <v>0</v>
      </c>
      <c r="D145" s="3" t="n">
        <v>0</v>
      </c>
      <c r="E145" s="3" t="n">
        <v>1</v>
      </c>
      <c r="F145" s="3" t="n">
        <v>0</v>
      </c>
      <c r="G145" s="3" t="n">
        <v>0</v>
      </c>
      <c r="H145" s="3" t="n">
        <v>5</v>
      </c>
      <c r="I145" s="3" t="n">
        <v>5</v>
      </c>
      <c r="J145" s="3" t="n">
        <v>5</v>
      </c>
      <c r="K145" s="3" t="n">
        <v>5</v>
      </c>
      <c r="L145" s="3" t="n">
        <v>5</v>
      </c>
      <c r="M145" s="3" t="n">
        <v>5</v>
      </c>
      <c r="N145" s="3" t="n">
        <v>3</v>
      </c>
      <c r="O145" s="3" t="n">
        <v>3</v>
      </c>
      <c r="P145" s="3" t="n">
        <v>2</v>
      </c>
      <c r="Q145" s="3" t="n">
        <v>3</v>
      </c>
      <c r="R145" s="3" t="n">
        <v>3</v>
      </c>
      <c r="S145" s="3" t="n">
        <v>3</v>
      </c>
      <c r="T145" s="3" t="n">
        <v>1</v>
      </c>
      <c r="U145" s="3" t="n">
        <v>34</v>
      </c>
      <c r="V145" s="3" t="n">
        <v>36861</v>
      </c>
      <c r="W145" s="3" t="n">
        <v>3</v>
      </c>
      <c r="X145" s="3" t="n">
        <v>2</v>
      </c>
      <c r="Y145" s="3" t="n">
        <v>1</v>
      </c>
      <c r="Z145" s="3" t="n">
        <v>1</v>
      </c>
      <c r="AA145" s="4" t="n">
        <f aca="false">IF($B145=AA$1,1,0)</f>
        <v>0</v>
      </c>
      <c r="AB145" s="4" t="n">
        <f aca="false">IF($B145=AB$1,1,0)</f>
        <v>0</v>
      </c>
      <c r="AC145" s="4" t="n">
        <f aca="false">IF($B145=AC$1,1,0)</f>
        <v>0</v>
      </c>
      <c r="AD145" s="4" t="n">
        <f aca="false">IF($B145=AD$1,1,0)</f>
        <v>0</v>
      </c>
      <c r="AE145" s="4" t="n">
        <f aca="false">IF($B145=AE$1,1,0)</f>
        <v>0</v>
      </c>
      <c r="AF145" s="4" t="n">
        <f aca="false">IF($B145=AF$1,1,0)</f>
        <v>0</v>
      </c>
      <c r="AG145" s="4" t="n">
        <f aca="false">IF($B145=AG$1,1,0)</f>
        <v>0</v>
      </c>
      <c r="AH145" s="4" t="n">
        <f aca="false">IF($B145=AH$1,1,0)</f>
        <v>0</v>
      </c>
      <c r="AI145" s="4" t="n">
        <f aca="false">IF($B145=AI$1,1,0)</f>
        <v>0</v>
      </c>
      <c r="AJ145" s="4" t="n">
        <f aca="false">IF($B145=AJ$1,1,0)</f>
        <v>1</v>
      </c>
      <c r="AK145" s="4" t="n">
        <f aca="false">IF($B145=AK$1,1,0)</f>
        <v>0</v>
      </c>
      <c r="AL145" s="4" t="n">
        <f aca="false">IF($B145=AL$1,1,0)</f>
        <v>0</v>
      </c>
      <c r="AM145" s="4" t="n">
        <f aca="false">IF($B145=AM$1,1,0)</f>
        <v>0</v>
      </c>
      <c r="AN145" s="4" t="n">
        <f aca="false">IF($B145=AN$1,1,0)</f>
        <v>0</v>
      </c>
      <c r="AO145" s="4" t="n">
        <f aca="false">IF($B145=AO$1,1,0)</f>
        <v>0</v>
      </c>
      <c r="AP145" s="4" t="n">
        <f aca="false">IF($B145=AP$1,1,0)</f>
        <v>0</v>
      </c>
      <c r="AQ145" s="4" t="n">
        <f aca="false">IF($B145=AQ$1,1,0)</f>
        <v>0</v>
      </c>
      <c r="AR145" s="4" t="n">
        <f aca="false">IF($B145=AR$1,1,0)</f>
        <v>0</v>
      </c>
      <c r="AS145" s="4" t="n">
        <f aca="false">IF($B145=AS$1,1,0)</f>
        <v>0</v>
      </c>
      <c r="AT145" s="4" t="n">
        <f aca="false">IF($B145=AT$1,1,0)</f>
        <v>0</v>
      </c>
      <c r="BB145" s="4" t="n">
        <f aca="false">A145</f>
        <v>144</v>
      </c>
      <c r="BC145" s="7" t="n">
        <f aca="false">ABS($T145-$AX$2)+ABS($U145-$AY$2)+ABS($V145-$AZ$2)</f>
        <v>14032.3309859155</v>
      </c>
      <c r="BD145" s="7" t="n">
        <f aca="false">ABS($T145-$AX$3)+ABS($U145-$AY$3)+ABS($V145-$AZ$3)</f>
        <v>9810.35593220339</v>
      </c>
      <c r="BE145" s="7" t="n">
        <f aca="false">ABS($T145-$AX$4)+ABS($U145-$AY$4)+ABS($V145-$AZ$4)</f>
        <v>40942.1132075472</v>
      </c>
      <c r="BF145" s="7" t="n">
        <f aca="false">MIN(BC145:BE145)</f>
        <v>9810.35593220339</v>
      </c>
      <c r="BG145" s="4" t="n">
        <f aca="false">MATCH(BF145,BC145:BE145,0)</f>
        <v>2</v>
      </c>
      <c r="BH145" s="8" t="n">
        <v>2</v>
      </c>
      <c r="BI145" s="4" t="n">
        <f aca="false">IF(BG145=BH145,0,1)</f>
        <v>0</v>
      </c>
      <c r="BK145" s="8" t="n">
        <v>2</v>
      </c>
      <c r="BL145" s="8" t="n">
        <v>2</v>
      </c>
      <c r="BM145" s="8" t="n">
        <v>2</v>
      </c>
    </row>
    <row r="146" customFormat="false" ht="15" hidden="false" customHeight="false" outlineLevel="0" collapsed="false">
      <c r="A146" s="3" t="n">
        <v>145</v>
      </c>
      <c r="B146" s="3" t="s">
        <v>42</v>
      </c>
      <c r="C146" s="3" t="n">
        <v>1</v>
      </c>
      <c r="D146" s="3" t="n">
        <v>0</v>
      </c>
      <c r="E146" s="3" t="n">
        <v>0</v>
      </c>
      <c r="F146" s="3" t="n">
        <v>0</v>
      </c>
      <c r="G146" s="3" t="n">
        <v>2</v>
      </c>
      <c r="H146" s="3" t="n">
        <v>4</v>
      </c>
      <c r="I146" s="3" t="n">
        <v>5</v>
      </c>
      <c r="J146" s="3" t="n">
        <v>5</v>
      </c>
      <c r="K146" s="3" t="n">
        <v>5</v>
      </c>
      <c r="L146" s="3" t="n">
        <v>5</v>
      </c>
      <c r="M146" s="3" t="n">
        <v>4</v>
      </c>
      <c r="N146" s="3" t="n">
        <v>3</v>
      </c>
      <c r="O146" s="3" t="n">
        <v>4</v>
      </c>
      <c r="P146" s="3" t="n">
        <v>5</v>
      </c>
      <c r="Q146" s="3" t="n">
        <v>5</v>
      </c>
      <c r="R146" s="3" t="n">
        <v>5</v>
      </c>
      <c r="S146" s="3" t="n">
        <v>5</v>
      </c>
      <c r="T146" s="3" t="n">
        <v>0</v>
      </c>
      <c r="U146" s="3" t="n">
        <v>33</v>
      </c>
      <c r="V146" s="3" t="n">
        <v>31344</v>
      </c>
      <c r="W146" s="3" t="n">
        <v>1</v>
      </c>
      <c r="X146" s="3" t="n">
        <v>2</v>
      </c>
      <c r="Y146" s="3" t="n">
        <v>1</v>
      </c>
      <c r="Z146" s="3" t="n">
        <v>2</v>
      </c>
      <c r="AA146" s="4" t="n">
        <f aca="false">IF($B146=AA$1,1,0)</f>
        <v>0</v>
      </c>
      <c r="AB146" s="4" t="n">
        <f aca="false">IF($B146=AB$1,1,0)</f>
        <v>0</v>
      </c>
      <c r="AC146" s="4" t="n">
        <f aca="false">IF($B146=AC$1,1,0)</f>
        <v>0</v>
      </c>
      <c r="AD146" s="4" t="n">
        <f aca="false">IF($B146=AD$1,1,0)</f>
        <v>0</v>
      </c>
      <c r="AE146" s="4" t="n">
        <f aca="false">IF($B146=AE$1,1,0)</f>
        <v>0</v>
      </c>
      <c r="AF146" s="4" t="n">
        <f aca="false">IF($B146=AF$1,1,0)</f>
        <v>0</v>
      </c>
      <c r="AG146" s="4" t="n">
        <f aca="false">IF($B146=AG$1,1,0)</f>
        <v>0</v>
      </c>
      <c r="AH146" s="4" t="n">
        <f aca="false">IF($B146=AH$1,1,0)</f>
        <v>0</v>
      </c>
      <c r="AI146" s="4" t="n">
        <f aca="false">IF($B146=AI$1,1,0)</f>
        <v>0</v>
      </c>
      <c r="AJ146" s="4" t="n">
        <f aca="false">IF($B146=AJ$1,1,0)</f>
        <v>0</v>
      </c>
      <c r="AK146" s="4" t="n">
        <f aca="false">IF($B146=AK$1,1,0)</f>
        <v>0</v>
      </c>
      <c r="AL146" s="4" t="n">
        <f aca="false">IF($B146=AL$1,1,0)</f>
        <v>0</v>
      </c>
      <c r="AM146" s="4" t="n">
        <f aca="false">IF($B146=AM$1,1,0)</f>
        <v>0</v>
      </c>
      <c r="AN146" s="4" t="n">
        <f aca="false">IF($B146=AN$1,1,0)</f>
        <v>0</v>
      </c>
      <c r="AO146" s="4" t="n">
        <f aca="false">IF($B146=AO$1,1,0)</f>
        <v>0</v>
      </c>
      <c r="AP146" s="4" t="n">
        <f aca="false">IF($B146=AP$1,1,0)</f>
        <v>0</v>
      </c>
      <c r="AQ146" s="4" t="n">
        <f aca="false">IF($B146=AQ$1,1,0)</f>
        <v>1</v>
      </c>
      <c r="AR146" s="4" t="n">
        <f aca="false">IF($B146=AR$1,1,0)</f>
        <v>0</v>
      </c>
      <c r="AS146" s="4" t="n">
        <f aca="false">IF($B146=AS$1,1,0)</f>
        <v>0</v>
      </c>
      <c r="AT146" s="4" t="n">
        <f aca="false">IF($B146=AT$1,1,0)</f>
        <v>0</v>
      </c>
      <c r="BB146" s="4" t="n">
        <f aca="false">A146</f>
        <v>145</v>
      </c>
      <c r="BC146" s="7" t="n">
        <f aca="false">ABS($T146-$AX$2)+ABS($U146-$AY$2)+ABS($V146-$AZ$2)</f>
        <v>8515.7676056338</v>
      </c>
      <c r="BD146" s="7" t="n">
        <f aca="false">ABS($T146-$AX$3)+ABS($U146-$AY$3)+ABS($V146-$AZ$3)</f>
        <v>15327.7288135593</v>
      </c>
      <c r="BE146" s="7" t="n">
        <f aca="false">ABS($T146-$AX$4)+ABS($U146-$AY$4)+ABS($V146-$AZ$4)</f>
        <v>46459.641509434</v>
      </c>
      <c r="BF146" s="7" t="n">
        <f aca="false">MIN(BC146:BE146)</f>
        <v>8515.7676056338</v>
      </c>
      <c r="BG146" s="4" t="n">
        <f aca="false">MATCH(BF146,BC146:BE146,0)</f>
        <v>1</v>
      </c>
      <c r="BH146" s="8" t="n">
        <v>1</v>
      </c>
      <c r="BI146" s="4" t="n">
        <f aca="false">IF(BG146=BH146,0,1)</f>
        <v>0</v>
      </c>
      <c r="BK146" s="8" t="n">
        <v>2</v>
      </c>
      <c r="BL146" s="8" t="n">
        <v>1</v>
      </c>
      <c r="BM146" s="8" t="n">
        <v>1</v>
      </c>
    </row>
    <row r="147" customFormat="false" ht="15" hidden="false" customHeight="false" outlineLevel="0" collapsed="false">
      <c r="A147" s="3" t="n">
        <v>146</v>
      </c>
      <c r="B147" s="3" t="s">
        <v>38</v>
      </c>
      <c r="C147" s="3" t="n">
        <v>1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5</v>
      </c>
      <c r="I147" s="3" t="n">
        <v>5</v>
      </c>
      <c r="J147" s="3" t="n">
        <v>5</v>
      </c>
      <c r="K147" s="3" t="n">
        <v>5</v>
      </c>
      <c r="L147" s="3" t="n">
        <v>5</v>
      </c>
      <c r="M147" s="3" t="n">
        <v>5</v>
      </c>
      <c r="N147" s="3" t="n">
        <v>3</v>
      </c>
      <c r="O147" s="3" t="n">
        <v>3</v>
      </c>
      <c r="P147" s="3" t="n">
        <v>3</v>
      </c>
      <c r="Q147" s="3" t="n">
        <v>5</v>
      </c>
      <c r="R147" s="3" t="n">
        <v>3</v>
      </c>
      <c r="S147" s="3" t="n">
        <v>3</v>
      </c>
      <c r="T147" s="3" t="n">
        <v>0</v>
      </c>
      <c r="U147" s="3" t="n">
        <v>45</v>
      </c>
      <c r="V147" s="3" t="n">
        <v>51424</v>
      </c>
      <c r="W147" s="3" t="n">
        <v>3</v>
      </c>
      <c r="X147" s="3" t="n">
        <v>4</v>
      </c>
      <c r="Y147" s="3" t="n">
        <v>1</v>
      </c>
      <c r="Z147" s="3" t="n">
        <v>1</v>
      </c>
      <c r="AA147" s="4" t="n">
        <f aca="false">IF($B147=AA$1,1,0)</f>
        <v>0</v>
      </c>
      <c r="AB147" s="4" t="n">
        <f aca="false">IF($B147=AB$1,1,0)</f>
        <v>0</v>
      </c>
      <c r="AC147" s="4" t="n">
        <f aca="false">IF($B147=AC$1,1,0)</f>
        <v>0</v>
      </c>
      <c r="AD147" s="4" t="n">
        <f aca="false">IF($B147=AD$1,1,0)</f>
        <v>0</v>
      </c>
      <c r="AE147" s="4" t="n">
        <f aca="false">IF($B147=AE$1,1,0)</f>
        <v>0</v>
      </c>
      <c r="AF147" s="4" t="n">
        <f aca="false">IF($B147=AF$1,1,0)</f>
        <v>0</v>
      </c>
      <c r="AG147" s="4" t="n">
        <f aca="false">IF($B147=AG$1,1,0)</f>
        <v>0</v>
      </c>
      <c r="AH147" s="4" t="n">
        <f aca="false">IF($B147=AH$1,1,0)</f>
        <v>0</v>
      </c>
      <c r="AI147" s="4" t="n">
        <f aca="false">IF($B147=AI$1,1,0)</f>
        <v>0</v>
      </c>
      <c r="AJ147" s="4" t="n">
        <f aca="false">IF($B147=AJ$1,1,0)</f>
        <v>0</v>
      </c>
      <c r="AK147" s="4" t="n">
        <f aca="false">IF($B147=AK$1,1,0)</f>
        <v>0</v>
      </c>
      <c r="AL147" s="4" t="n">
        <f aca="false">IF($B147=AL$1,1,0)</f>
        <v>0</v>
      </c>
      <c r="AM147" s="4" t="n">
        <f aca="false">IF($B147=AM$1,1,0)</f>
        <v>1</v>
      </c>
      <c r="AN147" s="4" t="n">
        <f aca="false">IF($B147=AN$1,1,0)</f>
        <v>0</v>
      </c>
      <c r="AO147" s="4" t="n">
        <f aca="false">IF($B147=AO$1,1,0)</f>
        <v>0</v>
      </c>
      <c r="AP147" s="4" t="n">
        <f aca="false">IF($B147=AP$1,1,0)</f>
        <v>0</v>
      </c>
      <c r="AQ147" s="4" t="n">
        <f aca="false">IF($B147=AQ$1,1,0)</f>
        <v>0</v>
      </c>
      <c r="AR147" s="4" t="n">
        <f aca="false">IF($B147=AR$1,1,0)</f>
        <v>0</v>
      </c>
      <c r="AS147" s="4" t="n">
        <f aca="false">IF($B147=AS$1,1,0)</f>
        <v>0</v>
      </c>
      <c r="AT147" s="4" t="n">
        <f aca="false">IF($B147=AT$1,1,0)</f>
        <v>0</v>
      </c>
      <c r="BB147" s="4" t="n">
        <f aca="false">A147</f>
        <v>146</v>
      </c>
      <c r="BC147" s="7" t="n">
        <f aca="false">ABS($T147-$AX$2)+ABS($U147-$AY$2)+ABS($V147-$AZ$2)</f>
        <v>28596.2887323944</v>
      </c>
      <c r="BD147" s="7" t="n">
        <f aca="false">ABS($T147-$AX$3)+ABS($U147-$AY$3)+ABS($V147-$AZ$3)</f>
        <v>4764.64406779661</v>
      </c>
      <c r="BE147" s="7" t="n">
        <f aca="false">ABS($T147-$AX$4)+ABS($U147-$AY$4)+ABS($V147-$AZ$4)</f>
        <v>26373.6037735849</v>
      </c>
      <c r="BF147" s="7" t="n">
        <f aca="false">MIN(BC147:BE147)</f>
        <v>4764.64406779661</v>
      </c>
      <c r="BG147" s="4" t="n">
        <f aca="false">MATCH(BF147,BC147:BE147,0)</f>
        <v>2</v>
      </c>
      <c r="BH147" s="8" t="n">
        <v>2</v>
      </c>
      <c r="BI147" s="4" t="n">
        <f aca="false">IF(BG147=BH147,0,1)</f>
        <v>0</v>
      </c>
      <c r="BK147" s="8" t="n">
        <v>2</v>
      </c>
      <c r="BL147" s="8" t="n">
        <v>2</v>
      </c>
      <c r="BM147" s="8" t="n">
        <v>2</v>
      </c>
    </row>
    <row r="148" customFormat="false" ht="15" hidden="false" customHeight="false" outlineLevel="0" collapsed="false">
      <c r="A148" s="3" t="n">
        <v>147</v>
      </c>
      <c r="B148" s="3" t="s">
        <v>35</v>
      </c>
      <c r="C148" s="3" t="n">
        <v>1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4</v>
      </c>
      <c r="I148" s="3" t="n">
        <v>4</v>
      </c>
      <c r="J148" s="3" t="n">
        <v>4</v>
      </c>
      <c r="K148" s="3" t="n">
        <v>4</v>
      </c>
      <c r="L148" s="3" t="n">
        <v>5</v>
      </c>
      <c r="M148" s="3" t="n">
        <v>4</v>
      </c>
      <c r="N148" s="3" t="n">
        <v>4</v>
      </c>
      <c r="O148" s="3" t="n">
        <v>4</v>
      </c>
      <c r="P148" s="3" t="n">
        <v>4</v>
      </c>
      <c r="Q148" s="3" t="n">
        <v>4</v>
      </c>
      <c r="R148" s="3" t="n">
        <v>5</v>
      </c>
      <c r="S148" s="3" t="n">
        <v>4</v>
      </c>
      <c r="T148" s="3" t="n">
        <v>0</v>
      </c>
      <c r="U148" s="3" t="n">
        <v>48</v>
      </c>
      <c r="V148" s="3" t="n">
        <v>38160</v>
      </c>
      <c r="W148" s="3" t="n">
        <v>2</v>
      </c>
      <c r="X148" s="3" t="n">
        <v>3</v>
      </c>
      <c r="Y148" s="3" t="n">
        <v>2</v>
      </c>
      <c r="Z148" s="3" t="n">
        <v>2</v>
      </c>
      <c r="AA148" s="4" t="n">
        <f aca="false">IF($B148=AA$1,1,0)</f>
        <v>0</v>
      </c>
      <c r="AB148" s="4" t="n">
        <f aca="false">IF($B148=AB$1,1,0)</f>
        <v>0</v>
      </c>
      <c r="AC148" s="4" t="n">
        <f aca="false">IF($B148=AC$1,1,0)</f>
        <v>0</v>
      </c>
      <c r="AD148" s="4" t="n">
        <f aca="false">IF($B148=AD$1,1,0)</f>
        <v>0</v>
      </c>
      <c r="AE148" s="4" t="n">
        <f aca="false">IF($B148=AE$1,1,0)</f>
        <v>0</v>
      </c>
      <c r="AF148" s="4" t="n">
        <f aca="false">IF($B148=AF$1,1,0)</f>
        <v>0</v>
      </c>
      <c r="AG148" s="4" t="n">
        <f aca="false">IF($B148=AG$1,1,0)</f>
        <v>0</v>
      </c>
      <c r="AH148" s="4" t="n">
        <f aca="false">IF($B148=AH$1,1,0)</f>
        <v>0</v>
      </c>
      <c r="AI148" s="4" t="n">
        <f aca="false">IF($B148=AI$1,1,0)</f>
        <v>0</v>
      </c>
      <c r="AJ148" s="4" t="n">
        <f aca="false">IF($B148=AJ$1,1,0)</f>
        <v>1</v>
      </c>
      <c r="AK148" s="4" t="n">
        <f aca="false">IF($B148=AK$1,1,0)</f>
        <v>0</v>
      </c>
      <c r="AL148" s="4" t="n">
        <f aca="false">IF($B148=AL$1,1,0)</f>
        <v>0</v>
      </c>
      <c r="AM148" s="4" t="n">
        <f aca="false">IF($B148=AM$1,1,0)</f>
        <v>0</v>
      </c>
      <c r="AN148" s="4" t="n">
        <f aca="false">IF($B148=AN$1,1,0)</f>
        <v>0</v>
      </c>
      <c r="AO148" s="4" t="n">
        <f aca="false">IF($B148=AO$1,1,0)</f>
        <v>0</v>
      </c>
      <c r="AP148" s="4" t="n">
        <f aca="false">IF($B148=AP$1,1,0)</f>
        <v>0</v>
      </c>
      <c r="AQ148" s="4" t="n">
        <f aca="false">IF($B148=AQ$1,1,0)</f>
        <v>0</v>
      </c>
      <c r="AR148" s="4" t="n">
        <f aca="false">IF($B148=AR$1,1,0)</f>
        <v>0</v>
      </c>
      <c r="AS148" s="4" t="n">
        <f aca="false">IF($B148=AS$1,1,0)</f>
        <v>0</v>
      </c>
      <c r="AT148" s="4" t="n">
        <f aca="false">IF($B148=AT$1,1,0)</f>
        <v>0</v>
      </c>
      <c r="BB148" s="4" t="n">
        <f aca="false">A148</f>
        <v>147</v>
      </c>
      <c r="BC148" s="7" t="n">
        <f aca="false">ABS($T148-$AX$2)+ABS($U148-$AY$2)+ABS($V148-$AZ$2)</f>
        <v>15335.2887323944</v>
      </c>
      <c r="BD148" s="7" t="n">
        <f aca="false">ABS($T148-$AX$3)+ABS($U148-$AY$3)+ABS($V148-$AZ$3)</f>
        <v>8509.96610169492</v>
      </c>
      <c r="BE148" s="7" t="n">
        <f aca="false">ABS($T148-$AX$4)+ABS($U148-$AY$4)+ABS($V148-$AZ$4)</f>
        <v>39640.6037735849</v>
      </c>
      <c r="BF148" s="7" t="n">
        <f aca="false">MIN(BC148:BE148)</f>
        <v>8509.96610169492</v>
      </c>
      <c r="BG148" s="4" t="n">
        <f aca="false">MATCH(BF148,BC148:BE148,0)</f>
        <v>2</v>
      </c>
      <c r="BH148" s="8" t="n">
        <v>2</v>
      </c>
      <c r="BI148" s="4" t="n">
        <f aca="false">IF(BG148=BH148,0,1)</f>
        <v>0</v>
      </c>
      <c r="BK148" s="8" t="n">
        <v>2</v>
      </c>
      <c r="BL148" s="8" t="n">
        <v>2</v>
      </c>
      <c r="BM148" s="8" t="n">
        <v>2</v>
      </c>
    </row>
    <row r="149" customFormat="false" ht="15" hidden="false" customHeight="false" outlineLevel="0" collapsed="false">
      <c r="A149" s="3" t="n">
        <v>148</v>
      </c>
      <c r="B149" s="3" t="s">
        <v>31</v>
      </c>
      <c r="C149" s="3" t="n">
        <v>1</v>
      </c>
      <c r="D149" s="3" t="n">
        <v>0</v>
      </c>
      <c r="E149" s="3" t="n">
        <v>0</v>
      </c>
      <c r="F149" s="3" t="n">
        <v>0</v>
      </c>
      <c r="G149" s="3" t="n">
        <v>3</v>
      </c>
      <c r="H149" s="3" t="n">
        <v>4</v>
      </c>
      <c r="I149" s="3" t="n">
        <v>4</v>
      </c>
      <c r="J149" s="3" t="n">
        <v>4</v>
      </c>
      <c r="K149" s="3" t="n">
        <v>4</v>
      </c>
      <c r="L149" s="3" t="n">
        <v>4</v>
      </c>
      <c r="M149" s="3" t="n">
        <v>4</v>
      </c>
      <c r="N149" s="3" t="n">
        <v>4</v>
      </c>
      <c r="O149" s="3" t="n">
        <v>5</v>
      </c>
      <c r="P149" s="3" t="n">
        <v>5</v>
      </c>
      <c r="Q149" s="3" t="n">
        <v>5</v>
      </c>
      <c r="R149" s="3" t="n">
        <v>5</v>
      </c>
      <c r="S149" s="3" t="n">
        <v>3</v>
      </c>
      <c r="T149" s="3" t="n">
        <v>0</v>
      </c>
      <c r="U149" s="3" t="n">
        <v>51</v>
      </c>
      <c r="V149" s="3" t="n">
        <v>31904</v>
      </c>
      <c r="W149" s="3" t="n">
        <v>1</v>
      </c>
      <c r="X149" s="3" t="n">
        <v>4</v>
      </c>
      <c r="Y149" s="3" t="n">
        <v>2</v>
      </c>
      <c r="Z149" s="3" t="n">
        <v>1</v>
      </c>
      <c r="AA149" s="4" t="n">
        <f aca="false">IF($B149=AA$1,1,0)</f>
        <v>0</v>
      </c>
      <c r="AB149" s="4" t="n">
        <f aca="false">IF($B149=AB$1,1,0)</f>
        <v>0</v>
      </c>
      <c r="AC149" s="4" t="n">
        <f aca="false">IF($B149=AC$1,1,0)</f>
        <v>0</v>
      </c>
      <c r="AD149" s="4" t="n">
        <f aca="false">IF($B149=AD$1,1,0)</f>
        <v>0</v>
      </c>
      <c r="AE149" s="4" t="n">
        <f aca="false">IF($B149=AE$1,1,0)</f>
        <v>0</v>
      </c>
      <c r="AF149" s="4" t="n">
        <f aca="false">IF($B149=AF$1,1,0)</f>
        <v>1</v>
      </c>
      <c r="AG149" s="4" t="n">
        <f aca="false">IF($B149=AG$1,1,0)</f>
        <v>0</v>
      </c>
      <c r="AH149" s="4" t="n">
        <f aca="false">IF($B149=AH$1,1,0)</f>
        <v>0</v>
      </c>
      <c r="AI149" s="4" t="n">
        <f aca="false">IF($B149=AI$1,1,0)</f>
        <v>0</v>
      </c>
      <c r="AJ149" s="4" t="n">
        <f aca="false">IF($B149=AJ$1,1,0)</f>
        <v>0</v>
      </c>
      <c r="AK149" s="4" t="n">
        <f aca="false">IF($B149=AK$1,1,0)</f>
        <v>0</v>
      </c>
      <c r="AL149" s="4" t="n">
        <f aca="false">IF($B149=AL$1,1,0)</f>
        <v>0</v>
      </c>
      <c r="AM149" s="4" t="n">
        <f aca="false">IF($B149=AM$1,1,0)</f>
        <v>0</v>
      </c>
      <c r="AN149" s="4" t="n">
        <f aca="false">IF($B149=AN$1,1,0)</f>
        <v>0</v>
      </c>
      <c r="AO149" s="4" t="n">
        <f aca="false">IF($B149=AO$1,1,0)</f>
        <v>0</v>
      </c>
      <c r="AP149" s="4" t="n">
        <f aca="false">IF($B149=AP$1,1,0)</f>
        <v>0</v>
      </c>
      <c r="AQ149" s="4" t="n">
        <f aca="false">IF($B149=AQ$1,1,0)</f>
        <v>0</v>
      </c>
      <c r="AR149" s="4" t="n">
        <f aca="false">IF($B149=AR$1,1,0)</f>
        <v>0</v>
      </c>
      <c r="AS149" s="4" t="n">
        <f aca="false">IF($B149=AS$1,1,0)</f>
        <v>0</v>
      </c>
      <c r="AT149" s="4" t="n">
        <f aca="false">IF($B149=AT$1,1,0)</f>
        <v>0</v>
      </c>
      <c r="BB149" s="4" t="n">
        <f aca="false">A149</f>
        <v>148</v>
      </c>
      <c r="BC149" s="7" t="n">
        <f aca="false">ABS($T149-$AX$2)+ABS($U149-$AY$2)+ABS($V149-$AZ$2)</f>
        <v>9082.28873239437</v>
      </c>
      <c r="BD149" s="7" t="n">
        <f aca="false">ABS($T149-$AX$3)+ABS($U149-$AY$3)+ABS($V149-$AZ$3)</f>
        <v>14768.9661016949</v>
      </c>
      <c r="BE149" s="7" t="n">
        <f aca="false">ABS($T149-$AX$4)+ABS($U149-$AY$4)+ABS($V149-$AZ$4)</f>
        <v>45899.6037735849</v>
      </c>
      <c r="BF149" s="7" t="n">
        <f aca="false">MIN(BC149:BE149)</f>
        <v>9082.28873239437</v>
      </c>
      <c r="BG149" s="4" t="n">
        <f aca="false">MATCH(BF149,BC149:BE149,0)</f>
        <v>1</v>
      </c>
      <c r="BH149" s="8" t="n">
        <v>1</v>
      </c>
      <c r="BI149" s="4" t="n">
        <f aca="false">IF(BG149=BH149,0,1)</f>
        <v>0</v>
      </c>
      <c r="BK149" s="8" t="n">
        <v>2</v>
      </c>
      <c r="BL149" s="8" t="n">
        <v>1</v>
      </c>
      <c r="BM149" s="8" t="n">
        <v>1</v>
      </c>
    </row>
    <row r="150" customFormat="false" ht="15" hidden="false" customHeight="false" outlineLevel="0" collapsed="false">
      <c r="A150" s="3" t="n">
        <v>149</v>
      </c>
      <c r="B150" s="3" t="s">
        <v>31</v>
      </c>
      <c r="C150" s="3" t="n">
        <v>1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4</v>
      </c>
      <c r="I150" s="3" t="n">
        <v>4</v>
      </c>
      <c r="J150" s="3" t="n">
        <v>5</v>
      </c>
      <c r="K150" s="3" t="n">
        <v>3</v>
      </c>
      <c r="L150" s="3" t="n">
        <v>5</v>
      </c>
      <c r="M150" s="3" t="n">
        <v>4</v>
      </c>
      <c r="N150" s="3" t="n">
        <v>3</v>
      </c>
      <c r="O150" s="3" t="n">
        <v>2</v>
      </c>
      <c r="P150" s="3" t="n">
        <v>2</v>
      </c>
      <c r="Q150" s="3" t="n">
        <v>5</v>
      </c>
      <c r="R150" s="3" t="n">
        <v>4</v>
      </c>
      <c r="S150" s="3" t="n">
        <v>3</v>
      </c>
      <c r="T150" s="3" t="n">
        <v>0</v>
      </c>
      <c r="U150" s="3" t="n">
        <v>33</v>
      </c>
      <c r="V150" s="3" t="n">
        <v>25853</v>
      </c>
      <c r="W150" s="3" t="n">
        <v>2</v>
      </c>
      <c r="X150" s="3" t="n">
        <v>1</v>
      </c>
      <c r="Y150" s="3" t="n">
        <v>2</v>
      </c>
      <c r="Z150" s="3" t="n">
        <v>3</v>
      </c>
      <c r="AA150" s="4" t="n">
        <f aca="false">IF($B150=AA$1,1,0)</f>
        <v>0</v>
      </c>
      <c r="AB150" s="4" t="n">
        <f aca="false">IF($B150=AB$1,1,0)</f>
        <v>0</v>
      </c>
      <c r="AC150" s="4" t="n">
        <f aca="false">IF($B150=AC$1,1,0)</f>
        <v>0</v>
      </c>
      <c r="AD150" s="4" t="n">
        <f aca="false">IF($B150=AD$1,1,0)</f>
        <v>0</v>
      </c>
      <c r="AE150" s="4" t="n">
        <f aca="false">IF($B150=AE$1,1,0)</f>
        <v>0</v>
      </c>
      <c r="AF150" s="4" t="n">
        <f aca="false">IF($B150=AF$1,1,0)</f>
        <v>1</v>
      </c>
      <c r="AG150" s="4" t="n">
        <f aca="false">IF($B150=AG$1,1,0)</f>
        <v>0</v>
      </c>
      <c r="AH150" s="4" t="n">
        <f aca="false">IF($B150=AH$1,1,0)</f>
        <v>0</v>
      </c>
      <c r="AI150" s="4" t="n">
        <f aca="false">IF($B150=AI$1,1,0)</f>
        <v>0</v>
      </c>
      <c r="AJ150" s="4" t="n">
        <f aca="false">IF($B150=AJ$1,1,0)</f>
        <v>0</v>
      </c>
      <c r="AK150" s="4" t="n">
        <f aca="false">IF($B150=AK$1,1,0)</f>
        <v>0</v>
      </c>
      <c r="AL150" s="4" t="n">
        <f aca="false">IF($B150=AL$1,1,0)</f>
        <v>0</v>
      </c>
      <c r="AM150" s="4" t="n">
        <f aca="false">IF($B150=AM$1,1,0)</f>
        <v>0</v>
      </c>
      <c r="AN150" s="4" t="n">
        <f aca="false">IF($B150=AN$1,1,0)</f>
        <v>0</v>
      </c>
      <c r="AO150" s="4" t="n">
        <f aca="false">IF($B150=AO$1,1,0)</f>
        <v>0</v>
      </c>
      <c r="AP150" s="4" t="n">
        <f aca="false">IF($B150=AP$1,1,0)</f>
        <v>0</v>
      </c>
      <c r="AQ150" s="4" t="n">
        <f aca="false">IF($B150=AQ$1,1,0)</f>
        <v>0</v>
      </c>
      <c r="AR150" s="4" t="n">
        <f aca="false">IF($B150=AR$1,1,0)</f>
        <v>0</v>
      </c>
      <c r="AS150" s="4" t="n">
        <f aca="false">IF($B150=AS$1,1,0)</f>
        <v>0</v>
      </c>
      <c r="AT150" s="4" t="n">
        <f aca="false">IF($B150=AT$1,1,0)</f>
        <v>0</v>
      </c>
      <c r="BB150" s="4" t="n">
        <f aca="false">A150</f>
        <v>149</v>
      </c>
      <c r="BC150" s="7" t="n">
        <f aca="false">ABS($T150-$AX$2)+ABS($U150-$AY$2)+ABS($V150-$AZ$2)</f>
        <v>3024.7676056338</v>
      </c>
      <c r="BD150" s="7" t="n">
        <f aca="false">ABS($T150-$AX$3)+ABS($U150-$AY$3)+ABS($V150-$AZ$3)</f>
        <v>20818.7288135593</v>
      </c>
      <c r="BE150" s="7" t="n">
        <f aca="false">ABS($T150-$AX$4)+ABS($U150-$AY$4)+ABS($V150-$AZ$4)</f>
        <v>51950.641509434</v>
      </c>
      <c r="BF150" s="7" t="n">
        <f aca="false">MIN(BC150:BE150)</f>
        <v>3024.7676056338</v>
      </c>
      <c r="BG150" s="4" t="n">
        <f aca="false">MATCH(BF150,BC150:BE150,0)</f>
        <v>1</v>
      </c>
      <c r="BH150" s="8" t="n">
        <v>1</v>
      </c>
      <c r="BI150" s="4" t="n">
        <f aca="false">IF(BG150=BH150,0,1)</f>
        <v>0</v>
      </c>
      <c r="BK150" s="8" t="n">
        <v>1</v>
      </c>
      <c r="BL150" s="8" t="n">
        <v>1</v>
      </c>
      <c r="BM150" s="8" t="n">
        <v>1</v>
      </c>
    </row>
    <row r="151" customFormat="false" ht="15" hidden="false" customHeight="false" outlineLevel="0" collapsed="false">
      <c r="A151" s="3" t="n">
        <v>150</v>
      </c>
      <c r="B151" s="3" t="s">
        <v>30</v>
      </c>
      <c r="C151" s="3" t="n">
        <v>0</v>
      </c>
      <c r="D151" s="3" t="n">
        <v>0</v>
      </c>
      <c r="E151" s="3" t="n">
        <v>1</v>
      </c>
      <c r="F151" s="3" t="n">
        <v>0</v>
      </c>
      <c r="G151" s="3" t="n">
        <v>0</v>
      </c>
      <c r="H151" s="3" t="n">
        <v>5</v>
      </c>
      <c r="I151" s="3" t="n">
        <v>4</v>
      </c>
      <c r="J151" s="3" t="n">
        <v>4</v>
      </c>
      <c r="K151" s="3" t="n">
        <v>4</v>
      </c>
      <c r="L151" s="3" t="n">
        <v>4</v>
      </c>
      <c r="M151" s="3" t="n">
        <v>4</v>
      </c>
      <c r="N151" s="3" t="n">
        <v>4</v>
      </c>
      <c r="O151" s="3" t="n">
        <v>4</v>
      </c>
      <c r="P151" s="3" t="n">
        <v>4</v>
      </c>
      <c r="Q151" s="3" t="n">
        <v>4</v>
      </c>
      <c r="R151" s="3" t="n">
        <v>4</v>
      </c>
      <c r="S151" s="3" t="n">
        <v>4</v>
      </c>
      <c r="T151" s="3" t="n">
        <v>0</v>
      </c>
      <c r="U151" s="3" t="n">
        <v>51</v>
      </c>
      <c r="V151" s="3" t="n">
        <v>41883</v>
      </c>
      <c r="W151" s="3" t="n">
        <v>2</v>
      </c>
      <c r="X151" s="3" t="n">
        <v>2</v>
      </c>
      <c r="Y151" s="3" t="n">
        <v>2</v>
      </c>
      <c r="Z151" s="3" t="n">
        <v>2</v>
      </c>
      <c r="AA151" s="4" t="n">
        <f aca="false">IF($B151=AA$1,1,0)</f>
        <v>0</v>
      </c>
      <c r="AB151" s="4" t="n">
        <f aca="false">IF($B151=AB$1,1,0)</f>
        <v>0</v>
      </c>
      <c r="AC151" s="4" t="n">
        <f aca="false">IF($B151=AC$1,1,0)</f>
        <v>0</v>
      </c>
      <c r="AD151" s="4" t="n">
        <f aca="false">IF($B151=AD$1,1,0)</f>
        <v>0</v>
      </c>
      <c r="AE151" s="4" t="n">
        <f aca="false">IF($B151=AE$1,1,0)</f>
        <v>1</v>
      </c>
      <c r="AF151" s="4" t="n">
        <f aca="false">IF($B151=AF$1,1,0)</f>
        <v>0</v>
      </c>
      <c r="AG151" s="4" t="n">
        <f aca="false">IF($B151=AG$1,1,0)</f>
        <v>0</v>
      </c>
      <c r="AH151" s="4" t="n">
        <f aca="false">IF($B151=AH$1,1,0)</f>
        <v>0</v>
      </c>
      <c r="AI151" s="4" t="n">
        <f aca="false">IF($B151=AI$1,1,0)</f>
        <v>0</v>
      </c>
      <c r="AJ151" s="4" t="n">
        <f aca="false">IF($B151=AJ$1,1,0)</f>
        <v>0</v>
      </c>
      <c r="AK151" s="4" t="n">
        <f aca="false">IF($B151=AK$1,1,0)</f>
        <v>0</v>
      </c>
      <c r="AL151" s="4" t="n">
        <f aca="false">IF($B151=AL$1,1,0)</f>
        <v>0</v>
      </c>
      <c r="AM151" s="4" t="n">
        <f aca="false">IF($B151=AM$1,1,0)</f>
        <v>0</v>
      </c>
      <c r="AN151" s="4" t="n">
        <f aca="false">IF($B151=AN$1,1,0)</f>
        <v>0</v>
      </c>
      <c r="AO151" s="4" t="n">
        <f aca="false">IF($B151=AO$1,1,0)</f>
        <v>0</v>
      </c>
      <c r="AP151" s="4" t="n">
        <f aca="false">IF($B151=AP$1,1,0)</f>
        <v>0</v>
      </c>
      <c r="AQ151" s="4" t="n">
        <f aca="false">IF($B151=AQ$1,1,0)</f>
        <v>0</v>
      </c>
      <c r="AR151" s="4" t="n">
        <f aca="false">IF($B151=AR$1,1,0)</f>
        <v>0</v>
      </c>
      <c r="AS151" s="4" t="n">
        <f aca="false">IF($B151=AS$1,1,0)</f>
        <v>0</v>
      </c>
      <c r="AT151" s="4" t="n">
        <f aca="false">IF($B151=AT$1,1,0)</f>
        <v>0</v>
      </c>
      <c r="BB151" s="4" t="n">
        <f aca="false">A151</f>
        <v>150</v>
      </c>
      <c r="BC151" s="7" t="n">
        <f aca="false">ABS($T151-$AX$2)+ABS($U151-$AY$2)+ABS($V151-$AZ$2)</f>
        <v>19061.2887323944</v>
      </c>
      <c r="BD151" s="7" t="n">
        <f aca="false">ABS($T151-$AX$3)+ABS($U151-$AY$3)+ABS($V151-$AZ$3)</f>
        <v>4789.96610169492</v>
      </c>
      <c r="BE151" s="7" t="n">
        <f aca="false">ABS($T151-$AX$4)+ABS($U151-$AY$4)+ABS($V151-$AZ$4)</f>
        <v>35920.6037735849</v>
      </c>
      <c r="BF151" s="7" t="n">
        <f aca="false">MIN(BC151:BE151)</f>
        <v>4789.96610169492</v>
      </c>
      <c r="BG151" s="4" t="n">
        <f aca="false">MATCH(BF151,BC151:BE151,0)</f>
        <v>2</v>
      </c>
      <c r="BH151" s="8" t="n">
        <v>2</v>
      </c>
      <c r="BI151" s="4" t="n">
        <f aca="false">IF(BG151=BH151,0,1)</f>
        <v>0</v>
      </c>
      <c r="BK151" s="8" t="n">
        <v>2</v>
      </c>
      <c r="BL151" s="8" t="n">
        <v>2</v>
      </c>
      <c r="BM151" s="8" t="n">
        <v>2</v>
      </c>
    </row>
    <row r="152" customFormat="false" ht="15" hidden="false" customHeight="false" outlineLevel="0" collapsed="false">
      <c r="A152" s="3" t="n">
        <v>151</v>
      </c>
      <c r="B152" s="3" t="s">
        <v>31</v>
      </c>
      <c r="C152" s="3" t="n">
        <v>1</v>
      </c>
      <c r="D152" s="3" t="n">
        <v>0</v>
      </c>
      <c r="E152" s="3" t="n">
        <v>1</v>
      </c>
      <c r="F152" s="3" t="n">
        <v>0</v>
      </c>
      <c r="G152" s="3" t="n">
        <v>0</v>
      </c>
      <c r="H152" s="3" t="n">
        <v>5</v>
      </c>
      <c r="I152" s="3" t="n">
        <v>5</v>
      </c>
      <c r="J152" s="3" t="n">
        <v>5</v>
      </c>
      <c r="K152" s="3" t="n">
        <v>5</v>
      </c>
      <c r="L152" s="3" t="n">
        <v>5</v>
      </c>
      <c r="M152" s="3" t="n">
        <v>5</v>
      </c>
      <c r="N152" s="3" t="n">
        <v>5</v>
      </c>
      <c r="O152" s="3" t="n">
        <v>5</v>
      </c>
      <c r="P152" s="3" t="n">
        <v>5</v>
      </c>
      <c r="Q152" s="3" t="n">
        <v>5</v>
      </c>
      <c r="R152" s="3" t="n">
        <v>5</v>
      </c>
      <c r="S152" s="3" t="n">
        <v>5</v>
      </c>
      <c r="T152" s="3" t="n">
        <v>0</v>
      </c>
      <c r="U152" s="3" t="n">
        <v>50</v>
      </c>
      <c r="V152" s="3" t="n">
        <v>35736</v>
      </c>
      <c r="W152" s="3" t="n">
        <v>2</v>
      </c>
      <c r="X152" s="3" t="n">
        <v>4</v>
      </c>
      <c r="Y152" s="3" t="n">
        <v>2</v>
      </c>
      <c r="Z152" s="3" t="n">
        <v>2</v>
      </c>
      <c r="AA152" s="4" t="n">
        <f aca="false">IF($B152=AA$1,1,0)</f>
        <v>0</v>
      </c>
      <c r="AB152" s="4" t="n">
        <f aca="false">IF($B152=AB$1,1,0)</f>
        <v>0</v>
      </c>
      <c r="AC152" s="4" t="n">
        <f aca="false">IF($B152=AC$1,1,0)</f>
        <v>0</v>
      </c>
      <c r="AD152" s="4" t="n">
        <f aca="false">IF($B152=AD$1,1,0)</f>
        <v>0</v>
      </c>
      <c r="AE152" s="4" t="n">
        <f aca="false">IF($B152=AE$1,1,0)</f>
        <v>0</v>
      </c>
      <c r="AF152" s="4" t="n">
        <f aca="false">IF($B152=AF$1,1,0)</f>
        <v>1</v>
      </c>
      <c r="AG152" s="4" t="n">
        <f aca="false">IF($B152=AG$1,1,0)</f>
        <v>0</v>
      </c>
      <c r="AH152" s="4" t="n">
        <f aca="false">IF($B152=AH$1,1,0)</f>
        <v>0</v>
      </c>
      <c r="AI152" s="4" t="n">
        <f aca="false">IF($B152=AI$1,1,0)</f>
        <v>0</v>
      </c>
      <c r="AJ152" s="4" t="n">
        <f aca="false">IF($B152=AJ$1,1,0)</f>
        <v>0</v>
      </c>
      <c r="AK152" s="4" t="n">
        <f aca="false">IF($B152=AK$1,1,0)</f>
        <v>0</v>
      </c>
      <c r="AL152" s="4" t="n">
        <f aca="false">IF($B152=AL$1,1,0)</f>
        <v>0</v>
      </c>
      <c r="AM152" s="4" t="n">
        <f aca="false">IF($B152=AM$1,1,0)</f>
        <v>0</v>
      </c>
      <c r="AN152" s="4" t="n">
        <f aca="false">IF($B152=AN$1,1,0)</f>
        <v>0</v>
      </c>
      <c r="AO152" s="4" t="n">
        <f aca="false">IF($B152=AO$1,1,0)</f>
        <v>0</v>
      </c>
      <c r="AP152" s="4" t="n">
        <f aca="false">IF($B152=AP$1,1,0)</f>
        <v>0</v>
      </c>
      <c r="AQ152" s="4" t="n">
        <f aca="false">IF($B152=AQ$1,1,0)</f>
        <v>0</v>
      </c>
      <c r="AR152" s="4" t="n">
        <f aca="false">IF($B152=AR$1,1,0)</f>
        <v>0</v>
      </c>
      <c r="AS152" s="4" t="n">
        <f aca="false">IF($B152=AS$1,1,0)</f>
        <v>0</v>
      </c>
      <c r="AT152" s="4" t="n">
        <f aca="false">IF($B152=AT$1,1,0)</f>
        <v>0</v>
      </c>
      <c r="BB152" s="4" t="n">
        <f aca="false">A152</f>
        <v>151</v>
      </c>
      <c r="BC152" s="7" t="n">
        <f aca="false">ABS($T152-$AX$2)+ABS($U152-$AY$2)+ABS($V152-$AZ$2)</f>
        <v>12913.2887323944</v>
      </c>
      <c r="BD152" s="7" t="n">
        <f aca="false">ABS($T152-$AX$3)+ABS($U152-$AY$3)+ABS($V152-$AZ$3)</f>
        <v>10935.9661016949</v>
      </c>
      <c r="BE152" s="7" t="n">
        <f aca="false">ABS($T152-$AX$4)+ABS($U152-$AY$4)+ABS($V152-$AZ$4)</f>
        <v>42066.6037735849</v>
      </c>
      <c r="BF152" s="7" t="n">
        <f aca="false">MIN(BC152:BE152)</f>
        <v>10935.9661016949</v>
      </c>
      <c r="BG152" s="4" t="n">
        <f aca="false">MATCH(BF152,BC152:BE152,0)</f>
        <v>2</v>
      </c>
      <c r="BH152" s="8" t="n">
        <v>2</v>
      </c>
      <c r="BI152" s="4" t="n">
        <f aca="false">IF(BG152=BH152,0,1)</f>
        <v>0</v>
      </c>
      <c r="BK152" s="8" t="n">
        <v>2</v>
      </c>
      <c r="BL152" s="8" t="n">
        <v>2</v>
      </c>
      <c r="BM152" s="8" t="n">
        <v>2</v>
      </c>
    </row>
    <row r="153" customFormat="false" ht="15" hidden="false" customHeight="false" outlineLevel="0" collapsed="false">
      <c r="A153" s="3" t="n">
        <v>152</v>
      </c>
      <c r="B153" s="3" t="s">
        <v>42</v>
      </c>
      <c r="C153" s="3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5</v>
      </c>
      <c r="I153" s="3" t="n">
        <v>5</v>
      </c>
      <c r="J153" s="3" t="n">
        <v>5</v>
      </c>
      <c r="K153" s="3" t="n">
        <v>5</v>
      </c>
      <c r="L153" s="3" t="n">
        <v>5</v>
      </c>
      <c r="M153" s="3" t="n">
        <v>5</v>
      </c>
      <c r="N153" s="3" t="n">
        <v>5</v>
      </c>
      <c r="O153" s="3" t="n">
        <v>5</v>
      </c>
      <c r="P153" s="3" t="n">
        <v>5</v>
      </c>
      <c r="Q153" s="3" t="n">
        <v>5</v>
      </c>
      <c r="R153" s="3" t="n">
        <v>5</v>
      </c>
      <c r="S153" s="3" t="n">
        <v>5</v>
      </c>
      <c r="T153" s="3" t="n">
        <v>1</v>
      </c>
      <c r="U153" s="3" t="n">
        <v>55</v>
      </c>
      <c r="V153" s="3" t="n">
        <v>58912</v>
      </c>
      <c r="W153" s="3" t="n">
        <v>2</v>
      </c>
      <c r="X153" s="3" t="n">
        <v>2</v>
      </c>
      <c r="Y153" s="3" t="n">
        <v>2</v>
      </c>
      <c r="Z153" s="3" t="n">
        <v>2</v>
      </c>
      <c r="AA153" s="4" t="n">
        <f aca="false">IF($B153=AA$1,1,0)</f>
        <v>0</v>
      </c>
      <c r="AB153" s="4" t="n">
        <f aca="false">IF($B153=AB$1,1,0)</f>
        <v>0</v>
      </c>
      <c r="AC153" s="4" t="n">
        <f aca="false">IF($B153=AC$1,1,0)</f>
        <v>0</v>
      </c>
      <c r="AD153" s="4" t="n">
        <f aca="false">IF($B153=AD$1,1,0)</f>
        <v>0</v>
      </c>
      <c r="AE153" s="4" t="n">
        <f aca="false">IF($B153=AE$1,1,0)</f>
        <v>0</v>
      </c>
      <c r="AF153" s="4" t="n">
        <f aca="false">IF($B153=AF$1,1,0)</f>
        <v>0</v>
      </c>
      <c r="AG153" s="4" t="n">
        <f aca="false">IF($B153=AG$1,1,0)</f>
        <v>0</v>
      </c>
      <c r="AH153" s="4" t="n">
        <f aca="false">IF($B153=AH$1,1,0)</f>
        <v>0</v>
      </c>
      <c r="AI153" s="4" t="n">
        <f aca="false">IF($B153=AI$1,1,0)</f>
        <v>0</v>
      </c>
      <c r="AJ153" s="4" t="n">
        <f aca="false">IF($B153=AJ$1,1,0)</f>
        <v>0</v>
      </c>
      <c r="AK153" s="4" t="n">
        <f aca="false">IF($B153=AK$1,1,0)</f>
        <v>0</v>
      </c>
      <c r="AL153" s="4" t="n">
        <f aca="false">IF($B153=AL$1,1,0)</f>
        <v>0</v>
      </c>
      <c r="AM153" s="4" t="n">
        <f aca="false">IF($B153=AM$1,1,0)</f>
        <v>0</v>
      </c>
      <c r="AN153" s="4" t="n">
        <f aca="false">IF($B153=AN$1,1,0)</f>
        <v>0</v>
      </c>
      <c r="AO153" s="4" t="n">
        <f aca="false">IF($B153=AO$1,1,0)</f>
        <v>0</v>
      </c>
      <c r="AP153" s="4" t="n">
        <f aca="false">IF($B153=AP$1,1,0)</f>
        <v>0</v>
      </c>
      <c r="AQ153" s="4" t="n">
        <f aca="false">IF($B153=AQ$1,1,0)</f>
        <v>1</v>
      </c>
      <c r="AR153" s="4" t="n">
        <f aca="false">IF($B153=AR$1,1,0)</f>
        <v>0</v>
      </c>
      <c r="AS153" s="4" t="n">
        <f aca="false">IF($B153=AS$1,1,0)</f>
        <v>0</v>
      </c>
      <c r="AT153" s="4" t="n">
        <f aca="false">IF($B153=AT$1,1,0)</f>
        <v>0</v>
      </c>
      <c r="BB153" s="4" t="n">
        <f aca="false">A153</f>
        <v>152</v>
      </c>
      <c r="BC153" s="7" t="n">
        <f aca="false">ABS($T153-$AX$2)+ABS($U153-$AY$2)+ABS($V153-$AZ$2)</f>
        <v>36094.8521126761</v>
      </c>
      <c r="BD153" s="7" t="n">
        <f aca="false">ABS($T153-$AX$3)+ABS($U153-$AY$3)+ABS($V153-$AZ$3)</f>
        <v>12263.2711864407</v>
      </c>
      <c r="BE153" s="7" t="n">
        <f aca="false">ABS($T153-$AX$4)+ABS($U153-$AY$4)+ABS($V153-$AZ$4)</f>
        <v>18896.0754716981</v>
      </c>
      <c r="BF153" s="7" t="n">
        <f aca="false">MIN(BC153:BE153)</f>
        <v>12263.2711864407</v>
      </c>
      <c r="BG153" s="4" t="n">
        <f aca="false">MATCH(BF153,BC153:BE153,0)</f>
        <v>2</v>
      </c>
      <c r="BH153" s="8" t="n">
        <v>2</v>
      </c>
      <c r="BI153" s="4" t="n">
        <f aca="false">IF(BG153=BH153,0,1)</f>
        <v>0</v>
      </c>
      <c r="BK153" s="8" t="n">
        <v>2</v>
      </c>
      <c r="BL153" s="8" t="n">
        <v>2</v>
      </c>
      <c r="BM153" s="8" t="n">
        <v>2</v>
      </c>
    </row>
    <row r="154" customFormat="false" ht="15" hidden="false" customHeight="false" outlineLevel="0" collapsed="false">
      <c r="A154" s="3" t="n">
        <v>153</v>
      </c>
      <c r="B154" s="3" t="s">
        <v>31</v>
      </c>
      <c r="C154" s="3" t="n">
        <v>0</v>
      </c>
      <c r="D154" s="3" t="n">
        <v>0</v>
      </c>
      <c r="E154" s="3" t="n">
        <v>1</v>
      </c>
      <c r="F154" s="3" t="n">
        <v>0</v>
      </c>
      <c r="G154" s="3" t="n">
        <v>0</v>
      </c>
      <c r="H154" s="3" t="n">
        <v>5</v>
      </c>
      <c r="I154" s="3" t="n">
        <v>5</v>
      </c>
      <c r="J154" s="3" t="n">
        <v>5</v>
      </c>
      <c r="K154" s="3" t="n">
        <v>4</v>
      </c>
      <c r="L154" s="3" t="n">
        <v>5</v>
      </c>
      <c r="M154" s="3" t="n">
        <v>4</v>
      </c>
      <c r="N154" s="3" t="n">
        <v>5</v>
      </c>
      <c r="O154" s="3" t="n">
        <v>3</v>
      </c>
      <c r="P154" s="3" t="n">
        <v>3</v>
      </c>
      <c r="Q154" s="3" t="n">
        <v>3</v>
      </c>
      <c r="R154" s="3" t="n">
        <v>5</v>
      </c>
      <c r="S154" s="3" t="n">
        <v>5</v>
      </c>
      <c r="T154" s="3" t="n">
        <v>1</v>
      </c>
      <c r="U154" s="3" t="n">
        <v>33</v>
      </c>
      <c r="V154" s="3" t="n">
        <v>25752</v>
      </c>
      <c r="W154" s="3" t="n">
        <v>2</v>
      </c>
      <c r="X154" s="3" t="n">
        <v>2</v>
      </c>
      <c r="Y154" s="3" t="n">
        <v>2</v>
      </c>
      <c r="Z154" s="3" t="n">
        <v>2</v>
      </c>
      <c r="AA154" s="4" t="n">
        <f aca="false">IF($B154=AA$1,1,0)</f>
        <v>0</v>
      </c>
      <c r="AB154" s="4" t="n">
        <f aca="false">IF($B154=AB$1,1,0)</f>
        <v>0</v>
      </c>
      <c r="AC154" s="4" t="n">
        <f aca="false">IF($B154=AC$1,1,0)</f>
        <v>0</v>
      </c>
      <c r="AD154" s="4" t="n">
        <f aca="false">IF($B154=AD$1,1,0)</f>
        <v>0</v>
      </c>
      <c r="AE154" s="4" t="n">
        <f aca="false">IF($B154=AE$1,1,0)</f>
        <v>0</v>
      </c>
      <c r="AF154" s="4" t="n">
        <f aca="false">IF($B154=AF$1,1,0)</f>
        <v>1</v>
      </c>
      <c r="AG154" s="4" t="n">
        <f aca="false">IF($B154=AG$1,1,0)</f>
        <v>0</v>
      </c>
      <c r="AH154" s="4" t="n">
        <f aca="false">IF($B154=AH$1,1,0)</f>
        <v>0</v>
      </c>
      <c r="AI154" s="4" t="n">
        <f aca="false">IF($B154=AI$1,1,0)</f>
        <v>0</v>
      </c>
      <c r="AJ154" s="4" t="n">
        <f aca="false">IF($B154=AJ$1,1,0)</f>
        <v>0</v>
      </c>
      <c r="AK154" s="4" t="n">
        <f aca="false">IF($B154=AK$1,1,0)</f>
        <v>0</v>
      </c>
      <c r="AL154" s="4" t="n">
        <f aca="false">IF($B154=AL$1,1,0)</f>
        <v>0</v>
      </c>
      <c r="AM154" s="4" t="n">
        <f aca="false">IF($B154=AM$1,1,0)</f>
        <v>0</v>
      </c>
      <c r="AN154" s="4" t="n">
        <f aca="false">IF($B154=AN$1,1,0)</f>
        <v>0</v>
      </c>
      <c r="AO154" s="4" t="n">
        <f aca="false">IF($B154=AO$1,1,0)</f>
        <v>0</v>
      </c>
      <c r="AP154" s="4" t="n">
        <f aca="false">IF($B154=AP$1,1,0)</f>
        <v>0</v>
      </c>
      <c r="AQ154" s="4" t="n">
        <f aca="false">IF($B154=AQ$1,1,0)</f>
        <v>0</v>
      </c>
      <c r="AR154" s="4" t="n">
        <f aca="false">IF($B154=AR$1,1,0)</f>
        <v>0</v>
      </c>
      <c r="AS154" s="4" t="n">
        <f aca="false">IF($B154=AS$1,1,0)</f>
        <v>0</v>
      </c>
      <c r="AT154" s="4" t="n">
        <f aca="false">IF($B154=AT$1,1,0)</f>
        <v>0</v>
      </c>
      <c r="BB154" s="4" t="n">
        <f aca="false">A154</f>
        <v>153</v>
      </c>
      <c r="BC154" s="7" t="n">
        <f aca="false">ABS($T154-$AX$2)+ABS($U154-$AY$2)+ABS($V154-$AZ$2)</f>
        <v>2924.33098591549</v>
      </c>
      <c r="BD154" s="7" t="n">
        <f aca="false">ABS($T154-$AX$3)+ABS($U154-$AY$3)+ABS($V154-$AZ$3)</f>
        <v>20920.3559322034</v>
      </c>
      <c r="BE154" s="7" t="n">
        <f aca="false">ABS($T154-$AX$4)+ABS($U154-$AY$4)+ABS($V154-$AZ$4)</f>
        <v>52052.1132075472</v>
      </c>
      <c r="BF154" s="7" t="n">
        <f aca="false">MIN(BC154:BE154)</f>
        <v>2924.33098591549</v>
      </c>
      <c r="BG154" s="4" t="n">
        <f aca="false">MATCH(BF154,BC154:BE154,0)</f>
        <v>1</v>
      </c>
      <c r="BH154" s="8" t="n">
        <v>1</v>
      </c>
      <c r="BI154" s="4" t="n">
        <f aca="false">IF(BG154=BH154,0,1)</f>
        <v>0</v>
      </c>
      <c r="BK154" s="8" t="n">
        <v>1</v>
      </c>
      <c r="BL154" s="8" t="n">
        <v>1</v>
      </c>
      <c r="BM154" s="8" t="n">
        <v>1</v>
      </c>
    </row>
    <row r="155" customFormat="false" ht="15" hidden="false" customHeight="false" outlineLevel="0" collapsed="false">
      <c r="A155" s="3" t="n">
        <v>154</v>
      </c>
      <c r="B155" s="3" t="s">
        <v>31</v>
      </c>
      <c r="C155" s="3" t="n">
        <v>0</v>
      </c>
      <c r="D155" s="3" t="n">
        <v>1</v>
      </c>
      <c r="E155" s="3" t="n">
        <v>0</v>
      </c>
      <c r="F155" s="3" t="n">
        <v>0</v>
      </c>
      <c r="G155" s="3" t="n">
        <v>0</v>
      </c>
      <c r="H155" s="3" t="n">
        <v>4</v>
      </c>
      <c r="I155" s="3" t="n">
        <v>4</v>
      </c>
      <c r="J155" s="3" t="n">
        <v>5</v>
      </c>
      <c r="K155" s="3" t="n">
        <v>5</v>
      </c>
      <c r="L155" s="3" t="n">
        <v>5</v>
      </c>
      <c r="M155" s="3" t="n">
        <v>4</v>
      </c>
      <c r="N155" s="3" t="n">
        <v>3</v>
      </c>
      <c r="O155" s="3" t="n">
        <v>5</v>
      </c>
      <c r="P155" s="3" t="n">
        <v>5</v>
      </c>
      <c r="Q155" s="3" t="n">
        <v>5</v>
      </c>
      <c r="R155" s="3" t="n">
        <v>5</v>
      </c>
      <c r="S155" s="3" t="n">
        <v>5</v>
      </c>
      <c r="T155" s="3" t="n">
        <v>0</v>
      </c>
      <c r="U155" s="3" t="n">
        <v>73</v>
      </c>
      <c r="V155" s="3" t="n">
        <v>24393</v>
      </c>
      <c r="W155" s="3" t="n">
        <v>3</v>
      </c>
      <c r="X155" s="3" t="n">
        <v>4</v>
      </c>
      <c r="Y155" s="3" t="n">
        <v>2</v>
      </c>
      <c r="Z155" s="3" t="n">
        <v>1</v>
      </c>
      <c r="AA155" s="4" t="n">
        <f aca="false">IF($B155=AA$1,1,0)</f>
        <v>0</v>
      </c>
      <c r="AB155" s="4" t="n">
        <f aca="false">IF($B155=AB$1,1,0)</f>
        <v>0</v>
      </c>
      <c r="AC155" s="4" t="n">
        <f aca="false">IF($B155=AC$1,1,0)</f>
        <v>0</v>
      </c>
      <c r="AD155" s="4" t="n">
        <f aca="false">IF($B155=AD$1,1,0)</f>
        <v>0</v>
      </c>
      <c r="AE155" s="4" t="n">
        <f aca="false">IF($B155=AE$1,1,0)</f>
        <v>0</v>
      </c>
      <c r="AF155" s="4" t="n">
        <f aca="false">IF($B155=AF$1,1,0)</f>
        <v>1</v>
      </c>
      <c r="AG155" s="4" t="n">
        <f aca="false">IF($B155=AG$1,1,0)</f>
        <v>0</v>
      </c>
      <c r="AH155" s="4" t="n">
        <f aca="false">IF($B155=AH$1,1,0)</f>
        <v>0</v>
      </c>
      <c r="AI155" s="4" t="n">
        <f aca="false">IF($B155=AI$1,1,0)</f>
        <v>0</v>
      </c>
      <c r="AJ155" s="4" t="n">
        <f aca="false">IF($B155=AJ$1,1,0)</f>
        <v>0</v>
      </c>
      <c r="AK155" s="4" t="n">
        <f aca="false">IF($B155=AK$1,1,0)</f>
        <v>0</v>
      </c>
      <c r="AL155" s="4" t="n">
        <f aca="false">IF($B155=AL$1,1,0)</f>
        <v>0</v>
      </c>
      <c r="AM155" s="4" t="n">
        <f aca="false">IF($B155=AM$1,1,0)</f>
        <v>0</v>
      </c>
      <c r="AN155" s="4" t="n">
        <f aca="false">IF($B155=AN$1,1,0)</f>
        <v>0</v>
      </c>
      <c r="AO155" s="4" t="n">
        <f aca="false">IF($B155=AO$1,1,0)</f>
        <v>0</v>
      </c>
      <c r="AP155" s="4" t="n">
        <f aca="false">IF($B155=AP$1,1,0)</f>
        <v>0</v>
      </c>
      <c r="AQ155" s="4" t="n">
        <f aca="false">IF($B155=AQ$1,1,0)</f>
        <v>0</v>
      </c>
      <c r="AR155" s="4" t="n">
        <f aca="false">IF($B155=AR$1,1,0)</f>
        <v>0</v>
      </c>
      <c r="AS155" s="4" t="n">
        <f aca="false">IF($B155=AS$1,1,0)</f>
        <v>0</v>
      </c>
      <c r="AT155" s="4" t="n">
        <f aca="false">IF($B155=AT$1,1,0)</f>
        <v>0</v>
      </c>
      <c r="BB155" s="4" t="n">
        <f aca="false">A155</f>
        <v>154</v>
      </c>
      <c r="BC155" s="7" t="n">
        <f aca="false">ABS($T155-$AX$2)+ABS($U155-$AY$2)+ABS($V155-$AZ$2)</f>
        <v>1593.28873239436</v>
      </c>
      <c r="BD155" s="7" t="n">
        <f aca="false">ABS($T155-$AX$3)+ABS($U155-$AY$3)+ABS($V155-$AZ$3)</f>
        <v>22301.9661016949</v>
      </c>
      <c r="BE155" s="7" t="n">
        <f aca="false">ABS($T155-$AX$4)+ABS($U155-$AY$4)+ABS($V155-$AZ$4)</f>
        <v>53432.6037735849</v>
      </c>
      <c r="BF155" s="7" t="n">
        <f aca="false">MIN(BC155:BE155)</f>
        <v>1593.28873239436</v>
      </c>
      <c r="BG155" s="4" t="n">
        <f aca="false">MATCH(BF155,BC155:BE155,0)</f>
        <v>1</v>
      </c>
      <c r="BH155" s="8" t="n">
        <v>1</v>
      </c>
      <c r="BI155" s="4" t="n">
        <f aca="false">IF(BG155=BH155,0,1)</f>
        <v>0</v>
      </c>
      <c r="BK155" s="8" t="n">
        <v>1</v>
      </c>
      <c r="BL155" s="8" t="n">
        <v>1</v>
      </c>
      <c r="BM155" s="8" t="n">
        <v>1</v>
      </c>
    </row>
    <row r="156" customFormat="false" ht="15" hidden="false" customHeight="false" outlineLevel="0" collapsed="false">
      <c r="A156" s="3" t="n">
        <v>155</v>
      </c>
      <c r="B156" s="3" t="s">
        <v>30</v>
      </c>
      <c r="C156" s="3" t="n">
        <v>1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4</v>
      </c>
      <c r="I156" s="3" t="n">
        <v>5</v>
      </c>
      <c r="J156" s="3" t="n">
        <v>4</v>
      </c>
      <c r="K156" s="3" t="n">
        <v>5</v>
      </c>
      <c r="L156" s="3" t="n">
        <v>5</v>
      </c>
      <c r="M156" s="3" t="n">
        <v>4</v>
      </c>
      <c r="N156" s="3" t="n">
        <v>2</v>
      </c>
      <c r="O156" s="3" t="n">
        <v>4</v>
      </c>
      <c r="P156" s="3" t="n">
        <v>3</v>
      </c>
      <c r="Q156" s="3" t="n">
        <v>3</v>
      </c>
      <c r="R156" s="3" t="n">
        <v>4</v>
      </c>
      <c r="S156" s="3" t="n">
        <v>3</v>
      </c>
      <c r="T156" s="3" t="n">
        <v>0</v>
      </c>
      <c r="U156" s="3" t="n">
        <v>18</v>
      </c>
      <c r="V156" s="3" t="n">
        <v>26939</v>
      </c>
      <c r="W156" s="3" t="n">
        <v>2</v>
      </c>
      <c r="X156" s="3" t="n">
        <v>3</v>
      </c>
      <c r="Y156" s="3" t="n">
        <v>2</v>
      </c>
      <c r="Z156" s="3" t="n">
        <v>2</v>
      </c>
      <c r="AA156" s="4" t="n">
        <f aca="false">IF($B156=AA$1,1,0)</f>
        <v>0</v>
      </c>
      <c r="AB156" s="4" t="n">
        <f aca="false">IF($B156=AB$1,1,0)</f>
        <v>0</v>
      </c>
      <c r="AC156" s="4" t="n">
        <f aca="false">IF($B156=AC$1,1,0)</f>
        <v>0</v>
      </c>
      <c r="AD156" s="4" t="n">
        <f aca="false">IF($B156=AD$1,1,0)</f>
        <v>0</v>
      </c>
      <c r="AE156" s="4" t="n">
        <f aca="false">IF($B156=AE$1,1,0)</f>
        <v>1</v>
      </c>
      <c r="AF156" s="4" t="n">
        <f aca="false">IF($B156=AF$1,1,0)</f>
        <v>0</v>
      </c>
      <c r="AG156" s="4" t="n">
        <f aca="false">IF($B156=AG$1,1,0)</f>
        <v>0</v>
      </c>
      <c r="AH156" s="4" t="n">
        <f aca="false">IF($B156=AH$1,1,0)</f>
        <v>0</v>
      </c>
      <c r="AI156" s="4" t="n">
        <f aca="false">IF($B156=AI$1,1,0)</f>
        <v>0</v>
      </c>
      <c r="AJ156" s="4" t="n">
        <f aca="false">IF($B156=AJ$1,1,0)</f>
        <v>0</v>
      </c>
      <c r="AK156" s="4" t="n">
        <f aca="false">IF($B156=AK$1,1,0)</f>
        <v>0</v>
      </c>
      <c r="AL156" s="4" t="n">
        <f aca="false">IF($B156=AL$1,1,0)</f>
        <v>0</v>
      </c>
      <c r="AM156" s="4" t="n">
        <f aca="false">IF($B156=AM$1,1,0)</f>
        <v>0</v>
      </c>
      <c r="AN156" s="4" t="n">
        <f aca="false">IF($B156=AN$1,1,0)</f>
        <v>0</v>
      </c>
      <c r="AO156" s="4" t="n">
        <f aca="false">IF($B156=AO$1,1,0)</f>
        <v>0</v>
      </c>
      <c r="AP156" s="4" t="n">
        <f aca="false">IF($B156=AP$1,1,0)</f>
        <v>0</v>
      </c>
      <c r="AQ156" s="4" t="n">
        <f aca="false">IF($B156=AQ$1,1,0)</f>
        <v>0</v>
      </c>
      <c r="AR156" s="4" t="n">
        <f aca="false">IF($B156=AR$1,1,0)</f>
        <v>0</v>
      </c>
      <c r="AS156" s="4" t="n">
        <f aca="false">IF($B156=AS$1,1,0)</f>
        <v>0</v>
      </c>
      <c r="AT156" s="4" t="n">
        <f aca="false">IF($B156=AT$1,1,0)</f>
        <v>0</v>
      </c>
      <c r="BB156" s="4" t="n">
        <f aca="false">A156</f>
        <v>155</v>
      </c>
      <c r="BC156" s="7" t="n">
        <f aca="false">ABS($T156-$AX$2)+ABS($U156-$AY$2)+ABS($V156-$AZ$2)</f>
        <v>4125.7676056338</v>
      </c>
      <c r="BD156" s="7" t="n">
        <f aca="false">ABS($T156-$AX$3)+ABS($U156-$AY$3)+ABS($V156-$AZ$3)</f>
        <v>19747.7288135593</v>
      </c>
      <c r="BE156" s="7" t="n">
        <f aca="false">ABS($T156-$AX$4)+ABS($U156-$AY$4)+ABS($V156-$AZ$4)</f>
        <v>50879.641509434</v>
      </c>
      <c r="BF156" s="7" t="n">
        <f aca="false">MIN(BC156:BE156)</f>
        <v>4125.7676056338</v>
      </c>
      <c r="BG156" s="4" t="n">
        <f aca="false">MATCH(BF156,BC156:BE156,0)</f>
        <v>1</v>
      </c>
      <c r="BH156" s="8" t="n">
        <v>1</v>
      </c>
      <c r="BI156" s="4" t="n">
        <f aca="false">IF(BG156=BH156,0,1)</f>
        <v>0</v>
      </c>
      <c r="BK156" s="8" t="n">
        <v>1</v>
      </c>
      <c r="BL156" s="8" t="n">
        <v>1</v>
      </c>
      <c r="BM156" s="8" t="n">
        <v>1</v>
      </c>
    </row>
    <row r="157" customFormat="false" ht="15" hidden="false" customHeight="false" outlineLevel="0" collapsed="false">
      <c r="A157" s="3" t="n">
        <v>156</v>
      </c>
      <c r="B157" s="3" t="s">
        <v>33</v>
      </c>
      <c r="C157" s="3" t="n">
        <v>1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5</v>
      </c>
      <c r="I157" s="3" t="n">
        <v>5</v>
      </c>
      <c r="J157" s="3" t="n">
        <v>5</v>
      </c>
      <c r="K157" s="3" t="n">
        <v>5</v>
      </c>
      <c r="L157" s="3" t="n">
        <v>5</v>
      </c>
      <c r="M157" s="3" t="n">
        <v>4</v>
      </c>
      <c r="N157" s="3" t="n">
        <v>5</v>
      </c>
      <c r="O157" s="3" t="n">
        <v>5</v>
      </c>
      <c r="P157" s="3" t="n">
        <v>4</v>
      </c>
      <c r="Q157" s="3" t="n">
        <v>5</v>
      </c>
      <c r="R157" s="3" t="n">
        <v>5</v>
      </c>
      <c r="S157" s="3" t="n">
        <v>4</v>
      </c>
      <c r="T157" s="3" t="n">
        <v>0</v>
      </c>
      <c r="U157" s="3" t="n">
        <v>37</v>
      </c>
      <c r="V157" s="3" t="n">
        <v>50830</v>
      </c>
      <c r="W157" s="3" t="n">
        <v>1</v>
      </c>
      <c r="X157" s="3" t="n">
        <v>2</v>
      </c>
      <c r="Y157" s="3" t="n">
        <v>2</v>
      </c>
      <c r="Z157" s="3" t="n">
        <v>1</v>
      </c>
      <c r="AA157" s="4" t="n">
        <f aca="false">IF($B157=AA$1,1,0)</f>
        <v>0</v>
      </c>
      <c r="AB157" s="4" t="n">
        <f aca="false">IF($B157=AB$1,1,0)</f>
        <v>0</v>
      </c>
      <c r="AC157" s="4" t="n">
        <f aca="false">IF($B157=AC$1,1,0)</f>
        <v>0</v>
      </c>
      <c r="AD157" s="4" t="n">
        <f aca="false">IF($B157=AD$1,1,0)</f>
        <v>0</v>
      </c>
      <c r="AE157" s="4" t="n">
        <f aca="false">IF($B157=AE$1,1,0)</f>
        <v>0</v>
      </c>
      <c r="AF157" s="4" t="n">
        <f aca="false">IF($B157=AF$1,1,0)</f>
        <v>0</v>
      </c>
      <c r="AG157" s="4" t="n">
        <f aca="false">IF($B157=AG$1,1,0)</f>
        <v>0</v>
      </c>
      <c r="AH157" s="4" t="n">
        <f aca="false">IF($B157=AH$1,1,0)</f>
        <v>1</v>
      </c>
      <c r="AI157" s="4" t="n">
        <f aca="false">IF($B157=AI$1,1,0)</f>
        <v>0</v>
      </c>
      <c r="AJ157" s="4" t="n">
        <f aca="false">IF($B157=AJ$1,1,0)</f>
        <v>0</v>
      </c>
      <c r="AK157" s="4" t="n">
        <f aca="false">IF($B157=AK$1,1,0)</f>
        <v>0</v>
      </c>
      <c r="AL157" s="4" t="n">
        <f aca="false">IF($B157=AL$1,1,0)</f>
        <v>0</v>
      </c>
      <c r="AM157" s="4" t="n">
        <f aca="false">IF($B157=AM$1,1,0)</f>
        <v>0</v>
      </c>
      <c r="AN157" s="4" t="n">
        <f aca="false">IF($B157=AN$1,1,0)</f>
        <v>0</v>
      </c>
      <c r="AO157" s="4" t="n">
        <f aca="false">IF($B157=AO$1,1,0)</f>
        <v>0</v>
      </c>
      <c r="AP157" s="4" t="n">
        <f aca="false">IF($B157=AP$1,1,0)</f>
        <v>0</v>
      </c>
      <c r="AQ157" s="4" t="n">
        <f aca="false">IF($B157=AQ$1,1,0)</f>
        <v>0</v>
      </c>
      <c r="AR157" s="4" t="n">
        <f aca="false">IF($B157=AR$1,1,0)</f>
        <v>0</v>
      </c>
      <c r="AS157" s="4" t="n">
        <f aca="false">IF($B157=AS$1,1,0)</f>
        <v>0</v>
      </c>
      <c r="AT157" s="4" t="n">
        <f aca="false">IF($B157=AT$1,1,0)</f>
        <v>0</v>
      </c>
      <c r="BB157" s="4" t="n">
        <f aca="false">A157</f>
        <v>156</v>
      </c>
      <c r="BC157" s="7" t="n">
        <f aca="false">ABS($T157-$AX$2)+ABS($U157-$AY$2)+ABS($V157-$AZ$2)</f>
        <v>27997.7676056338</v>
      </c>
      <c r="BD157" s="7" t="n">
        <f aca="false">ABS($T157-$AX$3)+ABS($U157-$AY$3)+ABS($V157-$AZ$3)</f>
        <v>4171.40677966102</v>
      </c>
      <c r="BE157" s="7" t="n">
        <f aca="false">ABS($T157-$AX$4)+ABS($U157-$AY$4)+ABS($V157-$AZ$4)</f>
        <v>26969.641509434</v>
      </c>
      <c r="BF157" s="7" t="n">
        <f aca="false">MIN(BC157:BE157)</f>
        <v>4171.40677966102</v>
      </c>
      <c r="BG157" s="4" t="n">
        <f aca="false">MATCH(BF157,BC157:BE157,0)</f>
        <v>2</v>
      </c>
      <c r="BH157" s="8" t="n">
        <v>2</v>
      </c>
      <c r="BI157" s="4" t="n">
        <f aca="false">IF(BG157=BH157,0,1)</f>
        <v>0</v>
      </c>
      <c r="BK157" s="8" t="n">
        <v>2</v>
      </c>
      <c r="BL157" s="8" t="n">
        <v>2</v>
      </c>
      <c r="BM157" s="8" t="n">
        <v>2</v>
      </c>
    </row>
    <row r="158" customFormat="false" ht="15" hidden="false" customHeight="false" outlineLevel="0" collapsed="false">
      <c r="A158" s="3" t="n">
        <v>157</v>
      </c>
      <c r="B158" s="3" t="s">
        <v>30</v>
      </c>
      <c r="C158" s="3" t="n">
        <v>0</v>
      </c>
      <c r="D158" s="3" t="n">
        <v>0</v>
      </c>
      <c r="E158" s="3" t="n">
        <v>1</v>
      </c>
      <c r="F158" s="3" t="n">
        <v>0</v>
      </c>
      <c r="G158" s="3" t="n">
        <v>0</v>
      </c>
      <c r="H158" s="3" t="n">
        <v>4</v>
      </c>
      <c r="I158" s="3" t="n">
        <v>3</v>
      </c>
      <c r="J158" s="3" t="n">
        <v>5</v>
      </c>
      <c r="K158" s="3" t="n">
        <v>4</v>
      </c>
      <c r="L158" s="3" t="n">
        <v>5</v>
      </c>
      <c r="M158" s="3" t="n">
        <v>4</v>
      </c>
      <c r="N158" s="3" t="n">
        <v>4</v>
      </c>
      <c r="O158" s="3" t="n">
        <v>3</v>
      </c>
      <c r="P158" s="3" t="n">
        <v>6</v>
      </c>
      <c r="Q158" s="3" t="n">
        <v>5</v>
      </c>
      <c r="R158" s="3" t="n">
        <v>3</v>
      </c>
      <c r="S158" s="3" t="n">
        <v>3</v>
      </c>
      <c r="T158" s="3" t="n">
        <v>0</v>
      </c>
      <c r="U158" s="3" t="n">
        <v>49</v>
      </c>
      <c r="V158" s="3" t="n">
        <v>38988</v>
      </c>
      <c r="W158" s="3" t="n">
        <v>1</v>
      </c>
      <c r="X158" s="3" t="n">
        <v>4</v>
      </c>
      <c r="Y158" s="3" t="n">
        <v>2</v>
      </c>
      <c r="Z158" s="3" t="n">
        <v>2</v>
      </c>
      <c r="AA158" s="4" t="n">
        <f aca="false">IF($B158=AA$1,1,0)</f>
        <v>0</v>
      </c>
      <c r="AB158" s="4" t="n">
        <f aca="false">IF($B158=AB$1,1,0)</f>
        <v>0</v>
      </c>
      <c r="AC158" s="4" t="n">
        <f aca="false">IF($B158=AC$1,1,0)</f>
        <v>0</v>
      </c>
      <c r="AD158" s="4" t="n">
        <f aca="false">IF($B158=AD$1,1,0)</f>
        <v>0</v>
      </c>
      <c r="AE158" s="4" t="n">
        <f aca="false">IF($B158=AE$1,1,0)</f>
        <v>1</v>
      </c>
      <c r="AF158" s="4" t="n">
        <f aca="false">IF($B158=AF$1,1,0)</f>
        <v>0</v>
      </c>
      <c r="AG158" s="4" t="n">
        <f aca="false">IF($B158=AG$1,1,0)</f>
        <v>0</v>
      </c>
      <c r="AH158" s="4" t="n">
        <f aca="false">IF($B158=AH$1,1,0)</f>
        <v>0</v>
      </c>
      <c r="AI158" s="4" t="n">
        <f aca="false">IF($B158=AI$1,1,0)</f>
        <v>0</v>
      </c>
      <c r="AJ158" s="4" t="n">
        <f aca="false">IF($B158=AJ$1,1,0)</f>
        <v>0</v>
      </c>
      <c r="AK158" s="4" t="n">
        <f aca="false">IF($B158=AK$1,1,0)</f>
        <v>0</v>
      </c>
      <c r="AL158" s="4" t="n">
        <f aca="false">IF($B158=AL$1,1,0)</f>
        <v>0</v>
      </c>
      <c r="AM158" s="4" t="n">
        <f aca="false">IF($B158=AM$1,1,0)</f>
        <v>0</v>
      </c>
      <c r="AN158" s="4" t="n">
        <f aca="false">IF($B158=AN$1,1,0)</f>
        <v>0</v>
      </c>
      <c r="AO158" s="4" t="n">
        <f aca="false">IF($B158=AO$1,1,0)</f>
        <v>0</v>
      </c>
      <c r="AP158" s="4" t="n">
        <f aca="false">IF($B158=AP$1,1,0)</f>
        <v>0</v>
      </c>
      <c r="AQ158" s="4" t="n">
        <f aca="false">IF($B158=AQ$1,1,0)</f>
        <v>0</v>
      </c>
      <c r="AR158" s="4" t="n">
        <f aca="false">IF($B158=AR$1,1,0)</f>
        <v>0</v>
      </c>
      <c r="AS158" s="4" t="n">
        <f aca="false">IF($B158=AS$1,1,0)</f>
        <v>0</v>
      </c>
      <c r="AT158" s="4" t="n">
        <f aca="false">IF($B158=AT$1,1,0)</f>
        <v>0</v>
      </c>
      <c r="BB158" s="4" t="n">
        <f aca="false">A158</f>
        <v>157</v>
      </c>
      <c r="BC158" s="7" t="n">
        <f aca="false">ABS($T158-$AX$2)+ABS($U158-$AY$2)+ABS($V158-$AZ$2)</f>
        <v>16164.2887323944</v>
      </c>
      <c r="BD158" s="7" t="n">
        <f aca="false">ABS($T158-$AX$3)+ABS($U158-$AY$3)+ABS($V158-$AZ$3)</f>
        <v>7682.96610169492</v>
      </c>
      <c r="BE158" s="7" t="n">
        <f aca="false">ABS($T158-$AX$4)+ABS($U158-$AY$4)+ABS($V158-$AZ$4)</f>
        <v>38813.6037735849</v>
      </c>
      <c r="BF158" s="7" t="n">
        <f aca="false">MIN(BC158:BE158)</f>
        <v>7682.96610169492</v>
      </c>
      <c r="BG158" s="4" t="n">
        <f aca="false">MATCH(BF158,BC158:BE158,0)</f>
        <v>2</v>
      </c>
      <c r="BH158" s="8" t="n">
        <v>2</v>
      </c>
      <c r="BI158" s="4" t="n">
        <f aca="false">IF(BG158=BH158,0,1)</f>
        <v>0</v>
      </c>
      <c r="BK158" s="8" t="n">
        <v>2</v>
      </c>
      <c r="BL158" s="8" t="n">
        <v>2</v>
      </c>
      <c r="BM158" s="8" t="n">
        <v>2</v>
      </c>
    </row>
    <row r="159" customFormat="false" ht="15" hidden="false" customHeight="false" outlineLevel="0" collapsed="false">
      <c r="A159" s="3" t="n">
        <v>158</v>
      </c>
      <c r="B159" s="3" t="s">
        <v>33</v>
      </c>
      <c r="C159" s="3" t="n">
        <v>1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5</v>
      </c>
      <c r="I159" s="3" t="n">
        <v>5</v>
      </c>
      <c r="J159" s="3" t="n">
        <v>5</v>
      </c>
      <c r="K159" s="3" t="n">
        <v>4</v>
      </c>
      <c r="L159" s="3" t="n">
        <v>5</v>
      </c>
      <c r="M159" s="3" t="n">
        <v>5</v>
      </c>
      <c r="N159" s="3" t="n">
        <v>3</v>
      </c>
      <c r="O159" s="3" t="n">
        <v>3</v>
      </c>
      <c r="P159" s="3" t="n">
        <v>3</v>
      </c>
      <c r="Q159" s="3" t="n">
        <v>3</v>
      </c>
      <c r="R159" s="3" t="n">
        <v>3</v>
      </c>
      <c r="S159" s="3" t="n">
        <v>3</v>
      </c>
      <c r="T159" s="3" t="n">
        <v>0</v>
      </c>
      <c r="U159" s="3" t="n">
        <v>47</v>
      </c>
      <c r="V159" s="3" t="n">
        <v>23266</v>
      </c>
      <c r="W159" s="3" t="n">
        <v>2</v>
      </c>
      <c r="X159" s="3" t="n">
        <v>3</v>
      </c>
      <c r="Y159" s="3" t="n">
        <v>2</v>
      </c>
      <c r="Z159" s="3" t="n">
        <v>2</v>
      </c>
      <c r="AA159" s="4" t="n">
        <f aca="false">IF($B159=AA$1,1,0)</f>
        <v>0</v>
      </c>
      <c r="AB159" s="4" t="n">
        <f aca="false">IF($B159=AB$1,1,0)</f>
        <v>0</v>
      </c>
      <c r="AC159" s="4" t="n">
        <f aca="false">IF($B159=AC$1,1,0)</f>
        <v>0</v>
      </c>
      <c r="AD159" s="4" t="n">
        <f aca="false">IF($B159=AD$1,1,0)</f>
        <v>0</v>
      </c>
      <c r="AE159" s="4" t="n">
        <f aca="false">IF($B159=AE$1,1,0)</f>
        <v>0</v>
      </c>
      <c r="AF159" s="4" t="n">
        <f aca="false">IF($B159=AF$1,1,0)</f>
        <v>0</v>
      </c>
      <c r="AG159" s="4" t="n">
        <f aca="false">IF($B159=AG$1,1,0)</f>
        <v>0</v>
      </c>
      <c r="AH159" s="4" t="n">
        <f aca="false">IF($B159=AH$1,1,0)</f>
        <v>1</v>
      </c>
      <c r="AI159" s="4" t="n">
        <f aca="false">IF($B159=AI$1,1,0)</f>
        <v>0</v>
      </c>
      <c r="AJ159" s="4" t="n">
        <f aca="false">IF($B159=AJ$1,1,0)</f>
        <v>0</v>
      </c>
      <c r="AK159" s="4" t="n">
        <f aca="false">IF($B159=AK$1,1,0)</f>
        <v>0</v>
      </c>
      <c r="AL159" s="4" t="n">
        <f aca="false">IF($B159=AL$1,1,0)</f>
        <v>0</v>
      </c>
      <c r="AM159" s="4" t="n">
        <f aca="false">IF($B159=AM$1,1,0)</f>
        <v>0</v>
      </c>
      <c r="AN159" s="4" t="n">
        <f aca="false">IF($B159=AN$1,1,0)</f>
        <v>0</v>
      </c>
      <c r="AO159" s="4" t="n">
        <f aca="false">IF($B159=AO$1,1,0)</f>
        <v>0</v>
      </c>
      <c r="AP159" s="4" t="n">
        <f aca="false">IF($B159=AP$1,1,0)</f>
        <v>0</v>
      </c>
      <c r="AQ159" s="4" t="n">
        <f aca="false">IF($B159=AQ$1,1,0)</f>
        <v>0</v>
      </c>
      <c r="AR159" s="4" t="n">
        <f aca="false">IF($B159=AR$1,1,0)</f>
        <v>0</v>
      </c>
      <c r="AS159" s="4" t="n">
        <f aca="false">IF($B159=AS$1,1,0)</f>
        <v>0</v>
      </c>
      <c r="AT159" s="4" t="n">
        <f aca="false">IF($B159=AT$1,1,0)</f>
        <v>0</v>
      </c>
      <c r="BB159" s="4" t="n">
        <f aca="false">A159</f>
        <v>158</v>
      </c>
      <c r="BC159" s="7" t="n">
        <f aca="false">ABS($T159-$AX$2)+ABS($U159-$AY$2)+ABS($V159-$AZ$2)</f>
        <v>440.288732394364</v>
      </c>
      <c r="BD159" s="7" t="n">
        <f aca="false">ABS($T159-$AX$3)+ABS($U159-$AY$3)+ABS($V159-$AZ$3)</f>
        <v>23402.9661016949</v>
      </c>
      <c r="BE159" s="7" t="n">
        <f aca="false">ABS($T159-$AX$4)+ABS($U159-$AY$4)+ABS($V159-$AZ$4)</f>
        <v>54533.6037735849</v>
      </c>
      <c r="BF159" s="7" t="n">
        <f aca="false">MIN(BC159:BE159)</f>
        <v>440.288732394364</v>
      </c>
      <c r="BG159" s="4" t="n">
        <f aca="false">MATCH(BF159,BC159:BE159,0)</f>
        <v>1</v>
      </c>
      <c r="BH159" s="8" t="n">
        <v>1</v>
      </c>
      <c r="BI159" s="4" t="n">
        <f aca="false">IF(BG159=BH159,0,1)</f>
        <v>0</v>
      </c>
      <c r="BK159" s="8" t="n">
        <v>1</v>
      </c>
      <c r="BL159" s="8" t="n">
        <v>1</v>
      </c>
      <c r="BM159" s="8" t="n">
        <v>1</v>
      </c>
    </row>
    <row r="160" customFormat="false" ht="15" hidden="false" customHeight="false" outlineLevel="0" collapsed="false">
      <c r="A160" s="3" t="n">
        <v>159</v>
      </c>
      <c r="B160" s="3" t="s">
        <v>36</v>
      </c>
      <c r="C160" s="3" t="n">
        <v>1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4</v>
      </c>
      <c r="I160" s="3" t="n">
        <v>3</v>
      </c>
      <c r="J160" s="3" t="n">
        <v>4</v>
      </c>
      <c r="K160" s="3" t="n">
        <v>5</v>
      </c>
      <c r="L160" s="3" t="n">
        <v>5</v>
      </c>
      <c r="M160" s="3" t="n">
        <v>4</v>
      </c>
      <c r="N160" s="3" t="n">
        <v>1</v>
      </c>
      <c r="O160" s="3" t="n">
        <v>3</v>
      </c>
      <c r="P160" s="3" t="n">
        <v>3</v>
      </c>
      <c r="Q160" s="3" t="n">
        <v>4</v>
      </c>
      <c r="R160" s="3" t="n">
        <v>5</v>
      </c>
      <c r="S160" s="3" t="n">
        <v>3</v>
      </c>
      <c r="T160" s="3" t="n">
        <v>0</v>
      </c>
      <c r="U160" s="3" t="n">
        <v>28</v>
      </c>
      <c r="V160" s="3" t="n">
        <v>35328</v>
      </c>
      <c r="W160" s="3" t="n">
        <v>1</v>
      </c>
      <c r="X160" s="3" t="n">
        <v>4</v>
      </c>
      <c r="Y160" s="3" t="n">
        <v>2</v>
      </c>
      <c r="Z160" s="3" t="n">
        <v>1</v>
      </c>
      <c r="AA160" s="4" t="n">
        <f aca="false">IF($B160=AA$1,1,0)</f>
        <v>0</v>
      </c>
      <c r="AB160" s="4" t="n">
        <f aca="false">IF($B160=AB$1,1,0)</f>
        <v>0</v>
      </c>
      <c r="AC160" s="4" t="n">
        <f aca="false">IF($B160=AC$1,1,0)</f>
        <v>0</v>
      </c>
      <c r="AD160" s="4" t="n">
        <f aca="false">IF($B160=AD$1,1,0)</f>
        <v>0</v>
      </c>
      <c r="AE160" s="4" t="n">
        <f aca="false">IF($B160=AE$1,1,0)</f>
        <v>0</v>
      </c>
      <c r="AF160" s="4" t="n">
        <f aca="false">IF($B160=AF$1,1,0)</f>
        <v>0</v>
      </c>
      <c r="AG160" s="4" t="n">
        <f aca="false">IF($B160=AG$1,1,0)</f>
        <v>0</v>
      </c>
      <c r="AH160" s="4" t="n">
        <f aca="false">IF($B160=AH$1,1,0)</f>
        <v>0</v>
      </c>
      <c r="AI160" s="4" t="n">
        <f aca="false">IF($B160=AI$1,1,0)</f>
        <v>0</v>
      </c>
      <c r="AJ160" s="4" t="n">
        <f aca="false">IF($B160=AJ$1,1,0)</f>
        <v>0</v>
      </c>
      <c r="AK160" s="4" t="n">
        <f aca="false">IF($B160=AK$1,1,0)</f>
        <v>1</v>
      </c>
      <c r="AL160" s="4" t="n">
        <f aca="false">IF($B160=AL$1,1,0)</f>
        <v>0</v>
      </c>
      <c r="AM160" s="4" t="n">
        <f aca="false">IF($B160=AM$1,1,0)</f>
        <v>0</v>
      </c>
      <c r="AN160" s="4" t="n">
        <f aca="false">IF($B160=AN$1,1,0)</f>
        <v>0</v>
      </c>
      <c r="AO160" s="4" t="n">
        <f aca="false">IF($B160=AO$1,1,0)</f>
        <v>0</v>
      </c>
      <c r="AP160" s="4" t="n">
        <f aca="false">IF($B160=AP$1,1,0)</f>
        <v>0</v>
      </c>
      <c r="AQ160" s="4" t="n">
        <f aca="false">IF($B160=AQ$1,1,0)</f>
        <v>0</v>
      </c>
      <c r="AR160" s="4" t="n">
        <f aca="false">IF($B160=AR$1,1,0)</f>
        <v>0</v>
      </c>
      <c r="AS160" s="4" t="n">
        <f aca="false">IF($B160=AS$1,1,0)</f>
        <v>0</v>
      </c>
      <c r="AT160" s="4" t="n">
        <f aca="false">IF($B160=AT$1,1,0)</f>
        <v>0</v>
      </c>
      <c r="BB160" s="4" t="n">
        <f aca="false">A160</f>
        <v>159</v>
      </c>
      <c r="BC160" s="7" t="n">
        <f aca="false">ABS($T160-$AX$2)+ABS($U160-$AY$2)+ABS($V160-$AZ$2)</f>
        <v>12504.7676056338</v>
      </c>
      <c r="BD160" s="7" t="n">
        <f aca="false">ABS($T160-$AX$3)+ABS($U160-$AY$3)+ABS($V160-$AZ$3)</f>
        <v>11348.7288135593</v>
      </c>
      <c r="BE160" s="7" t="n">
        <f aca="false">ABS($T160-$AX$4)+ABS($U160-$AY$4)+ABS($V160-$AZ$4)</f>
        <v>42480.641509434</v>
      </c>
      <c r="BF160" s="7" t="n">
        <f aca="false">MIN(BC160:BE160)</f>
        <v>11348.7288135593</v>
      </c>
      <c r="BG160" s="4" t="n">
        <f aca="false">MATCH(BF160,BC160:BE160,0)</f>
        <v>2</v>
      </c>
      <c r="BH160" s="8" t="n">
        <v>2</v>
      </c>
      <c r="BI160" s="4" t="n">
        <f aca="false">IF(BG160=BH160,0,1)</f>
        <v>0</v>
      </c>
      <c r="BK160" s="8" t="n">
        <v>2</v>
      </c>
      <c r="BL160" s="8" t="n">
        <v>2</v>
      </c>
      <c r="BM160" s="8" t="n">
        <v>2</v>
      </c>
    </row>
    <row r="161" customFormat="false" ht="15" hidden="false" customHeight="false" outlineLevel="0" collapsed="false">
      <c r="A161" s="3" t="n">
        <v>160</v>
      </c>
      <c r="B161" s="3" t="s">
        <v>33</v>
      </c>
      <c r="C161" s="3" t="n">
        <v>1</v>
      </c>
      <c r="D161" s="3" t="n">
        <v>0</v>
      </c>
      <c r="E161" s="3" t="n">
        <v>0</v>
      </c>
      <c r="F161" s="3" t="n">
        <v>0</v>
      </c>
      <c r="G161" s="3" t="n">
        <v>2</v>
      </c>
      <c r="H161" s="3" t="n">
        <v>3</v>
      </c>
      <c r="I161" s="3" t="n">
        <v>4</v>
      </c>
      <c r="J161" s="3" t="n">
        <v>3</v>
      </c>
      <c r="K161" s="3" t="n">
        <v>5</v>
      </c>
      <c r="L161" s="3" t="n">
        <v>5</v>
      </c>
      <c r="M161" s="3" t="n">
        <v>4</v>
      </c>
      <c r="N161" s="3" t="n">
        <v>4</v>
      </c>
      <c r="O161" s="3" t="n">
        <v>4</v>
      </c>
      <c r="P161" s="3" t="n">
        <v>4</v>
      </c>
      <c r="Q161" s="3" t="n">
        <v>4</v>
      </c>
      <c r="R161" s="3" t="n">
        <v>5</v>
      </c>
      <c r="S161" s="3" t="n">
        <v>4</v>
      </c>
      <c r="T161" s="3" t="n">
        <v>0</v>
      </c>
      <c r="U161" s="3" t="n">
        <v>34</v>
      </c>
      <c r="V161" s="3" t="n">
        <v>13921</v>
      </c>
      <c r="W161" s="3" t="n">
        <v>2</v>
      </c>
      <c r="X161" s="3" t="n">
        <v>3</v>
      </c>
      <c r="Y161" s="3" t="n">
        <v>2</v>
      </c>
      <c r="Z161" s="3" t="n">
        <v>2</v>
      </c>
      <c r="AA161" s="4" t="n">
        <f aca="false">IF($B161=AA$1,1,0)</f>
        <v>0</v>
      </c>
      <c r="AB161" s="4" t="n">
        <f aca="false">IF($B161=AB$1,1,0)</f>
        <v>0</v>
      </c>
      <c r="AC161" s="4" t="n">
        <f aca="false">IF($B161=AC$1,1,0)</f>
        <v>0</v>
      </c>
      <c r="AD161" s="4" t="n">
        <f aca="false">IF($B161=AD$1,1,0)</f>
        <v>0</v>
      </c>
      <c r="AE161" s="4" t="n">
        <f aca="false">IF($B161=AE$1,1,0)</f>
        <v>0</v>
      </c>
      <c r="AF161" s="4" t="n">
        <f aca="false">IF($B161=AF$1,1,0)</f>
        <v>0</v>
      </c>
      <c r="AG161" s="4" t="n">
        <f aca="false">IF($B161=AG$1,1,0)</f>
        <v>0</v>
      </c>
      <c r="AH161" s="4" t="n">
        <f aca="false">IF($B161=AH$1,1,0)</f>
        <v>1</v>
      </c>
      <c r="AI161" s="4" t="n">
        <f aca="false">IF($B161=AI$1,1,0)</f>
        <v>0</v>
      </c>
      <c r="AJ161" s="4" t="n">
        <f aca="false">IF($B161=AJ$1,1,0)</f>
        <v>0</v>
      </c>
      <c r="AK161" s="4" t="n">
        <f aca="false">IF($B161=AK$1,1,0)</f>
        <v>0</v>
      </c>
      <c r="AL161" s="4" t="n">
        <f aca="false">IF($B161=AL$1,1,0)</f>
        <v>0</v>
      </c>
      <c r="AM161" s="4" t="n">
        <f aca="false">IF($B161=AM$1,1,0)</f>
        <v>0</v>
      </c>
      <c r="AN161" s="4" t="n">
        <f aca="false">IF($B161=AN$1,1,0)</f>
        <v>0</v>
      </c>
      <c r="AO161" s="4" t="n">
        <f aca="false">IF($B161=AO$1,1,0)</f>
        <v>0</v>
      </c>
      <c r="AP161" s="4" t="n">
        <f aca="false">IF($B161=AP$1,1,0)</f>
        <v>0</v>
      </c>
      <c r="AQ161" s="4" t="n">
        <f aca="false">IF($B161=AQ$1,1,0)</f>
        <v>0</v>
      </c>
      <c r="AR161" s="4" t="n">
        <f aca="false">IF($B161=AR$1,1,0)</f>
        <v>0</v>
      </c>
      <c r="AS161" s="4" t="n">
        <f aca="false">IF($B161=AS$1,1,0)</f>
        <v>0</v>
      </c>
      <c r="AT161" s="4" t="n">
        <f aca="false">IF($B161=AT$1,1,0)</f>
        <v>0</v>
      </c>
      <c r="BB161" s="4" t="n">
        <f aca="false">A161</f>
        <v>160</v>
      </c>
      <c r="BC161" s="7" t="n">
        <f aca="false">ABS($T161-$AX$2)+ABS($U161-$AY$2)+ABS($V161-$AZ$2)</f>
        <v>8918.14788732395</v>
      </c>
      <c r="BD161" s="7" t="n">
        <f aca="false">ABS($T161-$AX$3)+ABS($U161-$AY$3)+ABS($V161-$AZ$3)</f>
        <v>32749.7288135593</v>
      </c>
      <c r="BE161" s="7" t="n">
        <f aca="false">ABS($T161-$AX$4)+ABS($U161-$AY$4)+ABS($V161-$AZ$4)</f>
        <v>63881.641509434</v>
      </c>
      <c r="BF161" s="7" t="n">
        <f aca="false">MIN(BC161:BE161)</f>
        <v>8918.14788732395</v>
      </c>
      <c r="BG161" s="4" t="n">
        <f aca="false">MATCH(BF161,BC161:BE161,0)</f>
        <v>1</v>
      </c>
      <c r="BH161" s="8" t="n">
        <v>1</v>
      </c>
      <c r="BI161" s="4" t="n">
        <f aca="false">IF(BG161=BH161,0,1)</f>
        <v>0</v>
      </c>
      <c r="BK161" s="8" t="n">
        <v>1</v>
      </c>
      <c r="BL161" s="8" t="n">
        <v>1</v>
      </c>
      <c r="BM161" s="8" t="n">
        <v>1</v>
      </c>
    </row>
    <row r="162" customFormat="false" ht="15" hidden="false" customHeight="false" outlineLevel="0" collapsed="false">
      <c r="A162" s="3" t="n">
        <v>161</v>
      </c>
      <c r="B162" s="3" t="s">
        <v>36</v>
      </c>
      <c r="C162" s="3" t="n">
        <v>1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4</v>
      </c>
      <c r="I162" s="3" t="n">
        <v>5</v>
      </c>
      <c r="J162" s="3" t="n">
        <v>5</v>
      </c>
      <c r="K162" s="3" t="n">
        <v>5</v>
      </c>
      <c r="L162" s="3" t="n">
        <v>5</v>
      </c>
      <c r="M162" s="3" t="n">
        <v>4</v>
      </c>
      <c r="N162" s="3" t="n">
        <v>4</v>
      </c>
      <c r="O162" s="3" t="n">
        <v>4</v>
      </c>
      <c r="P162" s="3" t="n">
        <v>5</v>
      </c>
      <c r="Q162" s="3" t="n">
        <v>5</v>
      </c>
      <c r="R162" s="3" t="n">
        <v>5</v>
      </c>
      <c r="S162" s="3" t="n">
        <v>5</v>
      </c>
      <c r="T162" s="3" t="n">
        <v>0</v>
      </c>
      <c r="U162" s="3" t="n">
        <v>24</v>
      </c>
      <c r="V162" s="3" t="n">
        <v>53880</v>
      </c>
      <c r="W162" s="3" t="n">
        <v>2</v>
      </c>
      <c r="X162" s="3" t="n">
        <v>2</v>
      </c>
      <c r="Y162" s="3" t="n">
        <v>2</v>
      </c>
      <c r="Z162" s="3" t="n">
        <v>1</v>
      </c>
      <c r="AA162" s="4" t="n">
        <f aca="false">IF($B162=AA$1,1,0)</f>
        <v>0</v>
      </c>
      <c r="AB162" s="4" t="n">
        <f aca="false">IF($B162=AB$1,1,0)</f>
        <v>0</v>
      </c>
      <c r="AC162" s="4" t="n">
        <f aca="false">IF($B162=AC$1,1,0)</f>
        <v>0</v>
      </c>
      <c r="AD162" s="4" t="n">
        <f aca="false">IF($B162=AD$1,1,0)</f>
        <v>0</v>
      </c>
      <c r="AE162" s="4" t="n">
        <f aca="false">IF($B162=AE$1,1,0)</f>
        <v>0</v>
      </c>
      <c r="AF162" s="4" t="n">
        <f aca="false">IF($B162=AF$1,1,0)</f>
        <v>0</v>
      </c>
      <c r="AG162" s="4" t="n">
        <f aca="false">IF($B162=AG$1,1,0)</f>
        <v>0</v>
      </c>
      <c r="AH162" s="4" t="n">
        <f aca="false">IF($B162=AH$1,1,0)</f>
        <v>0</v>
      </c>
      <c r="AI162" s="4" t="n">
        <f aca="false">IF($B162=AI$1,1,0)</f>
        <v>0</v>
      </c>
      <c r="AJ162" s="4" t="n">
        <f aca="false">IF($B162=AJ$1,1,0)</f>
        <v>0</v>
      </c>
      <c r="AK162" s="4" t="n">
        <f aca="false">IF($B162=AK$1,1,0)</f>
        <v>1</v>
      </c>
      <c r="AL162" s="4" t="n">
        <f aca="false">IF($B162=AL$1,1,0)</f>
        <v>0</v>
      </c>
      <c r="AM162" s="4" t="n">
        <f aca="false">IF($B162=AM$1,1,0)</f>
        <v>0</v>
      </c>
      <c r="AN162" s="4" t="n">
        <f aca="false">IF($B162=AN$1,1,0)</f>
        <v>0</v>
      </c>
      <c r="AO162" s="4" t="n">
        <f aca="false">IF($B162=AO$1,1,0)</f>
        <v>0</v>
      </c>
      <c r="AP162" s="4" t="n">
        <f aca="false">IF($B162=AP$1,1,0)</f>
        <v>0</v>
      </c>
      <c r="AQ162" s="4" t="n">
        <f aca="false">IF($B162=AQ$1,1,0)</f>
        <v>0</v>
      </c>
      <c r="AR162" s="4" t="n">
        <f aca="false">IF($B162=AR$1,1,0)</f>
        <v>0</v>
      </c>
      <c r="AS162" s="4" t="n">
        <f aca="false">IF($B162=AS$1,1,0)</f>
        <v>0</v>
      </c>
      <c r="AT162" s="4" t="n">
        <f aca="false">IF($B162=AT$1,1,0)</f>
        <v>0</v>
      </c>
      <c r="BB162" s="4" t="n">
        <f aca="false">A162</f>
        <v>161</v>
      </c>
      <c r="BC162" s="7" t="n">
        <f aca="false">ABS($T162-$AX$2)+ABS($U162-$AY$2)+ABS($V162-$AZ$2)</f>
        <v>31060.7676056338</v>
      </c>
      <c r="BD162" s="7" t="n">
        <f aca="false">ABS($T162-$AX$3)+ABS($U162-$AY$3)+ABS($V162-$AZ$3)</f>
        <v>7234.40677966102</v>
      </c>
      <c r="BE162" s="7" t="n">
        <f aca="false">ABS($T162-$AX$4)+ABS($U162-$AY$4)+ABS($V162-$AZ$4)</f>
        <v>23932.641509434</v>
      </c>
      <c r="BF162" s="7" t="n">
        <f aca="false">MIN(BC162:BE162)</f>
        <v>7234.40677966102</v>
      </c>
      <c r="BG162" s="4" t="n">
        <f aca="false">MATCH(BF162,BC162:BE162,0)</f>
        <v>2</v>
      </c>
      <c r="BH162" s="8" t="n">
        <v>2</v>
      </c>
      <c r="BI162" s="4" t="n">
        <f aca="false">IF(BG162=BH162,0,1)</f>
        <v>0</v>
      </c>
      <c r="BK162" s="8" t="n">
        <v>2</v>
      </c>
      <c r="BL162" s="8" t="n">
        <v>2</v>
      </c>
      <c r="BM162" s="8" t="n">
        <v>2</v>
      </c>
    </row>
    <row r="163" customFormat="false" ht="15" hidden="false" customHeight="false" outlineLevel="0" collapsed="false">
      <c r="A163" s="3" t="n">
        <v>162</v>
      </c>
      <c r="B163" s="3" t="s">
        <v>30</v>
      </c>
      <c r="C163" s="3" t="n">
        <v>1</v>
      </c>
      <c r="D163" s="3" t="n">
        <v>0</v>
      </c>
      <c r="E163" s="3" t="n">
        <v>0</v>
      </c>
      <c r="F163" s="3" t="n">
        <v>0</v>
      </c>
      <c r="G163" s="3" t="n">
        <v>3</v>
      </c>
      <c r="H163" s="3" t="n">
        <v>4</v>
      </c>
      <c r="I163" s="3" t="n">
        <v>4</v>
      </c>
      <c r="J163" s="3" t="n">
        <v>4</v>
      </c>
      <c r="K163" s="3" t="n">
        <v>2</v>
      </c>
      <c r="L163" s="3" t="n">
        <v>5</v>
      </c>
      <c r="M163" s="3" t="n">
        <v>4</v>
      </c>
      <c r="N163" s="3" t="n">
        <v>4</v>
      </c>
      <c r="O163" s="3" t="n">
        <v>2</v>
      </c>
      <c r="P163" s="3" t="n">
        <v>3</v>
      </c>
      <c r="Q163" s="3" t="n">
        <v>5</v>
      </c>
      <c r="R163" s="3" t="n">
        <v>3</v>
      </c>
      <c r="S163" s="3" t="n">
        <v>2</v>
      </c>
      <c r="T163" s="3" t="n">
        <v>0</v>
      </c>
      <c r="U163" s="3" t="n">
        <v>33</v>
      </c>
      <c r="V163" s="3" t="n">
        <v>36126</v>
      </c>
      <c r="W163" s="3" t="n">
        <v>3</v>
      </c>
      <c r="X163" s="3" t="n">
        <v>2</v>
      </c>
      <c r="Y163" s="3" t="n">
        <v>1</v>
      </c>
      <c r="Z163" s="3" t="n">
        <v>2</v>
      </c>
      <c r="AA163" s="4" t="n">
        <f aca="false">IF($B163=AA$1,1,0)</f>
        <v>0</v>
      </c>
      <c r="AB163" s="4" t="n">
        <f aca="false">IF($B163=AB$1,1,0)</f>
        <v>0</v>
      </c>
      <c r="AC163" s="4" t="n">
        <f aca="false">IF($B163=AC$1,1,0)</f>
        <v>0</v>
      </c>
      <c r="AD163" s="4" t="n">
        <f aca="false">IF($B163=AD$1,1,0)</f>
        <v>0</v>
      </c>
      <c r="AE163" s="4" t="n">
        <f aca="false">IF($B163=AE$1,1,0)</f>
        <v>1</v>
      </c>
      <c r="AF163" s="4" t="n">
        <f aca="false">IF($B163=AF$1,1,0)</f>
        <v>0</v>
      </c>
      <c r="AG163" s="4" t="n">
        <f aca="false">IF($B163=AG$1,1,0)</f>
        <v>0</v>
      </c>
      <c r="AH163" s="4" t="n">
        <f aca="false">IF($B163=AH$1,1,0)</f>
        <v>0</v>
      </c>
      <c r="AI163" s="4" t="n">
        <f aca="false">IF($B163=AI$1,1,0)</f>
        <v>0</v>
      </c>
      <c r="AJ163" s="4" t="n">
        <f aca="false">IF($B163=AJ$1,1,0)</f>
        <v>0</v>
      </c>
      <c r="AK163" s="4" t="n">
        <f aca="false">IF($B163=AK$1,1,0)</f>
        <v>0</v>
      </c>
      <c r="AL163" s="4" t="n">
        <f aca="false">IF($B163=AL$1,1,0)</f>
        <v>0</v>
      </c>
      <c r="AM163" s="4" t="n">
        <f aca="false">IF($B163=AM$1,1,0)</f>
        <v>0</v>
      </c>
      <c r="AN163" s="4" t="n">
        <f aca="false">IF($B163=AN$1,1,0)</f>
        <v>0</v>
      </c>
      <c r="AO163" s="4" t="n">
        <f aca="false">IF($B163=AO$1,1,0)</f>
        <v>0</v>
      </c>
      <c r="AP163" s="4" t="n">
        <f aca="false">IF($B163=AP$1,1,0)</f>
        <v>0</v>
      </c>
      <c r="AQ163" s="4" t="n">
        <f aca="false">IF($B163=AQ$1,1,0)</f>
        <v>0</v>
      </c>
      <c r="AR163" s="4" t="n">
        <f aca="false">IF($B163=AR$1,1,0)</f>
        <v>0</v>
      </c>
      <c r="AS163" s="4" t="n">
        <f aca="false">IF($B163=AS$1,1,0)</f>
        <v>0</v>
      </c>
      <c r="AT163" s="4" t="n">
        <f aca="false">IF($B163=AT$1,1,0)</f>
        <v>0</v>
      </c>
      <c r="BB163" s="4" t="n">
        <f aca="false">A163</f>
        <v>162</v>
      </c>
      <c r="BC163" s="7" t="n">
        <f aca="false">ABS($T163-$AX$2)+ABS($U163-$AY$2)+ABS($V163-$AZ$2)</f>
        <v>13297.7676056338</v>
      </c>
      <c r="BD163" s="7" t="n">
        <f aca="false">ABS($T163-$AX$3)+ABS($U163-$AY$3)+ABS($V163-$AZ$3)</f>
        <v>10545.7288135593</v>
      </c>
      <c r="BE163" s="7" t="n">
        <f aca="false">ABS($T163-$AX$4)+ABS($U163-$AY$4)+ABS($V163-$AZ$4)</f>
        <v>41677.641509434</v>
      </c>
      <c r="BF163" s="7" t="n">
        <f aca="false">MIN(BC163:BE163)</f>
        <v>10545.7288135593</v>
      </c>
      <c r="BG163" s="4" t="n">
        <f aca="false">MATCH(BF163,BC163:BE163,0)</f>
        <v>2</v>
      </c>
      <c r="BH163" s="8" t="n">
        <v>2</v>
      </c>
      <c r="BI163" s="4" t="n">
        <f aca="false">IF(BG163=BH163,0,1)</f>
        <v>0</v>
      </c>
      <c r="BK163" s="8" t="n">
        <v>2</v>
      </c>
      <c r="BL163" s="8" t="n">
        <v>2</v>
      </c>
      <c r="BM163" s="8" t="n">
        <v>2</v>
      </c>
    </row>
    <row r="164" customFormat="false" ht="15" hidden="false" customHeight="false" outlineLevel="0" collapsed="false">
      <c r="A164" s="3" t="n">
        <v>163</v>
      </c>
      <c r="B164" s="3" t="s">
        <v>38</v>
      </c>
      <c r="C164" s="3" t="n">
        <v>1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5</v>
      </c>
      <c r="I164" s="3" t="n">
        <v>5</v>
      </c>
      <c r="J164" s="3" t="n">
        <v>5</v>
      </c>
      <c r="K164" s="3" t="n">
        <v>5</v>
      </c>
      <c r="L164" s="3" t="n">
        <v>5</v>
      </c>
      <c r="M164" s="3" t="n">
        <v>5</v>
      </c>
      <c r="N164" s="3" t="n">
        <v>5</v>
      </c>
      <c r="O164" s="3" t="n">
        <v>5</v>
      </c>
      <c r="P164" s="3" t="n">
        <v>5</v>
      </c>
      <c r="Q164" s="3" t="n">
        <v>5</v>
      </c>
      <c r="R164" s="3" t="n">
        <v>5</v>
      </c>
      <c r="S164" s="3" t="n">
        <v>5</v>
      </c>
      <c r="T164" s="3" t="n">
        <v>0</v>
      </c>
      <c r="U164" s="3" t="n">
        <v>19</v>
      </c>
      <c r="V164" s="3" t="n">
        <v>24587</v>
      </c>
      <c r="W164" s="3" t="n">
        <v>1</v>
      </c>
      <c r="X164" s="3" t="n">
        <v>3</v>
      </c>
      <c r="Y164" s="3" t="n">
        <v>2</v>
      </c>
      <c r="Z164" s="3" t="n">
        <v>2</v>
      </c>
      <c r="AA164" s="4" t="n">
        <f aca="false">IF($B164=AA$1,1,0)</f>
        <v>0</v>
      </c>
      <c r="AB164" s="4" t="n">
        <f aca="false">IF($B164=AB$1,1,0)</f>
        <v>0</v>
      </c>
      <c r="AC164" s="4" t="n">
        <f aca="false">IF($B164=AC$1,1,0)</f>
        <v>0</v>
      </c>
      <c r="AD164" s="4" t="n">
        <f aca="false">IF($B164=AD$1,1,0)</f>
        <v>0</v>
      </c>
      <c r="AE164" s="4" t="n">
        <f aca="false">IF($B164=AE$1,1,0)</f>
        <v>0</v>
      </c>
      <c r="AF164" s="4" t="n">
        <f aca="false">IF($B164=AF$1,1,0)</f>
        <v>0</v>
      </c>
      <c r="AG164" s="4" t="n">
        <f aca="false">IF($B164=AG$1,1,0)</f>
        <v>0</v>
      </c>
      <c r="AH164" s="4" t="n">
        <f aca="false">IF($B164=AH$1,1,0)</f>
        <v>0</v>
      </c>
      <c r="AI164" s="4" t="n">
        <f aca="false">IF($B164=AI$1,1,0)</f>
        <v>0</v>
      </c>
      <c r="AJ164" s="4" t="n">
        <f aca="false">IF($B164=AJ$1,1,0)</f>
        <v>0</v>
      </c>
      <c r="AK164" s="4" t="n">
        <f aca="false">IF($B164=AK$1,1,0)</f>
        <v>0</v>
      </c>
      <c r="AL164" s="4" t="n">
        <f aca="false">IF($B164=AL$1,1,0)</f>
        <v>0</v>
      </c>
      <c r="AM164" s="4" t="n">
        <f aca="false">IF($B164=AM$1,1,0)</f>
        <v>1</v>
      </c>
      <c r="AN164" s="4" t="n">
        <f aca="false">IF($B164=AN$1,1,0)</f>
        <v>0</v>
      </c>
      <c r="AO164" s="4" t="n">
        <f aca="false">IF($B164=AO$1,1,0)</f>
        <v>0</v>
      </c>
      <c r="AP164" s="4" t="n">
        <f aca="false">IF($B164=AP$1,1,0)</f>
        <v>0</v>
      </c>
      <c r="AQ164" s="4" t="n">
        <f aca="false">IF($B164=AQ$1,1,0)</f>
        <v>0</v>
      </c>
      <c r="AR164" s="4" t="n">
        <f aca="false">IF($B164=AR$1,1,0)</f>
        <v>0</v>
      </c>
      <c r="AS164" s="4" t="n">
        <f aca="false">IF($B164=AS$1,1,0)</f>
        <v>0</v>
      </c>
      <c r="AT164" s="4" t="n">
        <f aca="false">IF($B164=AT$1,1,0)</f>
        <v>0</v>
      </c>
      <c r="BB164" s="4" t="n">
        <f aca="false">A164</f>
        <v>163</v>
      </c>
      <c r="BC164" s="7" t="n">
        <f aca="false">ABS($T164-$AX$2)+ABS($U164-$AY$2)+ABS($V164-$AZ$2)</f>
        <v>1772.7676056338</v>
      </c>
      <c r="BD164" s="7" t="n">
        <f aca="false">ABS($T164-$AX$3)+ABS($U164-$AY$3)+ABS($V164-$AZ$3)</f>
        <v>22098.7288135593</v>
      </c>
      <c r="BE164" s="7" t="n">
        <f aca="false">ABS($T164-$AX$4)+ABS($U164-$AY$4)+ABS($V164-$AZ$4)</f>
        <v>53230.641509434</v>
      </c>
      <c r="BF164" s="7" t="n">
        <f aca="false">MIN(BC164:BE164)</f>
        <v>1772.7676056338</v>
      </c>
      <c r="BG164" s="4" t="n">
        <f aca="false">MATCH(BF164,BC164:BE164,0)</f>
        <v>1</v>
      </c>
      <c r="BH164" s="8" t="n">
        <v>1</v>
      </c>
      <c r="BI164" s="4" t="n">
        <f aca="false">IF(BG164=BH164,0,1)</f>
        <v>0</v>
      </c>
      <c r="BK164" s="8" t="n">
        <v>1</v>
      </c>
      <c r="BL164" s="8" t="n">
        <v>1</v>
      </c>
      <c r="BM164" s="8" t="n">
        <v>1</v>
      </c>
    </row>
    <row r="165" customFormat="false" ht="15" hidden="false" customHeight="false" outlineLevel="0" collapsed="false">
      <c r="A165" s="3" t="n">
        <v>164</v>
      </c>
      <c r="B165" s="3" t="s">
        <v>38</v>
      </c>
      <c r="C165" s="3" t="n">
        <v>0</v>
      </c>
      <c r="D165" s="3" t="n">
        <v>0</v>
      </c>
      <c r="E165" s="3" t="n">
        <v>1</v>
      </c>
      <c r="F165" s="3" t="n">
        <v>0</v>
      </c>
      <c r="G165" s="3" t="n">
        <v>0</v>
      </c>
      <c r="H165" s="3" t="n">
        <v>5</v>
      </c>
      <c r="I165" s="3" t="n">
        <v>5</v>
      </c>
      <c r="J165" s="3" t="n">
        <v>5</v>
      </c>
      <c r="K165" s="3" t="n">
        <v>5</v>
      </c>
      <c r="L165" s="3" t="n">
        <v>5</v>
      </c>
      <c r="M165" s="3" t="n">
        <v>5</v>
      </c>
      <c r="N165" s="3" t="n">
        <v>5</v>
      </c>
      <c r="O165" s="3" t="n">
        <v>3</v>
      </c>
      <c r="P165" s="3" t="n">
        <v>3</v>
      </c>
      <c r="Q165" s="3" t="n">
        <v>3</v>
      </c>
      <c r="R165" s="3" t="n">
        <v>4</v>
      </c>
      <c r="S165" s="3" t="n">
        <v>5</v>
      </c>
      <c r="T165" s="3" t="n">
        <v>0</v>
      </c>
      <c r="U165" s="3" t="n">
        <v>64</v>
      </c>
      <c r="V165" s="3" t="n">
        <v>20472</v>
      </c>
      <c r="W165" s="3" t="n">
        <v>2</v>
      </c>
      <c r="X165" s="3" t="n">
        <v>2</v>
      </c>
      <c r="Y165" s="3" t="n">
        <v>2</v>
      </c>
      <c r="Z165" s="3" t="n">
        <v>2</v>
      </c>
      <c r="AA165" s="4" t="n">
        <f aca="false">IF($B165=AA$1,1,0)</f>
        <v>0</v>
      </c>
      <c r="AB165" s="4" t="n">
        <f aca="false">IF($B165=AB$1,1,0)</f>
        <v>0</v>
      </c>
      <c r="AC165" s="4" t="n">
        <f aca="false">IF($B165=AC$1,1,0)</f>
        <v>0</v>
      </c>
      <c r="AD165" s="4" t="n">
        <f aca="false">IF($B165=AD$1,1,0)</f>
        <v>0</v>
      </c>
      <c r="AE165" s="4" t="n">
        <f aca="false">IF($B165=AE$1,1,0)</f>
        <v>0</v>
      </c>
      <c r="AF165" s="4" t="n">
        <f aca="false">IF($B165=AF$1,1,0)</f>
        <v>0</v>
      </c>
      <c r="AG165" s="4" t="n">
        <f aca="false">IF($B165=AG$1,1,0)</f>
        <v>0</v>
      </c>
      <c r="AH165" s="4" t="n">
        <f aca="false">IF($B165=AH$1,1,0)</f>
        <v>0</v>
      </c>
      <c r="AI165" s="4" t="n">
        <f aca="false">IF($B165=AI$1,1,0)</f>
        <v>0</v>
      </c>
      <c r="AJ165" s="4" t="n">
        <f aca="false">IF($B165=AJ$1,1,0)</f>
        <v>0</v>
      </c>
      <c r="AK165" s="4" t="n">
        <f aca="false">IF($B165=AK$1,1,0)</f>
        <v>0</v>
      </c>
      <c r="AL165" s="4" t="n">
        <f aca="false">IF($B165=AL$1,1,0)</f>
        <v>0</v>
      </c>
      <c r="AM165" s="4" t="n">
        <f aca="false">IF($B165=AM$1,1,0)</f>
        <v>1</v>
      </c>
      <c r="AN165" s="4" t="n">
        <f aca="false">IF($B165=AN$1,1,0)</f>
        <v>0</v>
      </c>
      <c r="AO165" s="4" t="n">
        <f aca="false">IF($B165=AO$1,1,0)</f>
        <v>0</v>
      </c>
      <c r="AP165" s="4" t="n">
        <f aca="false">IF($B165=AP$1,1,0)</f>
        <v>0</v>
      </c>
      <c r="AQ165" s="4" t="n">
        <f aca="false">IF($B165=AQ$1,1,0)</f>
        <v>0</v>
      </c>
      <c r="AR165" s="4" t="n">
        <f aca="false">IF($B165=AR$1,1,0)</f>
        <v>0</v>
      </c>
      <c r="AS165" s="4" t="n">
        <f aca="false">IF($B165=AS$1,1,0)</f>
        <v>0</v>
      </c>
      <c r="AT165" s="4" t="n">
        <f aca="false">IF($B165=AT$1,1,0)</f>
        <v>0</v>
      </c>
      <c r="BB165" s="4" t="n">
        <f aca="false">A165</f>
        <v>164</v>
      </c>
      <c r="BC165" s="7" t="n">
        <f aca="false">ABS($T165-$AX$2)+ABS($U165-$AY$2)+ABS($V165-$AZ$2)</f>
        <v>2387.66901408451</v>
      </c>
      <c r="BD165" s="7" t="n">
        <f aca="false">ABS($T165-$AX$3)+ABS($U165-$AY$3)+ABS($V165-$AZ$3)</f>
        <v>26213.9661016949</v>
      </c>
      <c r="BE165" s="7" t="n">
        <f aca="false">ABS($T165-$AX$4)+ABS($U165-$AY$4)+ABS($V165-$AZ$4)</f>
        <v>57344.6037735849</v>
      </c>
      <c r="BF165" s="7" t="n">
        <f aca="false">MIN(BC165:BE165)</f>
        <v>2387.66901408451</v>
      </c>
      <c r="BG165" s="4" t="n">
        <f aca="false">MATCH(BF165,BC165:BE165,0)</f>
        <v>1</v>
      </c>
      <c r="BH165" s="8" t="n">
        <v>1</v>
      </c>
      <c r="BI165" s="4" t="n">
        <f aca="false">IF(BG165=BH165,0,1)</f>
        <v>0</v>
      </c>
      <c r="BK165" s="8" t="n">
        <v>1</v>
      </c>
      <c r="BL165" s="8" t="n">
        <v>1</v>
      </c>
      <c r="BM165" s="8" t="n">
        <v>1</v>
      </c>
    </row>
    <row r="166" customFormat="false" ht="15" hidden="false" customHeight="false" outlineLevel="0" collapsed="false">
      <c r="A166" s="3" t="n">
        <v>165</v>
      </c>
      <c r="B166" s="3" t="s">
        <v>30</v>
      </c>
      <c r="C166" s="3" t="n">
        <v>1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4</v>
      </c>
      <c r="I166" s="3" t="n">
        <v>4</v>
      </c>
      <c r="J166" s="3" t="n">
        <v>5</v>
      </c>
      <c r="K166" s="3" t="n">
        <v>5</v>
      </c>
      <c r="L166" s="3" t="n">
        <v>5</v>
      </c>
      <c r="M166" s="3" t="n">
        <v>4</v>
      </c>
      <c r="N166" s="3" t="n">
        <v>3</v>
      </c>
      <c r="O166" s="3" t="n">
        <v>5</v>
      </c>
      <c r="P166" s="3" t="n">
        <v>3</v>
      </c>
      <c r="Q166" s="3" t="n">
        <v>5</v>
      </c>
      <c r="R166" s="3" t="n">
        <v>5</v>
      </c>
      <c r="S166" s="3" t="n">
        <v>3</v>
      </c>
      <c r="T166" s="3" t="n">
        <v>0</v>
      </c>
      <c r="U166" s="3" t="n">
        <v>66</v>
      </c>
      <c r="V166" s="3" t="n">
        <v>58516</v>
      </c>
      <c r="W166" s="3" t="n">
        <v>1</v>
      </c>
      <c r="X166" s="3" t="n">
        <v>4</v>
      </c>
      <c r="Y166" s="3" t="n">
        <v>2</v>
      </c>
      <c r="Z166" s="3" t="n">
        <v>2</v>
      </c>
      <c r="AA166" s="4" t="n">
        <f aca="false">IF($B166=AA$1,1,0)</f>
        <v>0</v>
      </c>
      <c r="AB166" s="4" t="n">
        <f aca="false">IF($B166=AB$1,1,0)</f>
        <v>0</v>
      </c>
      <c r="AC166" s="4" t="n">
        <f aca="false">IF($B166=AC$1,1,0)</f>
        <v>0</v>
      </c>
      <c r="AD166" s="4" t="n">
        <f aca="false">IF($B166=AD$1,1,0)</f>
        <v>0</v>
      </c>
      <c r="AE166" s="4" t="n">
        <f aca="false">IF($B166=AE$1,1,0)</f>
        <v>1</v>
      </c>
      <c r="AF166" s="4" t="n">
        <f aca="false">IF($B166=AF$1,1,0)</f>
        <v>0</v>
      </c>
      <c r="AG166" s="4" t="n">
        <f aca="false">IF($B166=AG$1,1,0)</f>
        <v>0</v>
      </c>
      <c r="AH166" s="4" t="n">
        <f aca="false">IF($B166=AH$1,1,0)</f>
        <v>0</v>
      </c>
      <c r="AI166" s="4" t="n">
        <f aca="false">IF($B166=AI$1,1,0)</f>
        <v>0</v>
      </c>
      <c r="AJ166" s="4" t="n">
        <f aca="false">IF($B166=AJ$1,1,0)</f>
        <v>0</v>
      </c>
      <c r="AK166" s="4" t="n">
        <f aca="false">IF($B166=AK$1,1,0)</f>
        <v>0</v>
      </c>
      <c r="AL166" s="4" t="n">
        <f aca="false">IF($B166=AL$1,1,0)</f>
        <v>0</v>
      </c>
      <c r="AM166" s="4" t="n">
        <f aca="false">IF($B166=AM$1,1,0)</f>
        <v>0</v>
      </c>
      <c r="AN166" s="4" t="n">
        <f aca="false">IF($B166=AN$1,1,0)</f>
        <v>0</v>
      </c>
      <c r="AO166" s="4" t="n">
        <f aca="false">IF($B166=AO$1,1,0)</f>
        <v>0</v>
      </c>
      <c r="AP166" s="4" t="n">
        <f aca="false">IF($B166=AP$1,1,0)</f>
        <v>0</v>
      </c>
      <c r="AQ166" s="4" t="n">
        <f aca="false">IF($B166=AQ$1,1,0)</f>
        <v>0</v>
      </c>
      <c r="AR166" s="4" t="n">
        <f aca="false">IF($B166=AR$1,1,0)</f>
        <v>0</v>
      </c>
      <c r="AS166" s="4" t="n">
        <f aca="false">IF($B166=AS$1,1,0)</f>
        <v>0</v>
      </c>
      <c r="AT166" s="4" t="n">
        <f aca="false">IF($B166=AT$1,1,0)</f>
        <v>0</v>
      </c>
      <c r="BB166" s="4" t="n">
        <f aca="false">A166</f>
        <v>165</v>
      </c>
      <c r="BC166" s="7" t="n">
        <f aca="false">ABS($T166-$AX$2)+ABS($U166-$AY$2)+ABS($V166-$AZ$2)</f>
        <v>35709.2887323944</v>
      </c>
      <c r="BD166" s="7" t="n">
        <f aca="false">ABS($T166-$AX$3)+ABS($U166-$AY$3)+ABS($V166-$AZ$3)</f>
        <v>11877.6440677966</v>
      </c>
      <c r="BE166" s="7" t="n">
        <f aca="false">ABS($T166-$AX$4)+ABS($U166-$AY$4)+ABS($V166-$AZ$4)</f>
        <v>19302.6037735849</v>
      </c>
      <c r="BF166" s="7" t="n">
        <f aca="false">MIN(BC166:BE166)</f>
        <v>11877.6440677966</v>
      </c>
      <c r="BG166" s="4" t="n">
        <f aca="false">MATCH(BF166,BC166:BE166,0)</f>
        <v>2</v>
      </c>
      <c r="BH166" s="8" t="n">
        <v>2</v>
      </c>
      <c r="BI166" s="4" t="n">
        <f aca="false">IF(BG166=BH166,0,1)</f>
        <v>0</v>
      </c>
      <c r="BK166" s="8" t="n">
        <v>2</v>
      </c>
      <c r="BL166" s="8" t="n">
        <v>2</v>
      </c>
      <c r="BM166" s="8" t="n">
        <v>2</v>
      </c>
    </row>
    <row r="167" customFormat="false" ht="15" hidden="false" customHeight="false" outlineLevel="0" collapsed="false">
      <c r="A167" s="3" t="n">
        <v>166</v>
      </c>
      <c r="B167" s="3" t="s">
        <v>30</v>
      </c>
      <c r="C167" s="3" t="n">
        <v>0</v>
      </c>
      <c r="D167" s="3" t="n">
        <v>0</v>
      </c>
      <c r="E167" s="3" t="n">
        <v>1</v>
      </c>
      <c r="F167" s="3" t="n">
        <v>0</v>
      </c>
      <c r="G167" s="3" t="n">
        <v>0</v>
      </c>
      <c r="H167" s="3" t="n">
        <v>4</v>
      </c>
      <c r="I167" s="3" t="n">
        <v>4</v>
      </c>
      <c r="J167" s="3" t="n">
        <v>4</v>
      </c>
      <c r="K167" s="3" t="n">
        <v>4</v>
      </c>
      <c r="L167" s="3" t="n">
        <v>5</v>
      </c>
      <c r="M167" s="3" t="n">
        <v>5</v>
      </c>
      <c r="N167" s="3" t="n">
        <v>4</v>
      </c>
      <c r="O167" s="3" t="n">
        <v>3</v>
      </c>
      <c r="P167" s="3" t="n">
        <v>2</v>
      </c>
      <c r="Q167" s="3" t="n">
        <v>4</v>
      </c>
      <c r="R167" s="3" t="n">
        <v>4</v>
      </c>
      <c r="S167" s="3" t="n">
        <v>4</v>
      </c>
      <c r="T167" s="3" t="n">
        <v>0</v>
      </c>
      <c r="U167" s="3" t="n">
        <v>54</v>
      </c>
      <c r="V167" s="3" t="n">
        <v>26830</v>
      </c>
      <c r="W167" s="3" t="n">
        <v>3</v>
      </c>
      <c r="X167" s="3" t="n">
        <v>2</v>
      </c>
      <c r="Y167" s="3" t="n">
        <v>2</v>
      </c>
      <c r="Z167" s="3" t="n">
        <v>2</v>
      </c>
      <c r="AA167" s="4" t="n">
        <f aca="false">IF($B167=AA$1,1,0)</f>
        <v>0</v>
      </c>
      <c r="AB167" s="4" t="n">
        <f aca="false">IF($B167=AB$1,1,0)</f>
        <v>0</v>
      </c>
      <c r="AC167" s="4" t="n">
        <f aca="false">IF($B167=AC$1,1,0)</f>
        <v>0</v>
      </c>
      <c r="AD167" s="4" t="n">
        <f aca="false">IF($B167=AD$1,1,0)</f>
        <v>0</v>
      </c>
      <c r="AE167" s="4" t="n">
        <f aca="false">IF($B167=AE$1,1,0)</f>
        <v>1</v>
      </c>
      <c r="AF167" s="4" t="n">
        <f aca="false">IF($B167=AF$1,1,0)</f>
        <v>0</v>
      </c>
      <c r="AG167" s="4" t="n">
        <f aca="false">IF($B167=AG$1,1,0)</f>
        <v>0</v>
      </c>
      <c r="AH167" s="4" t="n">
        <f aca="false">IF($B167=AH$1,1,0)</f>
        <v>0</v>
      </c>
      <c r="AI167" s="4" t="n">
        <f aca="false">IF($B167=AI$1,1,0)</f>
        <v>0</v>
      </c>
      <c r="AJ167" s="4" t="n">
        <f aca="false">IF($B167=AJ$1,1,0)</f>
        <v>0</v>
      </c>
      <c r="AK167" s="4" t="n">
        <f aca="false">IF($B167=AK$1,1,0)</f>
        <v>0</v>
      </c>
      <c r="AL167" s="4" t="n">
        <f aca="false">IF($B167=AL$1,1,0)</f>
        <v>0</v>
      </c>
      <c r="AM167" s="4" t="n">
        <f aca="false">IF($B167=AM$1,1,0)</f>
        <v>0</v>
      </c>
      <c r="AN167" s="4" t="n">
        <f aca="false">IF($B167=AN$1,1,0)</f>
        <v>0</v>
      </c>
      <c r="AO167" s="4" t="n">
        <f aca="false">IF($B167=AO$1,1,0)</f>
        <v>0</v>
      </c>
      <c r="AP167" s="4" t="n">
        <f aca="false">IF($B167=AP$1,1,0)</f>
        <v>0</v>
      </c>
      <c r="AQ167" s="4" t="n">
        <f aca="false">IF($B167=AQ$1,1,0)</f>
        <v>0</v>
      </c>
      <c r="AR167" s="4" t="n">
        <f aca="false">IF($B167=AR$1,1,0)</f>
        <v>0</v>
      </c>
      <c r="AS167" s="4" t="n">
        <f aca="false">IF($B167=AS$1,1,0)</f>
        <v>0</v>
      </c>
      <c r="AT167" s="4" t="n">
        <f aca="false">IF($B167=AT$1,1,0)</f>
        <v>0</v>
      </c>
      <c r="BB167" s="4" t="n">
        <f aca="false">A167</f>
        <v>166</v>
      </c>
      <c r="BC167" s="7" t="n">
        <f aca="false">ABS($T167-$AX$2)+ABS($U167-$AY$2)+ABS($V167-$AZ$2)</f>
        <v>4011.28873239436</v>
      </c>
      <c r="BD167" s="7" t="n">
        <f aca="false">ABS($T167-$AX$3)+ABS($U167-$AY$3)+ABS($V167-$AZ$3)</f>
        <v>19845.9661016949</v>
      </c>
      <c r="BE167" s="7" t="n">
        <f aca="false">ABS($T167-$AX$4)+ABS($U167-$AY$4)+ABS($V167-$AZ$4)</f>
        <v>50976.6037735849</v>
      </c>
      <c r="BF167" s="7" t="n">
        <f aca="false">MIN(BC167:BE167)</f>
        <v>4011.28873239436</v>
      </c>
      <c r="BG167" s="4" t="n">
        <f aca="false">MATCH(BF167,BC167:BE167,0)</f>
        <v>1</v>
      </c>
      <c r="BH167" s="8" t="n">
        <v>1</v>
      </c>
      <c r="BI167" s="4" t="n">
        <f aca="false">IF(BG167=BH167,0,1)</f>
        <v>0</v>
      </c>
      <c r="BK167" s="8" t="n">
        <v>1</v>
      </c>
      <c r="BL167" s="8" t="n">
        <v>1</v>
      </c>
      <c r="BM167" s="8" t="n">
        <v>1</v>
      </c>
    </row>
    <row r="168" customFormat="false" ht="15" hidden="false" customHeight="false" outlineLevel="0" collapsed="false">
      <c r="A168" s="3" t="n">
        <v>167</v>
      </c>
      <c r="B168" s="3" t="s">
        <v>33</v>
      </c>
      <c r="C168" s="3" t="n">
        <v>1</v>
      </c>
      <c r="D168" s="3" t="n">
        <v>0</v>
      </c>
      <c r="E168" s="3" t="n">
        <v>0</v>
      </c>
      <c r="F168" s="3" t="n">
        <v>0</v>
      </c>
      <c r="G168" s="3" t="n">
        <v>2</v>
      </c>
      <c r="H168" s="3" t="n">
        <v>4</v>
      </c>
      <c r="I168" s="3" t="n">
        <v>4</v>
      </c>
      <c r="J168" s="3" t="n">
        <v>4</v>
      </c>
      <c r="K168" s="3" t="n">
        <v>4</v>
      </c>
      <c r="L168" s="3" t="n">
        <v>5</v>
      </c>
      <c r="M168" s="3" t="n">
        <v>4</v>
      </c>
      <c r="N168" s="3" t="n">
        <v>5</v>
      </c>
      <c r="O168" s="3" t="n">
        <v>5</v>
      </c>
      <c r="P168" s="3" t="n">
        <v>5</v>
      </c>
      <c r="Q168" s="3" t="n">
        <v>5</v>
      </c>
      <c r="R168" s="3" t="n">
        <v>5</v>
      </c>
      <c r="S168" s="3" t="n">
        <v>5</v>
      </c>
      <c r="T168" s="3" t="n">
        <v>0</v>
      </c>
      <c r="U168" s="3" t="n">
        <v>45</v>
      </c>
      <c r="V168" s="3" t="n">
        <v>53888</v>
      </c>
      <c r="W168" s="3" t="n">
        <v>2</v>
      </c>
      <c r="X168" s="3" t="n">
        <v>2</v>
      </c>
      <c r="Y168" s="3" t="n">
        <v>3</v>
      </c>
      <c r="Z168" s="3" t="n">
        <v>2</v>
      </c>
      <c r="AA168" s="4" t="n">
        <f aca="false">IF($B168=AA$1,1,0)</f>
        <v>0</v>
      </c>
      <c r="AB168" s="4" t="n">
        <f aca="false">IF($B168=AB$1,1,0)</f>
        <v>0</v>
      </c>
      <c r="AC168" s="4" t="n">
        <f aca="false">IF($B168=AC$1,1,0)</f>
        <v>0</v>
      </c>
      <c r="AD168" s="4" t="n">
        <f aca="false">IF($B168=AD$1,1,0)</f>
        <v>0</v>
      </c>
      <c r="AE168" s="4" t="n">
        <f aca="false">IF($B168=AE$1,1,0)</f>
        <v>0</v>
      </c>
      <c r="AF168" s="4" t="n">
        <f aca="false">IF($B168=AF$1,1,0)</f>
        <v>0</v>
      </c>
      <c r="AG168" s="4" t="n">
        <f aca="false">IF($B168=AG$1,1,0)</f>
        <v>0</v>
      </c>
      <c r="AH168" s="4" t="n">
        <f aca="false">IF($B168=AH$1,1,0)</f>
        <v>1</v>
      </c>
      <c r="AI168" s="4" t="n">
        <f aca="false">IF($B168=AI$1,1,0)</f>
        <v>0</v>
      </c>
      <c r="AJ168" s="4" t="n">
        <f aca="false">IF($B168=AJ$1,1,0)</f>
        <v>0</v>
      </c>
      <c r="AK168" s="4" t="n">
        <f aca="false">IF($B168=AK$1,1,0)</f>
        <v>0</v>
      </c>
      <c r="AL168" s="4" t="n">
        <f aca="false">IF($B168=AL$1,1,0)</f>
        <v>0</v>
      </c>
      <c r="AM168" s="4" t="n">
        <f aca="false">IF($B168=AM$1,1,0)</f>
        <v>0</v>
      </c>
      <c r="AN168" s="4" t="n">
        <f aca="false">IF($B168=AN$1,1,0)</f>
        <v>0</v>
      </c>
      <c r="AO168" s="4" t="n">
        <f aca="false">IF($B168=AO$1,1,0)</f>
        <v>0</v>
      </c>
      <c r="AP168" s="4" t="n">
        <f aca="false">IF($B168=AP$1,1,0)</f>
        <v>0</v>
      </c>
      <c r="AQ168" s="4" t="n">
        <f aca="false">IF($B168=AQ$1,1,0)</f>
        <v>0</v>
      </c>
      <c r="AR168" s="4" t="n">
        <f aca="false">IF($B168=AR$1,1,0)</f>
        <v>0</v>
      </c>
      <c r="AS168" s="4" t="n">
        <f aca="false">IF($B168=AS$1,1,0)</f>
        <v>0</v>
      </c>
      <c r="AT168" s="4" t="n">
        <f aca="false">IF($B168=AT$1,1,0)</f>
        <v>0</v>
      </c>
      <c r="BB168" s="4" t="n">
        <f aca="false">A168</f>
        <v>167</v>
      </c>
      <c r="BC168" s="7" t="n">
        <f aca="false">ABS($T168-$AX$2)+ABS($U168-$AY$2)+ABS($V168-$AZ$2)</f>
        <v>31060.2887323944</v>
      </c>
      <c r="BD168" s="7" t="n">
        <f aca="false">ABS($T168-$AX$3)+ABS($U168-$AY$3)+ABS($V168-$AZ$3)</f>
        <v>7228.64406779661</v>
      </c>
      <c r="BE168" s="7" t="n">
        <f aca="false">ABS($T168-$AX$4)+ABS($U168-$AY$4)+ABS($V168-$AZ$4)</f>
        <v>23909.6037735849</v>
      </c>
      <c r="BF168" s="7" t="n">
        <f aca="false">MIN(BC168:BE168)</f>
        <v>7228.64406779661</v>
      </c>
      <c r="BG168" s="4" t="n">
        <f aca="false">MATCH(BF168,BC168:BE168,0)</f>
        <v>2</v>
      </c>
      <c r="BH168" s="8" t="n">
        <v>2</v>
      </c>
      <c r="BI168" s="4" t="n">
        <f aca="false">IF(BG168=BH168,0,1)</f>
        <v>0</v>
      </c>
      <c r="BK168" s="8" t="n">
        <v>2</v>
      </c>
      <c r="BL168" s="8" t="n">
        <v>2</v>
      </c>
      <c r="BM168" s="8" t="n">
        <v>2</v>
      </c>
    </row>
    <row r="169" customFormat="false" ht="15" hidden="false" customHeight="false" outlineLevel="0" collapsed="false">
      <c r="A169" s="3" t="n">
        <v>168</v>
      </c>
      <c r="B169" s="3" t="s">
        <v>42</v>
      </c>
      <c r="C169" s="3" t="n">
        <v>0</v>
      </c>
      <c r="D169" s="3" t="n">
        <v>0</v>
      </c>
      <c r="E169" s="3" t="n">
        <v>1</v>
      </c>
      <c r="F169" s="3" t="n">
        <v>0</v>
      </c>
      <c r="G169" s="3" t="n">
        <v>0</v>
      </c>
      <c r="H169" s="3" t="n">
        <v>5</v>
      </c>
      <c r="I169" s="3" t="n">
        <v>5</v>
      </c>
      <c r="J169" s="3" t="n">
        <v>5</v>
      </c>
      <c r="K169" s="3" t="n">
        <v>5</v>
      </c>
      <c r="L169" s="3" t="n">
        <v>5</v>
      </c>
      <c r="M169" s="3" t="n">
        <v>4</v>
      </c>
      <c r="N169" s="3" t="n">
        <v>3</v>
      </c>
      <c r="O169" s="3" t="n">
        <v>3</v>
      </c>
      <c r="P169" s="3" t="n">
        <v>2</v>
      </c>
      <c r="Q169" s="3" t="n">
        <v>5</v>
      </c>
      <c r="R169" s="3" t="n">
        <v>3</v>
      </c>
      <c r="S169" s="3" t="n">
        <v>4</v>
      </c>
      <c r="T169" s="3" t="n">
        <v>0</v>
      </c>
      <c r="U169" s="3" t="n">
        <v>52</v>
      </c>
      <c r="V169" s="3" t="n">
        <v>56406</v>
      </c>
      <c r="W169" s="3" t="n">
        <v>2</v>
      </c>
      <c r="X169" s="3" t="n">
        <v>1</v>
      </c>
      <c r="Y169" s="3" t="n">
        <v>2</v>
      </c>
      <c r="Z169" s="3" t="n">
        <v>1</v>
      </c>
      <c r="AA169" s="4" t="n">
        <f aca="false">IF($B169=AA$1,1,0)</f>
        <v>0</v>
      </c>
      <c r="AB169" s="4" t="n">
        <f aca="false">IF($B169=AB$1,1,0)</f>
        <v>0</v>
      </c>
      <c r="AC169" s="4" t="n">
        <f aca="false">IF($B169=AC$1,1,0)</f>
        <v>0</v>
      </c>
      <c r="AD169" s="4" t="n">
        <f aca="false">IF($B169=AD$1,1,0)</f>
        <v>0</v>
      </c>
      <c r="AE169" s="4" t="n">
        <f aca="false">IF($B169=AE$1,1,0)</f>
        <v>0</v>
      </c>
      <c r="AF169" s="4" t="n">
        <f aca="false">IF($B169=AF$1,1,0)</f>
        <v>0</v>
      </c>
      <c r="AG169" s="4" t="n">
        <f aca="false">IF($B169=AG$1,1,0)</f>
        <v>0</v>
      </c>
      <c r="AH169" s="4" t="n">
        <f aca="false">IF($B169=AH$1,1,0)</f>
        <v>0</v>
      </c>
      <c r="AI169" s="4" t="n">
        <f aca="false">IF($B169=AI$1,1,0)</f>
        <v>0</v>
      </c>
      <c r="AJ169" s="4" t="n">
        <f aca="false">IF($B169=AJ$1,1,0)</f>
        <v>0</v>
      </c>
      <c r="AK169" s="4" t="n">
        <f aca="false">IF($B169=AK$1,1,0)</f>
        <v>0</v>
      </c>
      <c r="AL169" s="4" t="n">
        <f aca="false">IF($B169=AL$1,1,0)</f>
        <v>0</v>
      </c>
      <c r="AM169" s="4" t="n">
        <f aca="false">IF($B169=AM$1,1,0)</f>
        <v>0</v>
      </c>
      <c r="AN169" s="4" t="n">
        <f aca="false">IF($B169=AN$1,1,0)</f>
        <v>0</v>
      </c>
      <c r="AO169" s="4" t="n">
        <f aca="false">IF($B169=AO$1,1,0)</f>
        <v>0</v>
      </c>
      <c r="AP169" s="4" t="n">
        <f aca="false">IF($B169=AP$1,1,0)</f>
        <v>0</v>
      </c>
      <c r="AQ169" s="4" t="n">
        <f aca="false">IF($B169=AQ$1,1,0)</f>
        <v>1</v>
      </c>
      <c r="AR169" s="4" t="n">
        <f aca="false">IF($B169=AR$1,1,0)</f>
        <v>0</v>
      </c>
      <c r="AS169" s="4" t="n">
        <f aca="false">IF($B169=AS$1,1,0)</f>
        <v>0</v>
      </c>
      <c r="AT169" s="4" t="n">
        <f aca="false">IF($B169=AT$1,1,0)</f>
        <v>0</v>
      </c>
      <c r="BB169" s="4" t="n">
        <f aca="false">A169</f>
        <v>168</v>
      </c>
      <c r="BC169" s="7" t="n">
        <f aca="false">ABS($T169-$AX$2)+ABS($U169-$AY$2)+ABS($V169-$AZ$2)</f>
        <v>33585.2887323944</v>
      </c>
      <c r="BD169" s="7" t="n">
        <f aca="false">ABS($T169-$AX$3)+ABS($U169-$AY$3)+ABS($V169-$AZ$3)</f>
        <v>9753.64406779661</v>
      </c>
      <c r="BE169" s="7" t="n">
        <f aca="false">ABS($T169-$AX$4)+ABS($U169-$AY$4)+ABS($V169-$AZ$4)</f>
        <v>21398.6037735849</v>
      </c>
      <c r="BF169" s="7" t="n">
        <f aca="false">MIN(BC169:BE169)</f>
        <v>9753.64406779661</v>
      </c>
      <c r="BG169" s="4" t="n">
        <f aca="false">MATCH(BF169,BC169:BE169,0)</f>
        <v>2</v>
      </c>
      <c r="BH169" s="8" t="n">
        <v>2</v>
      </c>
      <c r="BI169" s="4" t="n">
        <f aca="false">IF(BG169=BH169,0,1)</f>
        <v>0</v>
      </c>
      <c r="BK169" s="8" t="n">
        <v>2</v>
      </c>
      <c r="BL169" s="8" t="n">
        <v>2</v>
      </c>
      <c r="BM169" s="8" t="n">
        <v>2</v>
      </c>
    </row>
    <row r="170" customFormat="false" ht="15" hidden="false" customHeight="false" outlineLevel="0" collapsed="false">
      <c r="A170" s="3" t="n">
        <v>169</v>
      </c>
      <c r="B170" s="3" t="s">
        <v>35</v>
      </c>
      <c r="C170" s="3" t="n">
        <v>0</v>
      </c>
      <c r="D170" s="3" t="n">
        <v>0</v>
      </c>
      <c r="E170" s="3" t="n">
        <v>1</v>
      </c>
      <c r="F170" s="3" t="n">
        <v>0</v>
      </c>
      <c r="G170" s="3" t="n">
        <v>0</v>
      </c>
      <c r="H170" s="3" t="n">
        <v>5</v>
      </c>
      <c r="I170" s="3" t="n">
        <v>4</v>
      </c>
      <c r="J170" s="3" t="n">
        <v>5</v>
      </c>
      <c r="K170" s="3" t="n">
        <v>4</v>
      </c>
      <c r="L170" s="3" t="n">
        <v>5</v>
      </c>
      <c r="M170" s="3" t="n">
        <v>4</v>
      </c>
      <c r="N170" s="3" t="n">
        <v>3</v>
      </c>
      <c r="O170" s="3" t="n">
        <v>3</v>
      </c>
      <c r="P170" s="3" t="n">
        <v>2</v>
      </c>
      <c r="Q170" s="3" t="n">
        <v>4</v>
      </c>
      <c r="R170" s="3" t="n">
        <v>5</v>
      </c>
      <c r="S170" s="3" t="n">
        <v>4</v>
      </c>
      <c r="T170" s="3" t="n">
        <v>0</v>
      </c>
      <c r="U170" s="3" t="n">
        <v>50</v>
      </c>
      <c r="V170" s="3" t="n">
        <v>32828</v>
      </c>
      <c r="W170" s="3" t="n">
        <v>1</v>
      </c>
      <c r="X170" s="3" t="n">
        <v>4</v>
      </c>
      <c r="Y170" s="3" t="n">
        <v>2</v>
      </c>
      <c r="Z170" s="3" t="n">
        <v>2</v>
      </c>
      <c r="AA170" s="4" t="n">
        <f aca="false">IF($B170=AA$1,1,0)</f>
        <v>0</v>
      </c>
      <c r="AB170" s="4" t="n">
        <f aca="false">IF($B170=AB$1,1,0)</f>
        <v>0</v>
      </c>
      <c r="AC170" s="4" t="n">
        <f aca="false">IF($B170=AC$1,1,0)</f>
        <v>0</v>
      </c>
      <c r="AD170" s="4" t="n">
        <f aca="false">IF($B170=AD$1,1,0)</f>
        <v>0</v>
      </c>
      <c r="AE170" s="4" t="n">
        <f aca="false">IF($B170=AE$1,1,0)</f>
        <v>0</v>
      </c>
      <c r="AF170" s="4" t="n">
        <f aca="false">IF($B170=AF$1,1,0)</f>
        <v>0</v>
      </c>
      <c r="AG170" s="4" t="n">
        <f aca="false">IF($B170=AG$1,1,0)</f>
        <v>0</v>
      </c>
      <c r="AH170" s="4" t="n">
        <f aca="false">IF($B170=AH$1,1,0)</f>
        <v>0</v>
      </c>
      <c r="AI170" s="4" t="n">
        <f aca="false">IF($B170=AI$1,1,0)</f>
        <v>0</v>
      </c>
      <c r="AJ170" s="4" t="n">
        <f aca="false">IF($B170=AJ$1,1,0)</f>
        <v>1</v>
      </c>
      <c r="AK170" s="4" t="n">
        <f aca="false">IF($B170=AK$1,1,0)</f>
        <v>0</v>
      </c>
      <c r="AL170" s="4" t="n">
        <f aca="false">IF($B170=AL$1,1,0)</f>
        <v>0</v>
      </c>
      <c r="AM170" s="4" t="n">
        <f aca="false">IF($B170=AM$1,1,0)</f>
        <v>0</v>
      </c>
      <c r="AN170" s="4" t="n">
        <f aca="false">IF($B170=AN$1,1,0)</f>
        <v>0</v>
      </c>
      <c r="AO170" s="4" t="n">
        <f aca="false">IF($B170=AO$1,1,0)</f>
        <v>0</v>
      </c>
      <c r="AP170" s="4" t="n">
        <f aca="false">IF($B170=AP$1,1,0)</f>
        <v>0</v>
      </c>
      <c r="AQ170" s="4" t="n">
        <f aca="false">IF($B170=AQ$1,1,0)</f>
        <v>0</v>
      </c>
      <c r="AR170" s="4" t="n">
        <f aca="false">IF($B170=AR$1,1,0)</f>
        <v>0</v>
      </c>
      <c r="AS170" s="4" t="n">
        <f aca="false">IF($B170=AS$1,1,0)</f>
        <v>0</v>
      </c>
      <c r="AT170" s="4" t="n">
        <f aca="false">IF($B170=AT$1,1,0)</f>
        <v>0</v>
      </c>
      <c r="BB170" s="4" t="n">
        <f aca="false">A170</f>
        <v>169</v>
      </c>
      <c r="BC170" s="7" t="n">
        <f aca="false">ABS($T170-$AX$2)+ABS($U170-$AY$2)+ABS($V170-$AZ$2)</f>
        <v>10005.2887323944</v>
      </c>
      <c r="BD170" s="7" t="n">
        <f aca="false">ABS($T170-$AX$3)+ABS($U170-$AY$3)+ABS($V170-$AZ$3)</f>
        <v>13843.9661016949</v>
      </c>
      <c r="BE170" s="7" t="n">
        <f aca="false">ABS($T170-$AX$4)+ABS($U170-$AY$4)+ABS($V170-$AZ$4)</f>
        <v>44974.6037735849</v>
      </c>
      <c r="BF170" s="7" t="n">
        <f aca="false">MIN(BC170:BE170)</f>
        <v>10005.2887323944</v>
      </c>
      <c r="BG170" s="4" t="n">
        <f aca="false">MATCH(BF170,BC170:BE170,0)</f>
        <v>1</v>
      </c>
      <c r="BH170" s="8" t="n">
        <v>1</v>
      </c>
      <c r="BI170" s="4" t="n">
        <f aca="false">IF(BG170=BH170,0,1)</f>
        <v>0</v>
      </c>
      <c r="BK170" s="8" t="n">
        <v>2</v>
      </c>
      <c r="BL170" s="8" t="n">
        <v>1</v>
      </c>
      <c r="BM170" s="8" t="n">
        <v>1</v>
      </c>
    </row>
    <row r="171" customFormat="false" ht="15" hidden="false" customHeight="false" outlineLevel="0" collapsed="false">
      <c r="A171" s="3" t="n">
        <v>170</v>
      </c>
      <c r="B171" s="3" t="s">
        <v>33</v>
      </c>
      <c r="C171" s="3" t="n">
        <v>1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5</v>
      </c>
      <c r="I171" s="3" t="n">
        <v>5</v>
      </c>
      <c r="J171" s="3" t="n">
        <v>5</v>
      </c>
      <c r="K171" s="3" t="n">
        <v>5</v>
      </c>
      <c r="L171" s="3" t="n">
        <v>5</v>
      </c>
      <c r="M171" s="3" t="n">
        <v>5</v>
      </c>
      <c r="N171" s="3" t="n">
        <v>3</v>
      </c>
      <c r="O171" s="3" t="n">
        <v>4</v>
      </c>
      <c r="P171" s="3" t="n">
        <v>4</v>
      </c>
      <c r="Q171" s="3" t="n">
        <v>5</v>
      </c>
      <c r="R171" s="3" t="n">
        <v>4</v>
      </c>
      <c r="S171" s="3" t="n">
        <v>3</v>
      </c>
      <c r="T171" s="3" t="n">
        <v>0</v>
      </c>
      <c r="U171" s="3" t="n">
        <v>45</v>
      </c>
      <c r="V171" s="3" t="n">
        <v>45038</v>
      </c>
      <c r="W171" s="3" t="n">
        <v>3</v>
      </c>
      <c r="X171" s="3" t="n">
        <v>2</v>
      </c>
      <c r="Y171" s="3" t="n">
        <v>1</v>
      </c>
      <c r="Z171" s="3" t="n">
        <v>2</v>
      </c>
      <c r="AA171" s="4" t="n">
        <f aca="false">IF($B171=AA$1,1,0)</f>
        <v>0</v>
      </c>
      <c r="AB171" s="4" t="n">
        <f aca="false">IF($B171=AB$1,1,0)</f>
        <v>0</v>
      </c>
      <c r="AC171" s="4" t="n">
        <f aca="false">IF($B171=AC$1,1,0)</f>
        <v>0</v>
      </c>
      <c r="AD171" s="4" t="n">
        <f aca="false">IF($B171=AD$1,1,0)</f>
        <v>0</v>
      </c>
      <c r="AE171" s="4" t="n">
        <f aca="false">IF($B171=AE$1,1,0)</f>
        <v>0</v>
      </c>
      <c r="AF171" s="4" t="n">
        <f aca="false">IF($B171=AF$1,1,0)</f>
        <v>0</v>
      </c>
      <c r="AG171" s="4" t="n">
        <f aca="false">IF($B171=AG$1,1,0)</f>
        <v>0</v>
      </c>
      <c r="AH171" s="4" t="n">
        <f aca="false">IF($B171=AH$1,1,0)</f>
        <v>1</v>
      </c>
      <c r="AI171" s="4" t="n">
        <f aca="false">IF($B171=AI$1,1,0)</f>
        <v>0</v>
      </c>
      <c r="AJ171" s="4" t="n">
        <f aca="false">IF($B171=AJ$1,1,0)</f>
        <v>0</v>
      </c>
      <c r="AK171" s="4" t="n">
        <f aca="false">IF($B171=AK$1,1,0)</f>
        <v>0</v>
      </c>
      <c r="AL171" s="4" t="n">
        <f aca="false">IF($B171=AL$1,1,0)</f>
        <v>0</v>
      </c>
      <c r="AM171" s="4" t="n">
        <f aca="false">IF($B171=AM$1,1,0)</f>
        <v>0</v>
      </c>
      <c r="AN171" s="4" t="n">
        <f aca="false">IF($B171=AN$1,1,0)</f>
        <v>0</v>
      </c>
      <c r="AO171" s="4" t="n">
        <f aca="false">IF($B171=AO$1,1,0)</f>
        <v>0</v>
      </c>
      <c r="AP171" s="4" t="n">
        <f aca="false">IF($B171=AP$1,1,0)</f>
        <v>0</v>
      </c>
      <c r="AQ171" s="4" t="n">
        <f aca="false">IF($B171=AQ$1,1,0)</f>
        <v>0</v>
      </c>
      <c r="AR171" s="4" t="n">
        <f aca="false">IF($B171=AR$1,1,0)</f>
        <v>0</v>
      </c>
      <c r="AS171" s="4" t="n">
        <f aca="false">IF($B171=AS$1,1,0)</f>
        <v>0</v>
      </c>
      <c r="AT171" s="4" t="n">
        <f aca="false">IF($B171=AT$1,1,0)</f>
        <v>0</v>
      </c>
      <c r="BB171" s="4" t="n">
        <f aca="false">A171</f>
        <v>170</v>
      </c>
      <c r="BC171" s="7" t="n">
        <f aca="false">ABS($T171-$AX$2)+ABS($U171-$AY$2)+ABS($V171-$AZ$2)</f>
        <v>22210.2887323944</v>
      </c>
      <c r="BD171" s="7" t="n">
        <f aca="false">ABS($T171-$AX$3)+ABS($U171-$AY$3)+ABS($V171-$AZ$3)</f>
        <v>1628.96610169492</v>
      </c>
      <c r="BE171" s="7" t="n">
        <f aca="false">ABS($T171-$AX$4)+ABS($U171-$AY$4)+ABS($V171-$AZ$4)</f>
        <v>32759.6037735849</v>
      </c>
      <c r="BF171" s="7" t="n">
        <f aca="false">MIN(BC171:BE171)</f>
        <v>1628.96610169492</v>
      </c>
      <c r="BG171" s="4" t="n">
        <f aca="false">MATCH(BF171,BC171:BE171,0)</f>
        <v>2</v>
      </c>
      <c r="BH171" s="8" t="n">
        <v>2</v>
      </c>
      <c r="BI171" s="4" t="n">
        <f aca="false">IF(BG171=BH171,0,1)</f>
        <v>0</v>
      </c>
      <c r="BK171" s="8" t="n">
        <v>2</v>
      </c>
      <c r="BL171" s="8" t="n">
        <v>2</v>
      </c>
      <c r="BM171" s="8" t="n">
        <v>2</v>
      </c>
    </row>
    <row r="172" customFormat="false" ht="15" hidden="false" customHeight="false" outlineLevel="0" collapsed="false">
      <c r="A172" s="3" t="n">
        <v>171</v>
      </c>
      <c r="B172" s="3" t="s">
        <v>42</v>
      </c>
      <c r="C172" s="3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1</v>
      </c>
      <c r="I172" s="3" t="n">
        <v>1</v>
      </c>
      <c r="J172" s="3" t="n">
        <v>4</v>
      </c>
      <c r="K172" s="3" t="n">
        <v>4</v>
      </c>
      <c r="L172" s="3" t="n">
        <v>5</v>
      </c>
      <c r="M172" s="3" t="n">
        <v>4</v>
      </c>
      <c r="N172" s="3" t="n">
        <v>2</v>
      </c>
      <c r="O172" s="3" t="n">
        <v>3</v>
      </c>
      <c r="P172" s="3" t="n">
        <v>3</v>
      </c>
      <c r="Q172" s="3" t="n">
        <v>3</v>
      </c>
      <c r="R172" s="3" t="n">
        <v>4</v>
      </c>
      <c r="S172" s="3" t="n">
        <v>3</v>
      </c>
      <c r="T172" s="3" t="n">
        <v>0</v>
      </c>
      <c r="U172" s="3" t="n">
        <v>41</v>
      </c>
      <c r="V172" s="3" t="n">
        <v>53955</v>
      </c>
      <c r="W172" s="3" t="n">
        <v>3</v>
      </c>
      <c r="X172" s="3" t="n">
        <v>4</v>
      </c>
      <c r="Y172" s="3" t="n">
        <v>3</v>
      </c>
      <c r="Z172" s="3" t="n">
        <v>3</v>
      </c>
      <c r="AA172" s="4" t="n">
        <f aca="false">IF($B172=AA$1,1,0)</f>
        <v>0</v>
      </c>
      <c r="AB172" s="4" t="n">
        <f aca="false">IF($B172=AB$1,1,0)</f>
        <v>0</v>
      </c>
      <c r="AC172" s="4" t="n">
        <f aca="false">IF($B172=AC$1,1,0)</f>
        <v>0</v>
      </c>
      <c r="AD172" s="4" t="n">
        <f aca="false">IF($B172=AD$1,1,0)</f>
        <v>0</v>
      </c>
      <c r="AE172" s="4" t="n">
        <f aca="false">IF($B172=AE$1,1,0)</f>
        <v>0</v>
      </c>
      <c r="AF172" s="4" t="n">
        <f aca="false">IF($B172=AF$1,1,0)</f>
        <v>0</v>
      </c>
      <c r="AG172" s="4" t="n">
        <f aca="false">IF($B172=AG$1,1,0)</f>
        <v>0</v>
      </c>
      <c r="AH172" s="4" t="n">
        <f aca="false">IF($B172=AH$1,1,0)</f>
        <v>0</v>
      </c>
      <c r="AI172" s="4" t="n">
        <f aca="false">IF($B172=AI$1,1,0)</f>
        <v>0</v>
      </c>
      <c r="AJ172" s="4" t="n">
        <f aca="false">IF($B172=AJ$1,1,0)</f>
        <v>0</v>
      </c>
      <c r="AK172" s="4" t="n">
        <f aca="false">IF($B172=AK$1,1,0)</f>
        <v>0</v>
      </c>
      <c r="AL172" s="4" t="n">
        <f aca="false">IF($B172=AL$1,1,0)</f>
        <v>0</v>
      </c>
      <c r="AM172" s="4" t="n">
        <f aca="false">IF($B172=AM$1,1,0)</f>
        <v>0</v>
      </c>
      <c r="AN172" s="4" t="n">
        <f aca="false">IF($B172=AN$1,1,0)</f>
        <v>0</v>
      </c>
      <c r="AO172" s="4" t="n">
        <f aca="false">IF($B172=AO$1,1,0)</f>
        <v>0</v>
      </c>
      <c r="AP172" s="4" t="n">
        <f aca="false">IF($B172=AP$1,1,0)</f>
        <v>0</v>
      </c>
      <c r="AQ172" s="4" t="n">
        <f aca="false">IF($B172=AQ$1,1,0)</f>
        <v>1</v>
      </c>
      <c r="AR172" s="4" t="n">
        <f aca="false">IF($B172=AR$1,1,0)</f>
        <v>0</v>
      </c>
      <c r="AS172" s="4" t="n">
        <f aca="false">IF($B172=AS$1,1,0)</f>
        <v>0</v>
      </c>
      <c r="AT172" s="4" t="n">
        <f aca="false">IF($B172=AT$1,1,0)</f>
        <v>0</v>
      </c>
      <c r="BB172" s="4" t="n">
        <f aca="false">A172</f>
        <v>171</v>
      </c>
      <c r="BC172" s="7" t="n">
        <f aca="false">ABS($T172-$AX$2)+ABS($U172-$AY$2)+ABS($V172-$AZ$2)</f>
        <v>31123.2887323944</v>
      </c>
      <c r="BD172" s="7" t="n">
        <f aca="false">ABS($T172-$AX$3)+ABS($U172-$AY$3)+ABS($V172-$AZ$3)</f>
        <v>7292.40677966102</v>
      </c>
      <c r="BE172" s="7" t="n">
        <f aca="false">ABS($T172-$AX$4)+ABS($U172-$AY$4)+ABS($V172-$AZ$4)</f>
        <v>23840.641509434</v>
      </c>
      <c r="BF172" s="7" t="n">
        <f aca="false">MIN(BC172:BE172)</f>
        <v>7292.40677966102</v>
      </c>
      <c r="BG172" s="4" t="n">
        <f aca="false">MATCH(BF172,BC172:BE172,0)</f>
        <v>2</v>
      </c>
      <c r="BH172" s="8" t="n">
        <v>2</v>
      </c>
      <c r="BI172" s="4" t="n">
        <f aca="false">IF(BG172=BH172,0,1)</f>
        <v>0</v>
      </c>
      <c r="BK172" s="8" t="n">
        <v>2</v>
      </c>
      <c r="BL172" s="8" t="n">
        <v>2</v>
      </c>
      <c r="BM172" s="8" t="n">
        <v>2</v>
      </c>
    </row>
    <row r="173" customFormat="false" ht="15" hidden="false" customHeight="false" outlineLevel="0" collapsed="false">
      <c r="A173" s="3" t="n">
        <v>172</v>
      </c>
      <c r="B173" s="3" t="s">
        <v>38</v>
      </c>
      <c r="C173" s="3" t="n">
        <v>0</v>
      </c>
      <c r="D173" s="3" t="n">
        <v>0</v>
      </c>
      <c r="E173" s="3" t="n">
        <v>1</v>
      </c>
      <c r="F173" s="3" t="n">
        <v>0</v>
      </c>
      <c r="G173" s="3" t="n">
        <v>0</v>
      </c>
      <c r="H173" s="3" t="n">
        <v>5</v>
      </c>
      <c r="I173" s="3" t="n">
        <v>4</v>
      </c>
      <c r="J173" s="3" t="n">
        <v>5</v>
      </c>
      <c r="K173" s="3" t="n">
        <v>5</v>
      </c>
      <c r="L173" s="3" t="n">
        <v>5</v>
      </c>
      <c r="M173" s="3" t="n">
        <v>5</v>
      </c>
      <c r="N173" s="3" t="n">
        <v>5</v>
      </c>
      <c r="O173" s="3" t="n">
        <v>4</v>
      </c>
      <c r="P173" s="3" t="n">
        <v>4</v>
      </c>
      <c r="Q173" s="3" t="n">
        <v>5</v>
      </c>
      <c r="R173" s="3" t="n">
        <v>5</v>
      </c>
      <c r="S173" s="3" t="n">
        <v>5</v>
      </c>
      <c r="T173" s="3" t="n">
        <v>0</v>
      </c>
      <c r="U173" s="3" t="n">
        <v>30</v>
      </c>
      <c r="V173" s="3" t="n">
        <v>28178</v>
      </c>
      <c r="W173" s="3" t="n">
        <v>1</v>
      </c>
      <c r="X173" s="3" t="n">
        <v>2</v>
      </c>
      <c r="Y173" s="3" t="n">
        <v>2</v>
      </c>
      <c r="Z173" s="3" t="n">
        <v>2</v>
      </c>
      <c r="AA173" s="4" t="n">
        <f aca="false">IF($B173=AA$1,1,0)</f>
        <v>0</v>
      </c>
      <c r="AB173" s="4" t="n">
        <f aca="false">IF($B173=AB$1,1,0)</f>
        <v>0</v>
      </c>
      <c r="AC173" s="4" t="n">
        <f aca="false">IF($B173=AC$1,1,0)</f>
        <v>0</v>
      </c>
      <c r="AD173" s="4" t="n">
        <f aca="false">IF($B173=AD$1,1,0)</f>
        <v>0</v>
      </c>
      <c r="AE173" s="4" t="n">
        <f aca="false">IF($B173=AE$1,1,0)</f>
        <v>0</v>
      </c>
      <c r="AF173" s="4" t="n">
        <f aca="false">IF($B173=AF$1,1,0)</f>
        <v>0</v>
      </c>
      <c r="AG173" s="4" t="n">
        <f aca="false">IF($B173=AG$1,1,0)</f>
        <v>0</v>
      </c>
      <c r="AH173" s="4" t="n">
        <f aca="false">IF($B173=AH$1,1,0)</f>
        <v>0</v>
      </c>
      <c r="AI173" s="4" t="n">
        <f aca="false">IF($B173=AI$1,1,0)</f>
        <v>0</v>
      </c>
      <c r="AJ173" s="4" t="n">
        <f aca="false">IF($B173=AJ$1,1,0)</f>
        <v>0</v>
      </c>
      <c r="AK173" s="4" t="n">
        <f aca="false">IF($B173=AK$1,1,0)</f>
        <v>0</v>
      </c>
      <c r="AL173" s="4" t="n">
        <f aca="false">IF($B173=AL$1,1,0)</f>
        <v>0</v>
      </c>
      <c r="AM173" s="4" t="n">
        <f aca="false">IF($B173=AM$1,1,0)</f>
        <v>1</v>
      </c>
      <c r="AN173" s="4" t="n">
        <f aca="false">IF($B173=AN$1,1,0)</f>
        <v>0</v>
      </c>
      <c r="AO173" s="4" t="n">
        <f aca="false">IF($B173=AO$1,1,0)</f>
        <v>0</v>
      </c>
      <c r="AP173" s="4" t="n">
        <f aca="false">IF($B173=AP$1,1,0)</f>
        <v>0</v>
      </c>
      <c r="AQ173" s="4" t="n">
        <f aca="false">IF($B173=AQ$1,1,0)</f>
        <v>0</v>
      </c>
      <c r="AR173" s="4" t="n">
        <f aca="false">IF($B173=AR$1,1,0)</f>
        <v>0</v>
      </c>
      <c r="AS173" s="4" t="n">
        <f aca="false">IF($B173=AS$1,1,0)</f>
        <v>0</v>
      </c>
      <c r="AT173" s="4" t="n">
        <f aca="false">IF($B173=AT$1,1,0)</f>
        <v>0</v>
      </c>
      <c r="BB173" s="4" t="n">
        <f aca="false">A173</f>
        <v>172</v>
      </c>
      <c r="BC173" s="7" t="n">
        <f aca="false">ABS($T173-$AX$2)+ABS($U173-$AY$2)+ABS($V173-$AZ$2)</f>
        <v>5352.7676056338</v>
      </c>
      <c r="BD173" s="7" t="n">
        <f aca="false">ABS($T173-$AX$3)+ABS($U173-$AY$3)+ABS($V173-$AZ$3)</f>
        <v>18496.7288135593</v>
      </c>
      <c r="BE173" s="7" t="n">
        <f aca="false">ABS($T173-$AX$4)+ABS($U173-$AY$4)+ABS($V173-$AZ$4)</f>
        <v>49628.641509434</v>
      </c>
      <c r="BF173" s="7" t="n">
        <f aca="false">MIN(BC173:BE173)</f>
        <v>5352.7676056338</v>
      </c>
      <c r="BG173" s="4" t="n">
        <f aca="false">MATCH(BF173,BC173:BE173,0)</f>
        <v>1</v>
      </c>
      <c r="BH173" s="8" t="n">
        <v>1</v>
      </c>
      <c r="BI173" s="4" t="n">
        <f aca="false">IF(BG173=BH173,0,1)</f>
        <v>0</v>
      </c>
      <c r="BK173" s="8" t="n">
        <v>1</v>
      </c>
      <c r="BL173" s="8" t="n">
        <v>1</v>
      </c>
      <c r="BM173" s="8" t="n">
        <v>1</v>
      </c>
    </row>
    <row r="174" customFormat="false" ht="15" hidden="false" customHeight="false" outlineLevel="0" collapsed="false">
      <c r="A174" s="3" t="n">
        <v>173</v>
      </c>
      <c r="B174" s="3" t="s">
        <v>33</v>
      </c>
      <c r="C174" s="3" t="n">
        <v>1</v>
      </c>
      <c r="D174" s="3" t="n">
        <v>0</v>
      </c>
      <c r="E174" s="3" t="n">
        <v>0</v>
      </c>
      <c r="F174" s="3" t="n">
        <v>0</v>
      </c>
      <c r="G174" s="3" t="n">
        <v>4</v>
      </c>
      <c r="H174" s="3" t="n">
        <v>4</v>
      </c>
      <c r="I174" s="3" t="n">
        <v>4</v>
      </c>
      <c r="J174" s="3" t="n">
        <v>5</v>
      </c>
      <c r="K174" s="3" t="n">
        <v>4</v>
      </c>
      <c r="L174" s="3" t="n">
        <v>5</v>
      </c>
      <c r="M174" s="3" t="n">
        <v>4</v>
      </c>
      <c r="N174" s="3" t="n">
        <v>5</v>
      </c>
      <c r="O174" s="3" t="n">
        <v>5</v>
      </c>
      <c r="P174" s="3" t="n">
        <v>5</v>
      </c>
      <c r="Q174" s="3" t="n">
        <v>5</v>
      </c>
      <c r="R174" s="3" t="n">
        <v>5</v>
      </c>
      <c r="S174" s="3" t="n">
        <v>5</v>
      </c>
      <c r="T174" s="3" t="n">
        <v>0</v>
      </c>
      <c r="U174" s="3" t="n">
        <v>31</v>
      </c>
      <c r="V174" s="3" t="n">
        <v>39398</v>
      </c>
      <c r="W174" s="3" t="n">
        <v>3</v>
      </c>
      <c r="X174" s="3" t="n">
        <v>2</v>
      </c>
      <c r="Y174" s="3" t="n">
        <v>1</v>
      </c>
      <c r="Z174" s="3" t="n">
        <v>2</v>
      </c>
      <c r="AA174" s="4" t="n">
        <f aca="false">IF($B174=AA$1,1,0)</f>
        <v>0</v>
      </c>
      <c r="AB174" s="4" t="n">
        <f aca="false">IF($B174=AB$1,1,0)</f>
        <v>0</v>
      </c>
      <c r="AC174" s="4" t="n">
        <f aca="false">IF($B174=AC$1,1,0)</f>
        <v>0</v>
      </c>
      <c r="AD174" s="4" t="n">
        <f aca="false">IF($B174=AD$1,1,0)</f>
        <v>0</v>
      </c>
      <c r="AE174" s="4" t="n">
        <f aca="false">IF($B174=AE$1,1,0)</f>
        <v>0</v>
      </c>
      <c r="AF174" s="4" t="n">
        <f aca="false">IF($B174=AF$1,1,0)</f>
        <v>0</v>
      </c>
      <c r="AG174" s="4" t="n">
        <f aca="false">IF($B174=AG$1,1,0)</f>
        <v>0</v>
      </c>
      <c r="AH174" s="4" t="n">
        <f aca="false">IF($B174=AH$1,1,0)</f>
        <v>1</v>
      </c>
      <c r="AI174" s="4" t="n">
        <f aca="false">IF($B174=AI$1,1,0)</f>
        <v>0</v>
      </c>
      <c r="AJ174" s="4" t="n">
        <f aca="false">IF($B174=AJ$1,1,0)</f>
        <v>0</v>
      </c>
      <c r="AK174" s="4" t="n">
        <f aca="false">IF($B174=AK$1,1,0)</f>
        <v>0</v>
      </c>
      <c r="AL174" s="4" t="n">
        <f aca="false">IF($B174=AL$1,1,0)</f>
        <v>0</v>
      </c>
      <c r="AM174" s="4" t="n">
        <f aca="false">IF($B174=AM$1,1,0)</f>
        <v>0</v>
      </c>
      <c r="AN174" s="4" t="n">
        <f aca="false">IF($B174=AN$1,1,0)</f>
        <v>0</v>
      </c>
      <c r="AO174" s="4" t="n">
        <f aca="false">IF($B174=AO$1,1,0)</f>
        <v>0</v>
      </c>
      <c r="AP174" s="4" t="n">
        <f aca="false">IF($B174=AP$1,1,0)</f>
        <v>0</v>
      </c>
      <c r="AQ174" s="4" t="n">
        <f aca="false">IF($B174=AQ$1,1,0)</f>
        <v>0</v>
      </c>
      <c r="AR174" s="4" t="n">
        <f aca="false">IF($B174=AR$1,1,0)</f>
        <v>0</v>
      </c>
      <c r="AS174" s="4" t="n">
        <f aca="false">IF($B174=AS$1,1,0)</f>
        <v>0</v>
      </c>
      <c r="AT174" s="4" t="n">
        <f aca="false">IF($B174=AT$1,1,0)</f>
        <v>0</v>
      </c>
      <c r="BB174" s="4" t="n">
        <f aca="false">A174</f>
        <v>173</v>
      </c>
      <c r="BC174" s="7" t="n">
        <f aca="false">ABS($T174-$AX$2)+ABS($U174-$AY$2)+ABS($V174-$AZ$2)</f>
        <v>16571.7676056338</v>
      </c>
      <c r="BD174" s="7" t="n">
        <f aca="false">ABS($T174-$AX$3)+ABS($U174-$AY$3)+ABS($V174-$AZ$3)</f>
        <v>7275.72881355932</v>
      </c>
      <c r="BE174" s="7" t="n">
        <f aca="false">ABS($T174-$AX$4)+ABS($U174-$AY$4)+ABS($V174-$AZ$4)</f>
        <v>38407.641509434</v>
      </c>
      <c r="BF174" s="7" t="n">
        <f aca="false">MIN(BC174:BE174)</f>
        <v>7275.72881355932</v>
      </c>
      <c r="BG174" s="4" t="n">
        <f aca="false">MATCH(BF174,BC174:BE174,0)</f>
        <v>2</v>
      </c>
      <c r="BH174" s="8" t="n">
        <v>2</v>
      </c>
      <c r="BI174" s="4" t="n">
        <f aca="false">IF(BG174=BH174,0,1)</f>
        <v>0</v>
      </c>
      <c r="BK174" s="8" t="n">
        <v>2</v>
      </c>
      <c r="BL174" s="8" t="n">
        <v>2</v>
      </c>
      <c r="BM174" s="8" t="n">
        <v>2</v>
      </c>
    </row>
    <row r="175" customFormat="false" ht="15" hidden="false" customHeight="false" outlineLevel="0" collapsed="false">
      <c r="A175" s="3" t="n">
        <v>174</v>
      </c>
      <c r="B175" s="3" t="s">
        <v>38</v>
      </c>
      <c r="C175" s="3" t="n">
        <v>0</v>
      </c>
      <c r="D175" s="3" t="n">
        <v>0</v>
      </c>
      <c r="E175" s="3" t="n">
        <v>1</v>
      </c>
      <c r="F175" s="3" t="n">
        <v>0</v>
      </c>
      <c r="G175" s="3" t="n">
        <v>0</v>
      </c>
      <c r="H175" s="3" t="n">
        <v>5</v>
      </c>
      <c r="I175" s="3" t="n">
        <v>4</v>
      </c>
      <c r="J175" s="3" t="n">
        <v>4</v>
      </c>
      <c r="K175" s="3" t="n">
        <v>5</v>
      </c>
      <c r="L175" s="3" t="n">
        <v>5</v>
      </c>
      <c r="M175" s="3" t="n">
        <v>3</v>
      </c>
      <c r="N175" s="3" t="n">
        <v>5</v>
      </c>
      <c r="O175" s="3" t="n">
        <v>3</v>
      </c>
      <c r="P175" s="3" t="n">
        <v>3</v>
      </c>
      <c r="Q175" s="3" t="n">
        <v>4</v>
      </c>
      <c r="R175" s="3" t="n">
        <v>4</v>
      </c>
      <c r="S175" s="3" t="n">
        <v>4</v>
      </c>
      <c r="T175" s="3" t="n">
        <v>1</v>
      </c>
      <c r="U175" s="3" t="n">
        <v>38</v>
      </c>
      <c r="V175" s="3" t="n">
        <v>18186</v>
      </c>
      <c r="W175" s="3" t="n">
        <v>1</v>
      </c>
      <c r="X175" s="3" t="n">
        <v>3</v>
      </c>
      <c r="Y175" s="3" t="n">
        <v>2</v>
      </c>
      <c r="Z175" s="3" t="n">
        <v>2</v>
      </c>
      <c r="AA175" s="4" t="n">
        <f aca="false">IF($B175=AA$1,1,0)</f>
        <v>0</v>
      </c>
      <c r="AB175" s="4" t="n">
        <f aca="false">IF($B175=AB$1,1,0)</f>
        <v>0</v>
      </c>
      <c r="AC175" s="4" t="n">
        <f aca="false">IF($B175=AC$1,1,0)</f>
        <v>0</v>
      </c>
      <c r="AD175" s="4" t="n">
        <f aca="false">IF($B175=AD$1,1,0)</f>
        <v>0</v>
      </c>
      <c r="AE175" s="4" t="n">
        <f aca="false">IF($B175=AE$1,1,0)</f>
        <v>0</v>
      </c>
      <c r="AF175" s="4" t="n">
        <f aca="false">IF($B175=AF$1,1,0)</f>
        <v>0</v>
      </c>
      <c r="AG175" s="4" t="n">
        <f aca="false">IF($B175=AG$1,1,0)</f>
        <v>0</v>
      </c>
      <c r="AH175" s="4" t="n">
        <f aca="false">IF($B175=AH$1,1,0)</f>
        <v>0</v>
      </c>
      <c r="AI175" s="4" t="n">
        <f aca="false">IF($B175=AI$1,1,0)</f>
        <v>0</v>
      </c>
      <c r="AJ175" s="4" t="n">
        <f aca="false">IF($B175=AJ$1,1,0)</f>
        <v>0</v>
      </c>
      <c r="AK175" s="4" t="n">
        <f aca="false">IF($B175=AK$1,1,0)</f>
        <v>0</v>
      </c>
      <c r="AL175" s="4" t="n">
        <f aca="false">IF($B175=AL$1,1,0)</f>
        <v>0</v>
      </c>
      <c r="AM175" s="4" t="n">
        <f aca="false">IF($B175=AM$1,1,0)</f>
        <v>1</v>
      </c>
      <c r="AN175" s="4" t="n">
        <f aca="false">IF($B175=AN$1,1,0)</f>
        <v>0</v>
      </c>
      <c r="AO175" s="4" t="n">
        <f aca="false">IF($B175=AO$1,1,0)</f>
        <v>0</v>
      </c>
      <c r="AP175" s="4" t="n">
        <f aca="false">IF($B175=AP$1,1,0)</f>
        <v>0</v>
      </c>
      <c r="AQ175" s="4" t="n">
        <f aca="false">IF($B175=AQ$1,1,0)</f>
        <v>0</v>
      </c>
      <c r="AR175" s="4" t="n">
        <f aca="false">IF($B175=AR$1,1,0)</f>
        <v>0</v>
      </c>
      <c r="AS175" s="4" t="n">
        <f aca="false">IF($B175=AS$1,1,0)</f>
        <v>0</v>
      </c>
      <c r="AT175" s="4" t="n">
        <f aca="false">IF($B175=AT$1,1,0)</f>
        <v>0</v>
      </c>
      <c r="BB175" s="4" t="n">
        <f aca="false">A175</f>
        <v>174</v>
      </c>
      <c r="BC175" s="7" t="n">
        <f aca="false">ABS($T175-$AX$2)+ABS($U175-$AY$2)+ABS($V175-$AZ$2)</f>
        <v>4649.71126760564</v>
      </c>
      <c r="BD175" s="7" t="n">
        <f aca="false">ABS($T175-$AX$3)+ABS($U175-$AY$3)+ABS($V175-$AZ$3)</f>
        <v>28481.3559322034</v>
      </c>
      <c r="BE175" s="7" t="n">
        <f aca="false">ABS($T175-$AX$4)+ABS($U175-$AY$4)+ABS($V175-$AZ$4)</f>
        <v>59613.1132075472</v>
      </c>
      <c r="BF175" s="7" t="n">
        <f aca="false">MIN(BC175:BE175)</f>
        <v>4649.71126760564</v>
      </c>
      <c r="BG175" s="4" t="n">
        <f aca="false">MATCH(BF175,BC175:BE175,0)</f>
        <v>1</v>
      </c>
      <c r="BH175" s="8" t="n">
        <v>1</v>
      </c>
      <c r="BI175" s="4" t="n">
        <f aca="false">IF(BG175=BH175,0,1)</f>
        <v>0</v>
      </c>
      <c r="BK175" s="8" t="n">
        <v>1</v>
      </c>
      <c r="BL175" s="8" t="n">
        <v>1</v>
      </c>
      <c r="BM175" s="8" t="n">
        <v>1</v>
      </c>
    </row>
    <row r="176" customFormat="false" ht="15" hidden="false" customHeight="false" outlineLevel="0" collapsed="false">
      <c r="A176" s="3" t="n">
        <v>175</v>
      </c>
      <c r="B176" s="3" t="s">
        <v>42</v>
      </c>
      <c r="C176" s="3" t="n">
        <v>0</v>
      </c>
      <c r="D176" s="3" t="n">
        <v>0</v>
      </c>
      <c r="E176" s="3" t="n">
        <v>1</v>
      </c>
      <c r="F176" s="3" t="n">
        <v>0</v>
      </c>
      <c r="G176" s="3" t="n">
        <v>0</v>
      </c>
      <c r="H176" s="3" t="n">
        <v>5</v>
      </c>
      <c r="I176" s="3" t="n">
        <v>4</v>
      </c>
      <c r="J176" s="3" t="n">
        <v>4</v>
      </c>
      <c r="K176" s="3" t="n">
        <v>5</v>
      </c>
      <c r="L176" s="3" t="n">
        <v>5</v>
      </c>
      <c r="M176" s="3" t="n">
        <v>4</v>
      </c>
      <c r="N176" s="3" t="n">
        <v>3</v>
      </c>
      <c r="O176" s="3" t="n">
        <v>3</v>
      </c>
      <c r="P176" s="3" t="n">
        <v>3</v>
      </c>
      <c r="Q176" s="3" t="n">
        <v>4</v>
      </c>
      <c r="R176" s="3" t="n">
        <v>3</v>
      </c>
      <c r="S176" s="3" t="n">
        <v>4</v>
      </c>
      <c r="T176" s="3" t="n">
        <v>0</v>
      </c>
      <c r="U176" s="3" t="n">
        <v>35</v>
      </c>
      <c r="V176" s="3" t="n">
        <v>11046</v>
      </c>
      <c r="W176" s="3" t="n">
        <v>1</v>
      </c>
      <c r="X176" s="3" t="n">
        <v>2</v>
      </c>
      <c r="Y176" s="3" t="n">
        <v>1</v>
      </c>
      <c r="Z176" s="3" t="n">
        <v>1</v>
      </c>
      <c r="AA176" s="4" t="n">
        <f aca="false">IF($B176=AA$1,1,0)</f>
        <v>0</v>
      </c>
      <c r="AB176" s="4" t="n">
        <f aca="false">IF($B176=AB$1,1,0)</f>
        <v>0</v>
      </c>
      <c r="AC176" s="4" t="n">
        <f aca="false">IF($B176=AC$1,1,0)</f>
        <v>0</v>
      </c>
      <c r="AD176" s="4" t="n">
        <f aca="false">IF($B176=AD$1,1,0)</f>
        <v>0</v>
      </c>
      <c r="AE176" s="4" t="n">
        <f aca="false">IF($B176=AE$1,1,0)</f>
        <v>0</v>
      </c>
      <c r="AF176" s="4" t="n">
        <f aca="false">IF($B176=AF$1,1,0)</f>
        <v>0</v>
      </c>
      <c r="AG176" s="4" t="n">
        <f aca="false">IF($B176=AG$1,1,0)</f>
        <v>0</v>
      </c>
      <c r="AH176" s="4" t="n">
        <f aca="false">IF($B176=AH$1,1,0)</f>
        <v>0</v>
      </c>
      <c r="AI176" s="4" t="n">
        <f aca="false">IF($B176=AI$1,1,0)</f>
        <v>0</v>
      </c>
      <c r="AJ176" s="4" t="n">
        <f aca="false">IF($B176=AJ$1,1,0)</f>
        <v>0</v>
      </c>
      <c r="AK176" s="4" t="n">
        <f aca="false">IF($B176=AK$1,1,0)</f>
        <v>0</v>
      </c>
      <c r="AL176" s="4" t="n">
        <f aca="false">IF($B176=AL$1,1,0)</f>
        <v>0</v>
      </c>
      <c r="AM176" s="4" t="n">
        <f aca="false">IF($B176=AM$1,1,0)</f>
        <v>0</v>
      </c>
      <c r="AN176" s="4" t="n">
        <f aca="false">IF($B176=AN$1,1,0)</f>
        <v>0</v>
      </c>
      <c r="AO176" s="4" t="n">
        <f aca="false">IF($B176=AO$1,1,0)</f>
        <v>0</v>
      </c>
      <c r="AP176" s="4" t="n">
        <f aca="false">IF($B176=AP$1,1,0)</f>
        <v>0</v>
      </c>
      <c r="AQ176" s="4" t="n">
        <f aca="false">IF($B176=AQ$1,1,0)</f>
        <v>1</v>
      </c>
      <c r="AR176" s="4" t="n">
        <f aca="false">IF($B176=AR$1,1,0)</f>
        <v>0</v>
      </c>
      <c r="AS176" s="4" t="n">
        <f aca="false">IF($B176=AS$1,1,0)</f>
        <v>0</v>
      </c>
      <c r="AT176" s="4" t="n">
        <f aca="false">IF($B176=AT$1,1,0)</f>
        <v>0</v>
      </c>
      <c r="BB176" s="4" t="n">
        <f aca="false">A176</f>
        <v>175</v>
      </c>
      <c r="BC176" s="7" t="n">
        <f aca="false">ABS($T176-$AX$2)+ABS($U176-$AY$2)+ABS($V176-$AZ$2)</f>
        <v>11792.1478873239</v>
      </c>
      <c r="BD176" s="7" t="n">
        <f aca="false">ABS($T176-$AX$3)+ABS($U176-$AY$3)+ABS($V176-$AZ$3)</f>
        <v>35623.7288135593</v>
      </c>
      <c r="BE176" s="7" t="n">
        <f aca="false">ABS($T176-$AX$4)+ABS($U176-$AY$4)+ABS($V176-$AZ$4)</f>
        <v>66755.641509434</v>
      </c>
      <c r="BF176" s="7" t="n">
        <f aca="false">MIN(BC176:BE176)</f>
        <v>11792.1478873239</v>
      </c>
      <c r="BG176" s="4" t="n">
        <f aca="false">MATCH(BF176,BC176:BE176,0)</f>
        <v>1</v>
      </c>
      <c r="BH176" s="8" t="n">
        <v>1</v>
      </c>
      <c r="BI176" s="4" t="n">
        <f aca="false">IF(BG176=BH176,0,1)</f>
        <v>0</v>
      </c>
      <c r="BK176" s="8" t="n">
        <v>1</v>
      </c>
      <c r="BL176" s="8" t="n">
        <v>1</v>
      </c>
      <c r="BM176" s="8" t="n">
        <v>1</v>
      </c>
    </row>
    <row r="177" customFormat="false" ht="15" hidden="false" customHeight="false" outlineLevel="0" collapsed="false">
      <c r="A177" s="3" t="n">
        <v>176</v>
      </c>
      <c r="B177" s="3" t="s">
        <v>42</v>
      </c>
      <c r="C177" s="3" t="n">
        <v>1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5</v>
      </c>
      <c r="I177" s="3" t="n">
        <v>5</v>
      </c>
      <c r="J177" s="3" t="n">
        <v>5</v>
      </c>
      <c r="K177" s="3" t="n">
        <v>5</v>
      </c>
      <c r="L177" s="3" t="n">
        <v>5</v>
      </c>
      <c r="M177" s="3" t="n">
        <v>5</v>
      </c>
      <c r="N177" s="3" t="n">
        <v>4</v>
      </c>
      <c r="O177" s="3" t="n">
        <v>4</v>
      </c>
      <c r="P177" s="3" t="n">
        <v>2</v>
      </c>
      <c r="Q177" s="3" t="n">
        <v>3</v>
      </c>
      <c r="R177" s="3" t="n">
        <v>3</v>
      </c>
      <c r="S177" s="3" t="n">
        <v>3</v>
      </c>
      <c r="T177" s="3" t="n">
        <v>0</v>
      </c>
      <c r="U177" s="3" t="n">
        <v>34</v>
      </c>
      <c r="V177" s="3" t="n">
        <v>44454</v>
      </c>
      <c r="W177" s="3" t="n">
        <v>1</v>
      </c>
      <c r="X177" s="3" t="n">
        <v>4</v>
      </c>
      <c r="Y177" s="3" t="n">
        <v>2</v>
      </c>
      <c r="Z177" s="3" t="n">
        <v>1</v>
      </c>
      <c r="AA177" s="4" t="n">
        <f aca="false">IF($B177=AA$1,1,0)</f>
        <v>0</v>
      </c>
      <c r="AB177" s="4" t="n">
        <f aca="false">IF($B177=AB$1,1,0)</f>
        <v>0</v>
      </c>
      <c r="AC177" s="4" t="n">
        <f aca="false">IF($B177=AC$1,1,0)</f>
        <v>0</v>
      </c>
      <c r="AD177" s="4" t="n">
        <f aca="false">IF($B177=AD$1,1,0)</f>
        <v>0</v>
      </c>
      <c r="AE177" s="4" t="n">
        <f aca="false">IF($B177=AE$1,1,0)</f>
        <v>0</v>
      </c>
      <c r="AF177" s="4" t="n">
        <f aca="false">IF($B177=AF$1,1,0)</f>
        <v>0</v>
      </c>
      <c r="AG177" s="4" t="n">
        <f aca="false">IF($B177=AG$1,1,0)</f>
        <v>0</v>
      </c>
      <c r="AH177" s="4" t="n">
        <f aca="false">IF($B177=AH$1,1,0)</f>
        <v>0</v>
      </c>
      <c r="AI177" s="4" t="n">
        <f aca="false">IF($B177=AI$1,1,0)</f>
        <v>0</v>
      </c>
      <c r="AJ177" s="4" t="n">
        <f aca="false">IF($B177=AJ$1,1,0)</f>
        <v>0</v>
      </c>
      <c r="AK177" s="4" t="n">
        <f aca="false">IF($B177=AK$1,1,0)</f>
        <v>0</v>
      </c>
      <c r="AL177" s="4" t="n">
        <f aca="false">IF($B177=AL$1,1,0)</f>
        <v>0</v>
      </c>
      <c r="AM177" s="4" t="n">
        <f aca="false">IF($B177=AM$1,1,0)</f>
        <v>0</v>
      </c>
      <c r="AN177" s="4" t="n">
        <f aca="false">IF($B177=AN$1,1,0)</f>
        <v>0</v>
      </c>
      <c r="AO177" s="4" t="n">
        <f aca="false">IF($B177=AO$1,1,0)</f>
        <v>0</v>
      </c>
      <c r="AP177" s="4" t="n">
        <f aca="false">IF($B177=AP$1,1,0)</f>
        <v>0</v>
      </c>
      <c r="AQ177" s="4" t="n">
        <f aca="false">IF($B177=AQ$1,1,0)</f>
        <v>1</v>
      </c>
      <c r="AR177" s="4" t="n">
        <f aca="false">IF($B177=AR$1,1,0)</f>
        <v>0</v>
      </c>
      <c r="AS177" s="4" t="n">
        <f aca="false">IF($B177=AS$1,1,0)</f>
        <v>0</v>
      </c>
      <c r="AT177" s="4" t="n">
        <f aca="false">IF($B177=AT$1,1,0)</f>
        <v>0</v>
      </c>
      <c r="BB177" s="4" t="n">
        <f aca="false">A177</f>
        <v>176</v>
      </c>
      <c r="BC177" s="7" t="n">
        <f aca="false">ABS($T177-$AX$2)+ABS($U177-$AY$2)+ABS($V177-$AZ$2)</f>
        <v>21624.7676056338</v>
      </c>
      <c r="BD177" s="7" t="n">
        <f aca="false">ABS($T177-$AX$3)+ABS($U177-$AY$3)+ABS($V177-$AZ$3)</f>
        <v>2216.72881355932</v>
      </c>
      <c r="BE177" s="7" t="n">
        <f aca="false">ABS($T177-$AX$4)+ABS($U177-$AY$4)+ABS($V177-$AZ$4)</f>
        <v>33348.641509434</v>
      </c>
      <c r="BF177" s="7" t="n">
        <f aca="false">MIN(BC177:BE177)</f>
        <v>2216.72881355932</v>
      </c>
      <c r="BG177" s="4" t="n">
        <f aca="false">MATCH(BF177,BC177:BE177,0)</f>
        <v>2</v>
      </c>
      <c r="BH177" s="8" t="n">
        <v>2</v>
      </c>
      <c r="BI177" s="4" t="n">
        <f aca="false">IF(BG177=BH177,0,1)</f>
        <v>0</v>
      </c>
      <c r="BK177" s="8" t="n">
        <v>2</v>
      </c>
      <c r="BL177" s="8" t="n">
        <v>2</v>
      </c>
      <c r="BM177" s="8" t="n">
        <v>2</v>
      </c>
    </row>
    <row r="178" customFormat="false" ht="15" hidden="false" customHeight="false" outlineLevel="0" collapsed="false">
      <c r="A178" s="3" t="n">
        <v>177</v>
      </c>
      <c r="B178" s="3" t="s">
        <v>33</v>
      </c>
      <c r="C178" s="3" t="n">
        <v>1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5</v>
      </c>
      <c r="I178" s="3" t="n">
        <v>5</v>
      </c>
      <c r="J178" s="3" t="n">
        <v>5</v>
      </c>
      <c r="K178" s="3" t="n">
        <v>5</v>
      </c>
      <c r="L178" s="3" t="n">
        <v>5</v>
      </c>
      <c r="M178" s="3" t="n">
        <v>5</v>
      </c>
      <c r="N178" s="3" t="n">
        <v>3</v>
      </c>
      <c r="O178" s="3" t="n">
        <v>3</v>
      </c>
      <c r="P178" s="3" t="n">
        <v>3</v>
      </c>
      <c r="Q178" s="3" t="n">
        <v>4</v>
      </c>
      <c r="R178" s="3" t="n">
        <v>3</v>
      </c>
      <c r="S178" s="3" t="n">
        <v>4</v>
      </c>
      <c r="T178" s="3" t="n">
        <v>0</v>
      </c>
      <c r="U178" s="3" t="n">
        <v>37</v>
      </c>
      <c r="V178" s="3" t="n">
        <v>41052</v>
      </c>
      <c r="W178" s="3" t="n">
        <v>2</v>
      </c>
      <c r="X178" s="3" t="n">
        <v>2</v>
      </c>
      <c r="Y178" s="3" t="n">
        <v>2</v>
      </c>
      <c r="Z178" s="3" t="n">
        <v>2</v>
      </c>
      <c r="AA178" s="4" t="n">
        <f aca="false">IF($B178=AA$1,1,0)</f>
        <v>0</v>
      </c>
      <c r="AB178" s="4" t="n">
        <f aca="false">IF($B178=AB$1,1,0)</f>
        <v>0</v>
      </c>
      <c r="AC178" s="4" t="n">
        <f aca="false">IF($B178=AC$1,1,0)</f>
        <v>0</v>
      </c>
      <c r="AD178" s="4" t="n">
        <f aca="false">IF($B178=AD$1,1,0)</f>
        <v>0</v>
      </c>
      <c r="AE178" s="4" t="n">
        <f aca="false">IF($B178=AE$1,1,0)</f>
        <v>0</v>
      </c>
      <c r="AF178" s="4" t="n">
        <f aca="false">IF($B178=AF$1,1,0)</f>
        <v>0</v>
      </c>
      <c r="AG178" s="4" t="n">
        <f aca="false">IF($B178=AG$1,1,0)</f>
        <v>0</v>
      </c>
      <c r="AH178" s="4" t="n">
        <f aca="false">IF($B178=AH$1,1,0)</f>
        <v>1</v>
      </c>
      <c r="AI178" s="4" t="n">
        <f aca="false">IF($B178=AI$1,1,0)</f>
        <v>0</v>
      </c>
      <c r="AJ178" s="4" t="n">
        <f aca="false">IF($B178=AJ$1,1,0)</f>
        <v>0</v>
      </c>
      <c r="AK178" s="4" t="n">
        <f aca="false">IF($B178=AK$1,1,0)</f>
        <v>0</v>
      </c>
      <c r="AL178" s="4" t="n">
        <f aca="false">IF($B178=AL$1,1,0)</f>
        <v>0</v>
      </c>
      <c r="AM178" s="4" t="n">
        <f aca="false">IF($B178=AM$1,1,0)</f>
        <v>0</v>
      </c>
      <c r="AN178" s="4" t="n">
        <f aca="false">IF($B178=AN$1,1,0)</f>
        <v>0</v>
      </c>
      <c r="AO178" s="4" t="n">
        <f aca="false">IF($B178=AO$1,1,0)</f>
        <v>0</v>
      </c>
      <c r="AP178" s="4" t="n">
        <f aca="false">IF($B178=AP$1,1,0)</f>
        <v>0</v>
      </c>
      <c r="AQ178" s="4" t="n">
        <f aca="false">IF($B178=AQ$1,1,0)</f>
        <v>0</v>
      </c>
      <c r="AR178" s="4" t="n">
        <f aca="false">IF($B178=AR$1,1,0)</f>
        <v>0</v>
      </c>
      <c r="AS178" s="4" t="n">
        <f aca="false">IF($B178=AS$1,1,0)</f>
        <v>0</v>
      </c>
      <c r="AT178" s="4" t="n">
        <f aca="false">IF($B178=AT$1,1,0)</f>
        <v>0</v>
      </c>
      <c r="BB178" s="4" t="n">
        <f aca="false">A178</f>
        <v>177</v>
      </c>
      <c r="BC178" s="7" t="n">
        <f aca="false">ABS($T178-$AX$2)+ABS($U178-$AY$2)+ABS($V178-$AZ$2)</f>
        <v>18219.7676056338</v>
      </c>
      <c r="BD178" s="7" t="n">
        <f aca="false">ABS($T178-$AX$3)+ABS($U178-$AY$3)+ABS($V178-$AZ$3)</f>
        <v>5615.72881355932</v>
      </c>
      <c r="BE178" s="7" t="n">
        <f aca="false">ABS($T178-$AX$4)+ABS($U178-$AY$4)+ABS($V178-$AZ$4)</f>
        <v>36747.641509434</v>
      </c>
      <c r="BF178" s="7" t="n">
        <f aca="false">MIN(BC178:BE178)</f>
        <v>5615.72881355932</v>
      </c>
      <c r="BG178" s="4" t="n">
        <f aca="false">MATCH(BF178,BC178:BE178,0)</f>
        <v>2</v>
      </c>
      <c r="BH178" s="8" t="n">
        <v>2</v>
      </c>
      <c r="BI178" s="4" t="n">
        <f aca="false">IF(BG178=BH178,0,1)</f>
        <v>0</v>
      </c>
      <c r="BK178" s="8" t="n">
        <v>2</v>
      </c>
      <c r="BL178" s="8" t="n">
        <v>2</v>
      </c>
      <c r="BM178" s="8" t="n">
        <v>2</v>
      </c>
    </row>
    <row r="179" customFormat="false" ht="15" hidden="false" customHeight="false" outlineLevel="0" collapsed="false">
      <c r="A179" s="3" t="n">
        <v>178</v>
      </c>
      <c r="B179" s="3" t="s">
        <v>42</v>
      </c>
      <c r="C179" s="3" t="n">
        <v>0</v>
      </c>
      <c r="D179" s="3" t="n">
        <v>0</v>
      </c>
      <c r="E179" s="3" t="n">
        <v>1</v>
      </c>
      <c r="F179" s="3" t="n">
        <v>0</v>
      </c>
      <c r="G179" s="3" t="n">
        <v>0</v>
      </c>
      <c r="H179" s="3" t="n">
        <v>5</v>
      </c>
      <c r="I179" s="3" t="n">
        <v>4</v>
      </c>
      <c r="J179" s="3" t="n">
        <v>5</v>
      </c>
      <c r="K179" s="3" t="n">
        <v>5</v>
      </c>
      <c r="L179" s="3" t="n">
        <v>5</v>
      </c>
      <c r="M179" s="3" t="n">
        <v>4</v>
      </c>
      <c r="N179" s="3" t="n">
        <v>4</v>
      </c>
      <c r="O179" s="3" t="n">
        <v>4</v>
      </c>
      <c r="P179" s="3" t="n">
        <v>4</v>
      </c>
      <c r="Q179" s="3" t="n">
        <v>5</v>
      </c>
      <c r="R179" s="3" t="n">
        <v>5</v>
      </c>
      <c r="S179" s="3" t="n">
        <v>5</v>
      </c>
      <c r="T179" s="3" t="n">
        <v>0</v>
      </c>
      <c r="U179" s="3" t="n">
        <v>33</v>
      </c>
      <c r="V179" s="3" t="n">
        <v>86277</v>
      </c>
      <c r="W179" s="3" t="n">
        <v>2</v>
      </c>
      <c r="X179" s="3" t="n">
        <v>3</v>
      </c>
      <c r="Y179" s="3" t="n">
        <v>2</v>
      </c>
      <c r="Z179" s="3" t="n">
        <v>2</v>
      </c>
      <c r="AA179" s="4" t="n">
        <f aca="false">IF($B179=AA$1,1,0)</f>
        <v>0</v>
      </c>
      <c r="AB179" s="4" t="n">
        <f aca="false">IF($B179=AB$1,1,0)</f>
        <v>0</v>
      </c>
      <c r="AC179" s="4" t="n">
        <f aca="false">IF($B179=AC$1,1,0)</f>
        <v>0</v>
      </c>
      <c r="AD179" s="4" t="n">
        <f aca="false">IF($B179=AD$1,1,0)</f>
        <v>0</v>
      </c>
      <c r="AE179" s="4" t="n">
        <f aca="false">IF($B179=AE$1,1,0)</f>
        <v>0</v>
      </c>
      <c r="AF179" s="4" t="n">
        <f aca="false">IF($B179=AF$1,1,0)</f>
        <v>0</v>
      </c>
      <c r="AG179" s="4" t="n">
        <f aca="false">IF($B179=AG$1,1,0)</f>
        <v>0</v>
      </c>
      <c r="AH179" s="4" t="n">
        <f aca="false">IF($B179=AH$1,1,0)</f>
        <v>0</v>
      </c>
      <c r="AI179" s="4" t="n">
        <f aca="false">IF($B179=AI$1,1,0)</f>
        <v>0</v>
      </c>
      <c r="AJ179" s="4" t="n">
        <f aca="false">IF($B179=AJ$1,1,0)</f>
        <v>0</v>
      </c>
      <c r="AK179" s="4" t="n">
        <f aca="false">IF($B179=AK$1,1,0)</f>
        <v>0</v>
      </c>
      <c r="AL179" s="4" t="n">
        <f aca="false">IF($B179=AL$1,1,0)</f>
        <v>0</v>
      </c>
      <c r="AM179" s="4" t="n">
        <f aca="false">IF($B179=AM$1,1,0)</f>
        <v>0</v>
      </c>
      <c r="AN179" s="4" t="n">
        <f aca="false">IF($B179=AN$1,1,0)</f>
        <v>0</v>
      </c>
      <c r="AO179" s="4" t="n">
        <f aca="false">IF($B179=AO$1,1,0)</f>
        <v>0</v>
      </c>
      <c r="AP179" s="4" t="n">
        <f aca="false">IF($B179=AP$1,1,0)</f>
        <v>0</v>
      </c>
      <c r="AQ179" s="4" t="n">
        <f aca="false">IF($B179=AQ$1,1,0)</f>
        <v>1</v>
      </c>
      <c r="AR179" s="4" t="n">
        <f aca="false">IF($B179=AR$1,1,0)</f>
        <v>0</v>
      </c>
      <c r="AS179" s="4" t="n">
        <f aca="false">IF($B179=AS$1,1,0)</f>
        <v>0</v>
      </c>
      <c r="AT179" s="4" t="n">
        <f aca="false">IF($B179=AT$1,1,0)</f>
        <v>0</v>
      </c>
      <c r="BB179" s="4" t="n">
        <f aca="false">A179</f>
        <v>178</v>
      </c>
      <c r="BC179" s="7" t="n">
        <f aca="false">ABS($T179-$AX$2)+ABS($U179-$AY$2)+ABS($V179-$AZ$2)</f>
        <v>63448.7676056338</v>
      </c>
      <c r="BD179" s="7" t="n">
        <f aca="false">ABS($T179-$AX$3)+ABS($U179-$AY$3)+ABS($V179-$AZ$3)</f>
        <v>39622.406779661</v>
      </c>
      <c r="BE179" s="7" t="n">
        <f aca="false">ABS($T179-$AX$4)+ABS($U179-$AY$4)+ABS($V179-$AZ$4)</f>
        <v>8491.92452830189</v>
      </c>
      <c r="BF179" s="7" t="n">
        <f aca="false">MIN(BC179:BE179)</f>
        <v>8491.92452830189</v>
      </c>
      <c r="BG179" s="4" t="n">
        <f aca="false">MATCH(BF179,BC179:BE179,0)</f>
        <v>3</v>
      </c>
      <c r="BH179" s="8" t="n">
        <v>3</v>
      </c>
      <c r="BI179" s="4" t="n">
        <f aca="false">IF(BG179=BH179,0,1)</f>
        <v>0</v>
      </c>
      <c r="BK179" s="8" t="n">
        <v>3</v>
      </c>
      <c r="BL179" s="8" t="n">
        <v>3</v>
      </c>
      <c r="BM179" s="8" t="n">
        <v>3</v>
      </c>
    </row>
    <row r="180" customFormat="false" ht="15" hidden="false" customHeight="false" outlineLevel="0" collapsed="false">
      <c r="A180" s="3" t="n">
        <v>179</v>
      </c>
      <c r="B180" s="3" t="s">
        <v>38</v>
      </c>
      <c r="C180" s="3" t="n">
        <v>0</v>
      </c>
      <c r="D180" s="3" t="n">
        <v>0</v>
      </c>
      <c r="E180" s="3" t="n">
        <v>0</v>
      </c>
      <c r="F180" s="3" t="n">
        <v>0</v>
      </c>
      <c r="G180" s="3" t="n">
        <v>2</v>
      </c>
      <c r="H180" s="3" t="n">
        <v>4</v>
      </c>
      <c r="I180" s="3" t="n">
        <v>4</v>
      </c>
      <c r="J180" s="3" t="n">
        <v>5</v>
      </c>
      <c r="K180" s="3" t="n">
        <v>5</v>
      </c>
      <c r="L180" s="3" t="n">
        <v>5</v>
      </c>
      <c r="M180" s="3" t="n">
        <v>4</v>
      </c>
      <c r="N180" s="3" t="n">
        <v>3</v>
      </c>
      <c r="O180" s="3" t="n">
        <v>4</v>
      </c>
      <c r="P180" s="3" t="n">
        <v>3</v>
      </c>
      <c r="Q180" s="3" t="n">
        <v>4</v>
      </c>
      <c r="R180" s="3" t="n">
        <v>4</v>
      </c>
      <c r="S180" s="3" t="n">
        <v>3</v>
      </c>
      <c r="T180" s="3" t="n">
        <v>0</v>
      </c>
      <c r="U180" s="3" t="n">
        <v>49</v>
      </c>
      <c r="V180" s="3" t="n">
        <v>54651</v>
      </c>
      <c r="W180" s="3" t="n">
        <v>1</v>
      </c>
      <c r="X180" s="3" t="n">
        <v>4</v>
      </c>
      <c r="Y180" s="3" t="n">
        <v>2</v>
      </c>
      <c r="Z180" s="3" t="n">
        <v>2</v>
      </c>
      <c r="AA180" s="4" t="n">
        <f aca="false">IF($B180=AA$1,1,0)</f>
        <v>0</v>
      </c>
      <c r="AB180" s="4" t="n">
        <f aca="false">IF($B180=AB$1,1,0)</f>
        <v>0</v>
      </c>
      <c r="AC180" s="4" t="n">
        <f aca="false">IF($B180=AC$1,1,0)</f>
        <v>0</v>
      </c>
      <c r="AD180" s="4" t="n">
        <f aca="false">IF($B180=AD$1,1,0)</f>
        <v>0</v>
      </c>
      <c r="AE180" s="4" t="n">
        <f aca="false">IF($B180=AE$1,1,0)</f>
        <v>0</v>
      </c>
      <c r="AF180" s="4" t="n">
        <f aca="false">IF($B180=AF$1,1,0)</f>
        <v>0</v>
      </c>
      <c r="AG180" s="4" t="n">
        <f aca="false">IF($B180=AG$1,1,0)</f>
        <v>0</v>
      </c>
      <c r="AH180" s="4" t="n">
        <f aca="false">IF($B180=AH$1,1,0)</f>
        <v>0</v>
      </c>
      <c r="AI180" s="4" t="n">
        <f aca="false">IF($B180=AI$1,1,0)</f>
        <v>0</v>
      </c>
      <c r="AJ180" s="4" t="n">
        <f aca="false">IF($B180=AJ$1,1,0)</f>
        <v>0</v>
      </c>
      <c r="AK180" s="4" t="n">
        <f aca="false">IF($B180=AK$1,1,0)</f>
        <v>0</v>
      </c>
      <c r="AL180" s="4" t="n">
        <f aca="false">IF($B180=AL$1,1,0)</f>
        <v>0</v>
      </c>
      <c r="AM180" s="4" t="n">
        <f aca="false">IF($B180=AM$1,1,0)</f>
        <v>1</v>
      </c>
      <c r="AN180" s="4" t="n">
        <f aca="false">IF($B180=AN$1,1,0)</f>
        <v>0</v>
      </c>
      <c r="AO180" s="4" t="n">
        <f aca="false">IF($B180=AO$1,1,0)</f>
        <v>0</v>
      </c>
      <c r="AP180" s="4" t="n">
        <f aca="false">IF($B180=AP$1,1,0)</f>
        <v>0</v>
      </c>
      <c r="AQ180" s="4" t="n">
        <f aca="false">IF($B180=AQ$1,1,0)</f>
        <v>0</v>
      </c>
      <c r="AR180" s="4" t="n">
        <f aca="false">IF($B180=AR$1,1,0)</f>
        <v>0</v>
      </c>
      <c r="AS180" s="4" t="n">
        <f aca="false">IF($B180=AS$1,1,0)</f>
        <v>0</v>
      </c>
      <c r="AT180" s="4" t="n">
        <f aca="false">IF($B180=AT$1,1,0)</f>
        <v>0</v>
      </c>
      <c r="BB180" s="4" t="n">
        <f aca="false">A180</f>
        <v>179</v>
      </c>
      <c r="BC180" s="7" t="n">
        <f aca="false">ABS($T180-$AX$2)+ABS($U180-$AY$2)+ABS($V180-$AZ$2)</f>
        <v>31827.2887323944</v>
      </c>
      <c r="BD180" s="7" t="n">
        <f aca="false">ABS($T180-$AX$3)+ABS($U180-$AY$3)+ABS($V180-$AZ$3)</f>
        <v>7995.64406779661</v>
      </c>
      <c r="BE180" s="7" t="n">
        <f aca="false">ABS($T180-$AX$4)+ABS($U180-$AY$4)+ABS($V180-$AZ$4)</f>
        <v>23150.6037735849</v>
      </c>
      <c r="BF180" s="7" t="n">
        <f aca="false">MIN(BC180:BE180)</f>
        <v>7995.64406779661</v>
      </c>
      <c r="BG180" s="4" t="n">
        <f aca="false">MATCH(BF180,BC180:BE180,0)</f>
        <v>2</v>
      </c>
      <c r="BH180" s="8" t="n">
        <v>2</v>
      </c>
      <c r="BI180" s="4" t="n">
        <f aca="false">IF(BG180=BH180,0,1)</f>
        <v>0</v>
      </c>
      <c r="BK180" s="8" t="n">
        <v>2</v>
      </c>
      <c r="BL180" s="8" t="n">
        <v>2</v>
      </c>
      <c r="BM180" s="8" t="n">
        <v>2</v>
      </c>
    </row>
    <row r="181" customFormat="false" ht="15" hidden="false" customHeight="false" outlineLevel="0" collapsed="false">
      <c r="A181" s="3" t="n">
        <v>180</v>
      </c>
      <c r="B181" s="3" t="s">
        <v>35</v>
      </c>
      <c r="C181" s="3" t="n">
        <v>1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5</v>
      </c>
      <c r="I181" s="3" t="n">
        <v>4</v>
      </c>
      <c r="J181" s="3" t="n">
        <v>4</v>
      </c>
      <c r="K181" s="3" t="n">
        <v>4</v>
      </c>
      <c r="L181" s="3" t="n">
        <v>5</v>
      </c>
      <c r="M181" s="3" t="n">
        <v>4</v>
      </c>
      <c r="N181" s="3" t="n">
        <v>5</v>
      </c>
      <c r="O181" s="3" t="n">
        <v>5</v>
      </c>
      <c r="P181" s="3" t="n">
        <v>4</v>
      </c>
      <c r="Q181" s="3" t="n">
        <v>4</v>
      </c>
      <c r="R181" s="3" t="n">
        <v>4</v>
      </c>
      <c r="S181" s="3" t="n">
        <v>4</v>
      </c>
      <c r="T181" s="3" t="n">
        <v>0</v>
      </c>
      <c r="U181" s="3" t="n">
        <v>21</v>
      </c>
      <c r="V181" s="3" t="n">
        <v>58742</v>
      </c>
      <c r="W181" s="3" t="n">
        <v>2</v>
      </c>
      <c r="X181" s="3" t="n">
        <v>4</v>
      </c>
      <c r="Y181" s="3" t="n">
        <v>2</v>
      </c>
      <c r="Z181" s="3" t="n">
        <v>2</v>
      </c>
      <c r="AA181" s="4" t="n">
        <f aca="false">IF($B181=AA$1,1,0)</f>
        <v>0</v>
      </c>
      <c r="AB181" s="4" t="n">
        <f aca="false">IF($B181=AB$1,1,0)</f>
        <v>0</v>
      </c>
      <c r="AC181" s="4" t="n">
        <f aca="false">IF($B181=AC$1,1,0)</f>
        <v>0</v>
      </c>
      <c r="AD181" s="4" t="n">
        <f aca="false">IF($B181=AD$1,1,0)</f>
        <v>0</v>
      </c>
      <c r="AE181" s="4" t="n">
        <f aca="false">IF($B181=AE$1,1,0)</f>
        <v>0</v>
      </c>
      <c r="AF181" s="4" t="n">
        <f aca="false">IF($B181=AF$1,1,0)</f>
        <v>0</v>
      </c>
      <c r="AG181" s="4" t="n">
        <f aca="false">IF($B181=AG$1,1,0)</f>
        <v>0</v>
      </c>
      <c r="AH181" s="4" t="n">
        <f aca="false">IF($B181=AH$1,1,0)</f>
        <v>0</v>
      </c>
      <c r="AI181" s="4" t="n">
        <f aca="false">IF($B181=AI$1,1,0)</f>
        <v>0</v>
      </c>
      <c r="AJ181" s="4" t="n">
        <f aca="false">IF($B181=AJ$1,1,0)</f>
        <v>1</v>
      </c>
      <c r="AK181" s="4" t="n">
        <f aca="false">IF($B181=AK$1,1,0)</f>
        <v>0</v>
      </c>
      <c r="AL181" s="4" t="n">
        <f aca="false">IF($B181=AL$1,1,0)</f>
        <v>0</v>
      </c>
      <c r="AM181" s="4" t="n">
        <f aca="false">IF($B181=AM$1,1,0)</f>
        <v>0</v>
      </c>
      <c r="AN181" s="4" t="n">
        <f aca="false">IF($B181=AN$1,1,0)</f>
        <v>0</v>
      </c>
      <c r="AO181" s="4" t="n">
        <f aca="false">IF($B181=AO$1,1,0)</f>
        <v>0</v>
      </c>
      <c r="AP181" s="4" t="n">
        <f aca="false">IF($B181=AP$1,1,0)</f>
        <v>0</v>
      </c>
      <c r="AQ181" s="4" t="n">
        <f aca="false">IF($B181=AQ$1,1,0)</f>
        <v>0</v>
      </c>
      <c r="AR181" s="4" t="n">
        <f aca="false">IF($B181=AR$1,1,0)</f>
        <v>0</v>
      </c>
      <c r="AS181" s="4" t="n">
        <f aca="false">IF($B181=AS$1,1,0)</f>
        <v>0</v>
      </c>
      <c r="AT181" s="4" t="n">
        <f aca="false">IF($B181=AT$1,1,0)</f>
        <v>0</v>
      </c>
      <c r="BB181" s="4" t="n">
        <f aca="false">A181</f>
        <v>180</v>
      </c>
      <c r="BC181" s="7" t="n">
        <f aca="false">ABS($T181-$AX$2)+ABS($U181-$AY$2)+ABS($V181-$AZ$2)</f>
        <v>35925.7676056338</v>
      </c>
      <c r="BD181" s="7" t="n">
        <f aca="false">ABS($T181-$AX$3)+ABS($U181-$AY$3)+ABS($V181-$AZ$3)</f>
        <v>12099.406779661</v>
      </c>
      <c r="BE181" s="7" t="n">
        <f aca="false">ABS($T181-$AX$4)+ABS($U181-$AY$4)+ABS($V181-$AZ$4)</f>
        <v>19073.641509434</v>
      </c>
      <c r="BF181" s="7" t="n">
        <f aca="false">MIN(BC181:BE181)</f>
        <v>12099.406779661</v>
      </c>
      <c r="BG181" s="4" t="n">
        <f aca="false">MATCH(BF181,BC181:BE181,0)</f>
        <v>2</v>
      </c>
      <c r="BH181" s="8" t="n">
        <v>2</v>
      </c>
      <c r="BI181" s="4" t="n">
        <f aca="false">IF(BG181=BH181,0,1)</f>
        <v>0</v>
      </c>
      <c r="BK181" s="8" t="n">
        <v>2</v>
      </c>
      <c r="BL181" s="8" t="n">
        <v>2</v>
      </c>
      <c r="BM181" s="8" t="n">
        <v>2</v>
      </c>
    </row>
    <row r="182" customFormat="false" ht="15" hidden="false" customHeight="false" outlineLevel="0" collapsed="false">
      <c r="A182" s="3" t="n">
        <v>181</v>
      </c>
      <c r="B182" s="3" t="s">
        <v>42</v>
      </c>
      <c r="C182" s="3" t="n">
        <v>0</v>
      </c>
      <c r="D182" s="3" t="n">
        <v>0</v>
      </c>
      <c r="E182" s="3" t="n">
        <v>0</v>
      </c>
      <c r="F182" s="3" t="n">
        <v>0</v>
      </c>
      <c r="G182" s="3" t="n">
        <v>1</v>
      </c>
      <c r="H182" s="3" t="n">
        <v>5</v>
      </c>
      <c r="I182" s="3" t="n">
        <v>4</v>
      </c>
      <c r="J182" s="3" t="n">
        <v>5</v>
      </c>
      <c r="K182" s="3" t="n">
        <v>5</v>
      </c>
      <c r="L182" s="3" t="n">
        <v>5</v>
      </c>
      <c r="M182" s="3" t="n">
        <v>4</v>
      </c>
      <c r="N182" s="3" t="n">
        <v>3</v>
      </c>
      <c r="O182" s="3" t="n">
        <v>3</v>
      </c>
      <c r="P182" s="3" t="n">
        <v>4</v>
      </c>
      <c r="Q182" s="3" t="n">
        <v>5</v>
      </c>
      <c r="R182" s="3" t="n">
        <v>5</v>
      </c>
      <c r="S182" s="3" t="n">
        <v>4</v>
      </c>
      <c r="T182" s="3" t="n">
        <v>0</v>
      </c>
      <c r="U182" s="3" t="n">
        <v>24</v>
      </c>
      <c r="V182" s="3" t="n">
        <v>58416</v>
      </c>
      <c r="W182" s="3" t="n">
        <v>1</v>
      </c>
      <c r="X182" s="3" t="n">
        <v>4</v>
      </c>
      <c r="Y182" s="3" t="n">
        <v>2</v>
      </c>
      <c r="Z182" s="3" t="n">
        <v>1</v>
      </c>
      <c r="AA182" s="4" t="n">
        <f aca="false">IF($B182=AA$1,1,0)</f>
        <v>0</v>
      </c>
      <c r="AB182" s="4" t="n">
        <f aca="false">IF($B182=AB$1,1,0)</f>
        <v>0</v>
      </c>
      <c r="AC182" s="4" t="n">
        <f aca="false">IF($B182=AC$1,1,0)</f>
        <v>0</v>
      </c>
      <c r="AD182" s="4" t="n">
        <f aca="false">IF($B182=AD$1,1,0)</f>
        <v>0</v>
      </c>
      <c r="AE182" s="4" t="n">
        <f aca="false">IF($B182=AE$1,1,0)</f>
        <v>0</v>
      </c>
      <c r="AF182" s="4" t="n">
        <f aca="false">IF($B182=AF$1,1,0)</f>
        <v>0</v>
      </c>
      <c r="AG182" s="4" t="n">
        <f aca="false">IF($B182=AG$1,1,0)</f>
        <v>0</v>
      </c>
      <c r="AH182" s="4" t="n">
        <f aca="false">IF($B182=AH$1,1,0)</f>
        <v>0</v>
      </c>
      <c r="AI182" s="4" t="n">
        <f aca="false">IF($B182=AI$1,1,0)</f>
        <v>0</v>
      </c>
      <c r="AJ182" s="4" t="n">
        <f aca="false">IF($B182=AJ$1,1,0)</f>
        <v>0</v>
      </c>
      <c r="AK182" s="4" t="n">
        <f aca="false">IF($B182=AK$1,1,0)</f>
        <v>0</v>
      </c>
      <c r="AL182" s="4" t="n">
        <f aca="false">IF($B182=AL$1,1,0)</f>
        <v>0</v>
      </c>
      <c r="AM182" s="4" t="n">
        <f aca="false">IF($B182=AM$1,1,0)</f>
        <v>0</v>
      </c>
      <c r="AN182" s="4" t="n">
        <f aca="false">IF($B182=AN$1,1,0)</f>
        <v>0</v>
      </c>
      <c r="AO182" s="4" t="n">
        <f aca="false">IF($B182=AO$1,1,0)</f>
        <v>0</v>
      </c>
      <c r="AP182" s="4" t="n">
        <f aca="false">IF($B182=AP$1,1,0)</f>
        <v>0</v>
      </c>
      <c r="AQ182" s="4" t="n">
        <f aca="false">IF($B182=AQ$1,1,0)</f>
        <v>1</v>
      </c>
      <c r="AR182" s="4" t="n">
        <f aca="false">IF($B182=AR$1,1,0)</f>
        <v>0</v>
      </c>
      <c r="AS182" s="4" t="n">
        <f aca="false">IF($B182=AS$1,1,0)</f>
        <v>0</v>
      </c>
      <c r="AT182" s="4" t="n">
        <f aca="false">IF($B182=AT$1,1,0)</f>
        <v>0</v>
      </c>
      <c r="BB182" s="4" t="n">
        <f aca="false">A182</f>
        <v>181</v>
      </c>
      <c r="BC182" s="7" t="n">
        <f aca="false">ABS($T182-$AX$2)+ABS($U182-$AY$2)+ABS($V182-$AZ$2)</f>
        <v>35596.7676056338</v>
      </c>
      <c r="BD182" s="7" t="n">
        <f aca="false">ABS($T182-$AX$3)+ABS($U182-$AY$3)+ABS($V182-$AZ$3)</f>
        <v>11770.406779661</v>
      </c>
      <c r="BE182" s="7" t="n">
        <f aca="false">ABS($T182-$AX$4)+ABS($U182-$AY$4)+ABS($V182-$AZ$4)</f>
        <v>19396.641509434</v>
      </c>
      <c r="BF182" s="7" t="n">
        <f aca="false">MIN(BC182:BE182)</f>
        <v>11770.406779661</v>
      </c>
      <c r="BG182" s="4" t="n">
        <f aca="false">MATCH(BF182,BC182:BE182,0)</f>
        <v>2</v>
      </c>
      <c r="BH182" s="8" t="n">
        <v>2</v>
      </c>
      <c r="BI182" s="4" t="n">
        <f aca="false">IF(BG182=BH182,0,1)</f>
        <v>0</v>
      </c>
      <c r="BK182" s="8" t="n">
        <v>2</v>
      </c>
      <c r="BL182" s="8" t="n">
        <v>2</v>
      </c>
      <c r="BM182" s="8" t="n">
        <v>2</v>
      </c>
    </row>
    <row r="183" customFormat="false" ht="15" hidden="false" customHeight="false" outlineLevel="0" collapsed="false">
      <c r="A183" s="3" t="n">
        <v>182</v>
      </c>
      <c r="B183" s="3" t="s">
        <v>38</v>
      </c>
      <c r="C183" s="3" t="n">
        <v>1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4</v>
      </c>
      <c r="I183" s="3" t="n">
        <v>5</v>
      </c>
      <c r="J183" s="3" t="n">
        <v>5</v>
      </c>
      <c r="K183" s="3" t="n">
        <v>5</v>
      </c>
      <c r="L183" s="3" t="n">
        <v>5</v>
      </c>
      <c r="M183" s="3" t="n">
        <v>5</v>
      </c>
      <c r="N183" s="3" t="n">
        <v>5</v>
      </c>
      <c r="O183" s="3" t="n">
        <v>5</v>
      </c>
      <c r="P183" s="3" t="n">
        <v>5</v>
      </c>
      <c r="Q183" s="3" t="n">
        <v>5</v>
      </c>
      <c r="R183" s="3" t="n">
        <v>5</v>
      </c>
      <c r="S183" s="3" t="n">
        <v>5</v>
      </c>
      <c r="T183" s="3" t="n">
        <v>0</v>
      </c>
      <c r="U183" s="3" t="n">
        <v>25</v>
      </c>
      <c r="V183" s="3" t="n">
        <v>29001</v>
      </c>
      <c r="W183" s="3" t="n">
        <v>1</v>
      </c>
      <c r="X183" s="3" t="n">
        <v>2</v>
      </c>
      <c r="Y183" s="3" t="n">
        <v>1</v>
      </c>
      <c r="Z183" s="3" t="n">
        <v>1</v>
      </c>
      <c r="AA183" s="4" t="n">
        <f aca="false">IF($B183=AA$1,1,0)</f>
        <v>0</v>
      </c>
      <c r="AB183" s="4" t="n">
        <f aca="false">IF($B183=AB$1,1,0)</f>
        <v>0</v>
      </c>
      <c r="AC183" s="4" t="n">
        <f aca="false">IF($B183=AC$1,1,0)</f>
        <v>0</v>
      </c>
      <c r="AD183" s="4" t="n">
        <f aca="false">IF($B183=AD$1,1,0)</f>
        <v>0</v>
      </c>
      <c r="AE183" s="4" t="n">
        <f aca="false">IF($B183=AE$1,1,0)</f>
        <v>0</v>
      </c>
      <c r="AF183" s="4" t="n">
        <f aca="false">IF($B183=AF$1,1,0)</f>
        <v>0</v>
      </c>
      <c r="AG183" s="4" t="n">
        <f aca="false">IF($B183=AG$1,1,0)</f>
        <v>0</v>
      </c>
      <c r="AH183" s="4" t="n">
        <f aca="false">IF($B183=AH$1,1,0)</f>
        <v>0</v>
      </c>
      <c r="AI183" s="4" t="n">
        <f aca="false">IF($B183=AI$1,1,0)</f>
        <v>0</v>
      </c>
      <c r="AJ183" s="4" t="n">
        <f aca="false">IF($B183=AJ$1,1,0)</f>
        <v>0</v>
      </c>
      <c r="AK183" s="4" t="n">
        <f aca="false">IF($B183=AK$1,1,0)</f>
        <v>0</v>
      </c>
      <c r="AL183" s="4" t="n">
        <f aca="false">IF($B183=AL$1,1,0)</f>
        <v>0</v>
      </c>
      <c r="AM183" s="4" t="n">
        <f aca="false">IF($B183=AM$1,1,0)</f>
        <v>1</v>
      </c>
      <c r="AN183" s="4" t="n">
        <f aca="false">IF($B183=AN$1,1,0)</f>
        <v>0</v>
      </c>
      <c r="AO183" s="4" t="n">
        <f aca="false">IF($B183=AO$1,1,0)</f>
        <v>0</v>
      </c>
      <c r="AP183" s="4" t="n">
        <f aca="false">IF($B183=AP$1,1,0)</f>
        <v>0</v>
      </c>
      <c r="AQ183" s="4" t="n">
        <f aca="false">IF($B183=AQ$1,1,0)</f>
        <v>0</v>
      </c>
      <c r="AR183" s="4" t="n">
        <f aca="false">IF($B183=AR$1,1,0)</f>
        <v>0</v>
      </c>
      <c r="AS183" s="4" t="n">
        <f aca="false">IF($B183=AS$1,1,0)</f>
        <v>0</v>
      </c>
      <c r="AT183" s="4" t="n">
        <f aca="false">IF($B183=AT$1,1,0)</f>
        <v>0</v>
      </c>
      <c r="BB183" s="4" t="n">
        <f aca="false">A183</f>
        <v>182</v>
      </c>
      <c r="BC183" s="7" t="n">
        <f aca="false">ABS($T183-$AX$2)+ABS($U183-$AY$2)+ABS($V183-$AZ$2)</f>
        <v>6180.7676056338</v>
      </c>
      <c r="BD183" s="7" t="n">
        <f aca="false">ABS($T183-$AX$3)+ABS($U183-$AY$3)+ABS($V183-$AZ$3)</f>
        <v>17678.7288135593</v>
      </c>
      <c r="BE183" s="7" t="n">
        <f aca="false">ABS($T183-$AX$4)+ABS($U183-$AY$4)+ABS($V183-$AZ$4)</f>
        <v>48810.641509434</v>
      </c>
      <c r="BF183" s="7" t="n">
        <f aca="false">MIN(BC183:BE183)</f>
        <v>6180.7676056338</v>
      </c>
      <c r="BG183" s="4" t="n">
        <f aca="false">MATCH(BF183,BC183:BE183,0)</f>
        <v>1</v>
      </c>
      <c r="BH183" s="8" t="n">
        <v>1</v>
      </c>
      <c r="BI183" s="4" t="n">
        <f aca="false">IF(BG183=BH183,0,1)</f>
        <v>0</v>
      </c>
      <c r="BK183" s="8" t="n">
        <v>1</v>
      </c>
      <c r="BL183" s="8" t="n">
        <v>1</v>
      </c>
      <c r="BM183" s="8" t="n">
        <v>1</v>
      </c>
    </row>
    <row r="184" customFormat="false" ht="15" hidden="false" customHeight="false" outlineLevel="0" collapsed="false">
      <c r="A184" s="3" t="n">
        <v>183</v>
      </c>
      <c r="B184" s="3" t="s">
        <v>35</v>
      </c>
      <c r="C184" s="3" t="n">
        <v>1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5</v>
      </c>
      <c r="I184" s="3" t="n">
        <v>5</v>
      </c>
      <c r="J184" s="3" t="n">
        <v>5</v>
      </c>
      <c r="K184" s="3" t="n">
        <v>5</v>
      </c>
      <c r="L184" s="3" t="n">
        <v>5</v>
      </c>
      <c r="M184" s="3" t="n">
        <v>3</v>
      </c>
      <c r="N184" s="3" t="n">
        <v>3</v>
      </c>
      <c r="O184" s="3" t="n">
        <v>5</v>
      </c>
      <c r="P184" s="3" t="n">
        <v>5</v>
      </c>
      <c r="Q184" s="3" t="n">
        <v>5</v>
      </c>
      <c r="R184" s="3" t="n">
        <v>5</v>
      </c>
      <c r="S184" s="3" t="n">
        <v>4</v>
      </c>
      <c r="T184" s="3" t="n">
        <v>0</v>
      </c>
      <c r="U184" s="3" t="n">
        <v>31</v>
      </c>
      <c r="V184" s="3" t="n">
        <v>40076</v>
      </c>
      <c r="W184" s="3" t="n">
        <v>2</v>
      </c>
      <c r="X184" s="3" t="n">
        <v>2</v>
      </c>
      <c r="Y184" s="3" t="n">
        <v>2</v>
      </c>
      <c r="Z184" s="3" t="n">
        <v>2</v>
      </c>
      <c r="AA184" s="4" t="n">
        <f aca="false">IF($B184=AA$1,1,0)</f>
        <v>0</v>
      </c>
      <c r="AB184" s="4" t="n">
        <f aca="false">IF($B184=AB$1,1,0)</f>
        <v>0</v>
      </c>
      <c r="AC184" s="4" t="n">
        <f aca="false">IF($B184=AC$1,1,0)</f>
        <v>0</v>
      </c>
      <c r="AD184" s="4" t="n">
        <f aca="false">IF($B184=AD$1,1,0)</f>
        <v>0</v>
      </c>
      <c r="AE184" s="4" t="n">
        <f aca="false">IF($B184=AE$1,1,0)</f>
        <v>0</v>
      </c>
      <c r="AF184" s="4" t="n">
        <f aca="false">IF($B184=AF$1,1,0)</f>
        <v>0</v>
      </c>
      <c r="AG184" s="4" t="n">
        <f aca="false">IF($B184=AG$1,1,0)</f>
        <v>0</v>
      </c>
      <c r="AH184" s="4" t="n">
        <f aca="false">IF($B184=AH$1,1,0)</f>
        <v>0</v>
      </c>
      <c r="AI184" s="4" t="n">
        <f aca="false">IF($B184=AI$1,1,0)</f>
        <v>0</v>
      </c>
      <c r="AJ184" s="4" t="n">
        <f aca="false">IF($B184=AJ$1,1,0)</f>
        <v>1</v>
      </c>
      <c r="AK184" s="4" t="n">
        <f aca="false">IF($B184=AK$1,1,0)</f>
        <v>0</v>
      </c>
      <c r="AL184" s="4" t="n">
        <f aca="false">IF($B184=AL$1,1,0)</f>
        <v>0</v>
      </c>
      <c r="AM184" s="4" t="n">
        <f aca="false">IF($B184=AM$1,1,0)</f>
        <v>0</v>
      </c>
      <c r="AN184" s="4" t="n">
        <f aca="false">IF($B184=AN$1,1,0)</f>
        <v>0</v>
      </c>
      <c r="AO184" s="4" t="n">
        <f aca="false">IF($B184=AO$1,1,0)</f>
        <v>0</v>
      </c>
      <c r="AP184" s="4" t="n">
        <f aca="false">IF($B184=AP$1,1,0)</f>
        <v>0</v>
      </c>
      <c r="AQ184" s="4" t="n">
        <f aca="false">IF($B184=AQ$1,1,0)</f>
        <v>0</v>
      </c>
      <c r="AR184" s="4" t="n">
        <f aca="false">IF($B184=AR$1,1,0)</f>
        <v>0</v>
      </c>
      <c r="AS184" s="4" t="n">
        <f aca="false">IF($B184=AS$1,1,0)</f>
        <v>0</v>
      </c>
      <c r="AT184" s="4" t="n">
        <f aca="false">IF($B184=AT$1,1,0)</f>
        <v>0</v>
      </c>
      <c r="BB184" s="4" t="n">
        <f aca="false">A184</f>
        <v>183</v>
      </c>
      <c r="BC184" s="7" t="n">
        <f aca="false">ABS($T184-$AX$2)+ABS($U184-$AY$2)+ABS($V184-$AZ$2)</f>
        <v>17249.7676056338</v>
      </c>
      <c r="BD184" s="7" t="n">
        <f aca="false">ABS($T184-$AX$3)+ABS($U184-$AY$3)+ABS($V184-$AZ$3)</f>
        <v>6597.72881355932</v>
      </c>
      <c r="BE184" s="7" t="n">
        <f aca="false">ABS($T184-$AX$4)+ABS($U184-$AY$4)+ABS($V184-$AZ$4)</f>
        <v>37729.641509434</v>
      </c>
      <c r="BF184" s="7" t="n">
        <f aca="false">MIN(BC184:BE184)</f>
        <v>6597.72881355932</v>
      </c>
      <c r="BG184" s="4" t="n">
        <f aca="false">MATCH(BF184,BC184:BE184,0)</f>
        <v>2</v>
      </c>
      <c r="BH184" s="8" t="n">
        <v>2</v>
      </c>
      <c r="BI184" s="4" t="n">
        <f aca="false">IF(BG184=BH184,0,1)</f>
        <v>0</v>
      </c>
      <c r="BK184" s="8" t="n">
        <v>2</v>
      </c>
      <c r="BL184" s="8" t="n">
        <v>2</v>
      </c>
      <c r="BM184" s="8" t="n">
        <v>2</v>
      </c>
    </row>
    <row r="185" customFormat="false" ht="15" hidden="false" customHeight="false" outlineLevel="0" collapsed="false">
      <c r="A185" s="3" t="n">
        <v>184</v>
      </c>
      <c r="B185" s="3" t="s">
        <v>31</v>
      </c>
      <c r="C185" s="3" t="n">
        <v>1</v>
      </c>
      <c r="D185" s="3" t="n">
        <v>0</v>
      </c>
      <c r="E185" s="3" t="n">
        <v>0</v>
      </c>
      <c r="F185" s="3" t="n">
        <v>0</v>
      </c>
      <c r="G185" s="3" t="n">
        <v>3</v>
      </c>
      <c r="H185" s="3" t="n">
        <v>5</v>
      </c>
      <c r="I185" s="3" t="n">
        <v>5</v>
      </c>
      <c r="J185" s="3" t="n">
        <v>5</v>
      </c>
      <c r="K185" s="3" t="n">
        <v>4</v>
      </c>
      <c r="L185" s="3" t="n">
        <v>5</v>
      </c>
      <c r="M185" s="3" t="n">
        <v>4</v>
      </c>
      <c r="N185" s="3" t="n">
        <v>3</v>
      </c>
      <c r="O185" s="3" t="n">
        <v>3</v>
      </c>
      <c r="P185" s="3" t="n">
        <v>4</v>
      </c>
      <c r="Q185" s="3" t="n">
        <v>5</v>
      </c>
      <c r="R185" s="3" t="n">
        <v>3</v>
      </c>
      <c r="S185" s="3" t="n">
        <v>3</v>
      </c>
      <c r="T185" s="3" t="n">
        <v>0</v>
      </c>
      <c r="U185" s="3" t="n">
        <v>38</v>
      </c>
      <c r="V185" s="3" t="n">
        <v>39680</v>
      </c>
      <c r="W185" s="3" t="n">
        <v>1</v>
      </c>
      <c r="X185" s="3" t="n">
        <v>2</v>
      </c>
      <c r="Y185" s="3" t="n">
        <v>2</v>
      </c>
      <c r="Z185" s="3" t="n">
        <v>2</v>
      </c>
      <c r="AA185" s="4" t="n">
        <f aca="false">IF($B185=AA$1,1,0)</f>
        <v>0</v>
      </c>
      <c r="AB185" s="4" t="n">
        <f aca="false">IF($B185=AB$1,1,0)</f>
        <v>0</v>
      </c>
      <c r="AC185" s="4" t="n">
        <f aca="false">IF($B185=AC$1,1,0)</f>
        <v>0</v>
      </c>
      <c r="AD185" s="4" t="n">
        <f aca="false">IF($B185=AD$1,1,0)</f>
        <v>0</v>
      </c>
      <c r="AE185" s="4" t="n">
        <f aca="false">IF($B185=AE$1,1,0)</f>
        <v>0</v>
      </c>
      <c r="AF185" s="4" t="n">
        <f aca="false">IF($B185=AF$1,1,0)</f>
        <v>1</v>
      </c>
      <c r="AG185" s="4" t="n">
        <f aca="false">IF($B185=AG$1,1,0)</f>
        <v>0</v>
      </c>
      <c r="AH185" s="4" t="n">
        <f aca="false">IF($B185=AH$1,1,0)</f>
        <v>0</v>
      </c>
      <c r="AI185" s="4" t="n">
        <f aca="false">IF($B185=AI$1,1,0)</f>
        <v>0</v>
      </c>
      <c r="AJ185" s="4" t="n">
        <f aca="false">IF($B185=AJ$1,1,0)</f>
        <v>0</v>
      </c>
      <c r="AK185" s="4" t="n">
        <f aca="false">IF($B185=AK$1,1,0)</f>
        <v>0</v>
      </c>
      <c r="AL185" s="4" t="n">
        <f aca="false">IF($B185=AL$1,1,0)</f>
        <v>0</v>
      </c>
      <c r="AM185" s="4" t="n">
        <f aca="false">IF($B185=AM$1,1,0)</f>
        <v>0</v>
      </c>
      <c r="AN185" s="4" t="n">
        <f aca="false">IF($B185=AN$1,1,0)</f>
        <v>0</v>
      </c>
      <c r="AO185" s="4" t="n">
        <f aca="false">IF($B185=AO$1,1,0)</f>
        <v>0</v>
      </c>
      <c r="AP185" s="4" t="n">
        <f aca="false">IF($B185=AP$1,1,0)</f>
        <v>0</v>
      </c>
      <c r="AQ185" s="4" t="n">
        <f aca="false">IF($B185=AQ$1,1,0)</f>
        <v>0</v>
      </c>
      <c r="AR185" s="4" t="n">
        <f aca="false">IF($B185=AR$1,1,0)</f>
        <v>0</v>
      </c>
      <c r="AS185" s="4" t="n">
        <f aca="false">IF($B185=AS$1,1,0)</f>
        <v>0</v>
      </c>
      <c r="AT185" s="4" t="n">
        <f aca="false">IF($B185=AT$1,1,0)</f>
        <v>0</v>
      </c>
      <c r="BB185" s="4" t="n">
        <f aca="false">A185</f>
        <v>184</v>
      </c>
      <c r="BC185" s="7" t="n">
        <f aca="false">ABS($T185-$AX$2)+ABS($U185-$AY$2)+ABS($V185-$AZ$2)</f>
        <v>16846.7676056338</v>
      </c>
      <c r="BD185" s="7" t="n">
        <f aca="false">ABS($T185-$AX$3)+ABS($U185-$AY$3)+ABS($V185-$AZ$3)</f>
        <v>6986.72881355932</v>
      </c>
      <c r="BE185" s="7" t="n">
        <f aca="false">ABS($T185-$AX$4)+ABS($U185-$AY$4)+ABS($V185-$AZ$4)</f>
        <v>38118.641509434</v>
      </c>
      <c r="BF185" s="7" t="n">
        <f aca="false">MIN(BC185:BE185)</f>
        <v>6986.72881355932</v>
      </c>
      <c r="BG185" s="4" t="n">
        <f aca="false">MATCH(BF185,BC185:BE185,0)</f>
        <v>2</v>
      </c>
      <c r="BH185" s="8" t="n">
        <v>2</v>
      </c>
      <c r="BI185" s="4" t="n">
        <f aca="false">IF(BG185=BH185,0,1)</f>
        <v>0</v>
      </c>
      <c r="BK185" s="8" t="n">
        <v>2</v>
      </c>
      <c r="BL185" s="8" t="n">
        <v>2</v>
      </c>
      <c r="BM185" s="8" t="n">
        <v>2</v>
      </c>
    </row>
    <row r="186" customFormat="false" ht="15" hidden="false" customHeight="false" outlineLevel="0" collapsed="false">
      <c r="A186" s="3" t="n">
        <v>185</v>
      </c>
      <c r="B186" s="3" t="s">
        <v>30</v>
      </c>
      <c r="C186" s="3" t="n">
        <v>0</v>
      </c>
      <c r="D186" s="3" t="n">
        <v>0</v>
      </c>
      <c r="E186" s="3" t="n">
        <v>1</v>
      </c>
      <c r="F186" s="3" t="n">
        <v>0</v>
      </c>
      <c r="G186" s="3" t="n">
        <v>0</v>
      </c>
      <c r="H186" s="3" t="n">
        <v>5</v>
      </c>
      <c r="I186" s="3" t="n">
        <v>3</v>
      </c>
      <c r="J186" s="3" t="n">
        <v>5</v>
      </c>
      <c r="K186" s="3" t="n">
        <v>5</v>
      </c>
      <c r="L186" s="3" t="n">
        <v>5</v>
      </c>
      <c r="M186" s="3" t="n">
        <v>5</v>
      </c>
      <c r="N186" s="3" t="n">
        <v>5</v>
      </c>
      <c r="O186" s="3" t="n">
        <v>5</v>
      </c>
      <c r="P186" s="3" t="n">
        <v>5</v>
      </c>
      <c r="Q186" s="3" t="n">
        <v>5</v>
      </c>
      <c r="R186" s="3" t="n">
        <v>5</v>
      </c>
      <c r="S186" s="3" t="n">
        <v>5</v>
      </c>
      <c r="T186" s="3" t="n">
        <v>0</v>
      </c>
      <c r="U186" s="3" t="n">
        <v>45</v>
      </c>
      <c r="V186" s="3" t="n">
        <v>36810</v>
      </c>
      <c r="W186" s="3" t="n">
        <v>3</v>
      </c>
      <c r="X186" s="3" t="n">
        <v>2</v>
      </c>
      <c r="Y186" s="3" t="n">
        <v>2</v>
      </c>
      <c r="Z186" s="3" t="n">
        <v>1</v>
      </c>
      <c r="AA186" s="4" t="n">
        <f aca="false">IF($B186=AA$1,1,0)</f>
        <v>0</v>
      </c>
      <c r="AB186" s="4" t="n">
        <f aca="false">IF($B186=AB$1,1,0)</f>
        <v>0</v>
      </c>
      <c r="AC186" s="4" t="n">
        <f aca="false">IF($B186=AC$1,1,0)</f>
        <v>0</v>
      </c>
      <c r="AD186" s="4" t="n">
        <f aca="false">IF($B186=AD$1,1,0)</f>
        <v>0</v>
      </c>
      <c r="AE186" s="4" t="n">
        <f aca="false">IF($B186=AE$1,1,0)</f>
        <v>1</v>
      </c>
      <c r="AF186" s="4" t="n">
        <f aca="false">IF($B186=AF$1,1,0)</f>
        <v>0</v>
      </c>
      <c r="AG186" s="4" t="n">
        <f aca="false">IF($B186=AG$1,1,0)</f>
        <v>0</v>
      </c>
      <c r="AH186" s="4" t="n">
        <f aca="false">IF($B186=AH$1,1,0)</f>
        <v>0</v>
      </c>
      <c r="AI186" s="4" t="n">
        <f aca="false">IF($B186=AI$1,1,0)</f>
        <v>0</v>
      </c>
      <c r="AJ186" s="4" t="n">
        <f aca="false">IF($B186=AJ$1,1,0)</f>
        <v>0</v>
      </c>
      <c r="AK186" s="4" t="n">
        <f aca="false">IF($B186=AK$1,1,0)</f>
        <v>0</v>
      </c>
      <c r="AL186" s="4" t="n">
        <f aca="false">IF($B186=AL$1,1,0)</f>
        <v>0</v>
      </c>
      <c r="AM186" s="4" t="n">
        <f aca="false">IF($B186=AM$1,1,0)</f>
        <v>0</v>
      </c>
      <c r="AN186" s="4" t="n">
        <f aca="false">IF($B186=AN$1,1,0)</f>
        <v>0</v>
      </c>
      <c r="AO186" s="4" t="n">
        <f aca="false">IF($B186=AO$1,1,0)</f>
        <v>0</v>
      </c>
      <c r="AP186" s="4" t="n">
        <f aca="false">IF($B186=AP$1,1,0)</f>
        <v>0</v>
      </c>
      <c r="AQ186" s="4" t="n">
        <f aca="false">IF($B186=AQ$1,1,0)</f>
        <v>0</v>
      </c>
      <c r="AR186" s="4" t="n">
        <f aca="false">IF($B186=AR$1,1,0)</f>
        <v>0</v>
      </c>
      <c r="AS186" s="4" t="n">
        <f aca="false">IF($B186=AS$1,1,0)</f>
        <v>0</v>
      </c>
      <c r="AT186" s="4" t="n">
        <f aca="false">IF($B186=AT$1,1,0)</f>
        <v>0</v>
      </c>
      <c r="BB186" s="4" t="n">
        <f aca="false">A186</f>
        <v>185</v>
      </c>
      <c r="BC186" s="7" t="n">
        <f aca="false">ABS($T186-$AX$2)+ABS($U186-$AY$2)+ABS($V186-$AZ$2)</f>
        <v>13982.2887323944</v>
      </c>
      <c r="BD186" s="7" t="n">
        <f aca="false">ABS($T186-$AX$3)+ABS($U186-$AY$3)+ABS($V186-$AZ$3)</f>
        <v>9856.96610169492</v>
      </c>
      <c r="BE186" s="7" t="n">
        <f aca="false">ABS($T186-$AX$4)+ABS($U186-$AY$4)+ABS($V186-$AZ$4)</f>
        <v>40987.6037735849</v>
      </c>
      <c r="BF186" s="7" t="n">
        <f aca="false">MIN(BC186:BE186)</f>
        <v>9856.96610169492</v>
      </c>
      <c r="BG186" s="4" t="n">
        <f aca="false">MATCH(BF186,BC186:BE186,0)</f>
        <v>2</v>
      </c>
      <c r="BH186" s="8" t="n">
        <v>2</v>
      </c>
      <c r="BI186" s="4" t="n">
        <f aca="false">IF(BG186=BH186,0,1)</f>
        <v>0</v>
      </c>
      <c r="BK186" s="8" t="n">
        <v>2</v>
      </c>
      <c r="BL186" s="8" t="n">
        <v>2</v>
      </c>
      <c r="BM186" s="8" t="n">
        <v>2</v>
      </c>
    </row>
    <row r="187" customFormat="false" ht="15" hidden="false" customHeight="false" outlineLevel="0" collapsed="false">
      <c r="A187" s="3" t="n">
        <v>186</v>
      </c>
      <c r="B187" s="3" t="s">
        <v>31</v>
      </c>
      <c r="C187" s="3" t="n">
        <v>1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4</v>
      </c>
      <c r="I187" s="3" t="n">
        <v>4</v>
      </c>
      <c r="J187" s="3" t="n">
        <v>4</v>
      </c>
      <c r="K187" s="3" t="n">
        <v>3</v>
      </c>
      <c r="L187" s="3" t="n">
        <v>5</v>
      </c>
      <c r="M187" s="3" t="n">
        <v>4</v>
      </c>
      <c r="N187" s="3" t="n">
        <v>3</v>
      </c>
      <c r="O187" s="3" t="n">
        <v>3</v>
      </c>
      <c r="P187" s="3" t="n">
        <v>3</v>
      </c>
      <c r="Q187" s="3" t="n">
        <v>5</v>
      </c>
      <c r="R187" s="3" t="n">
        <v>5</v>
      </c>
      <c r="S187" s="3" t="n">
        <v>4</v>
      </c>
      <c r="T187" s="3" t="n">
        <v>1</v>
      </c>
      <c r="U187" s="3" t="n">
        <v>40</v>
      </c>
      <c r="V187" s="3" t="n">
        <v>81393</v>
      </c>
      <c r="W187" s="3" t="n">
        <v>2</v>
      </c>
      <c r="X187" s="3" t="n">
        <v>4</v>
      </c>
      <c r="Y187" s="3" t="n">
        <v>2</v>
      </c>
      <c r="Z187" s="3" t="n">
        <v>1</v>
      </c>
      <c r="AA187" s="4" t="n">
        <f aca="false">IF($B187=AA$1,1,0)</f>
        <v>0</v>
      </c>
      <c r="AB187" s="4" t="n">
        <f aca="false">IF($B187=AB$1,1,0)</f>
        <v>0</v>
      </c>
      <c r="AC187" s="4" t="n">
        <f aca="false">IF($B187=AC$1,1,0)</f>
        <v>0</v>
      </c>
      <c r="AD187" s="4" t="n">
        <f aca="false">IF($B187=AD$1,1,0)</f>
        <v>0</v>
      </c>
      <c r="AE187" s="4" t="n">
        <f aca="false">IF($B187=AE$1,1,0)</f>
        <v>0</v>
      </c>
      <c r="AF187" s="4" t="n">
        <f aca="false">IF($B187=AF$1,1,0)</f>
        <v>1</v>
      </c>
      <c r="AG187" s="4" t="n">
        <f aca="false">IF($B187=AG$1,1,0)</f>
        <v>0</v>
      </c>
      <c r="AH187" s="4" t="n">
        <f aca="false">IF($B187=AH$1,1,0)</f>
        <v>0</v>
      </c>
      <c r="AI187" s="4" t="n">
        <f aca="false">IF($B187=AI$1,1,0)</f>
        <v>0</v>
      </c>
      <c r="AJ187" s="4" t="n">
        <f aca="false">IF($B187=AJ$1,1,0)</f>
        <v>0</v>
      </c>
      <c r="AK187" s="4" t="n">
        <f aca="false">IF($B187=AK$1,1,0)</f>
        <v>0</v>
      </c>
      <c r="AL187" s="4" t="n">
        <f aca="false">IF($B187=AL$1,1,0)</f>
        <v>0</v>
      </c>
      <c r="AM187" s="4" t="n">
        <f aca="false">IF($B187=AM$1,1,0)</f>
        <v>0</v>
      </c>
      <c r="AN187" s="4" t="n">
        <f aca="false">IF($B187=AN$1,1,0)</f>
        <v>0</v>
      </c>
      <c r="AO187" s="4" t="n">
        <f aca="false">IF($B187=AO$1,1,0)</f>
        <v>0</v>
      </c>
      <c r="AP187" s="4" t="n">
        <f aca="false">IF($B187=AP$1,1,0)</f>
        <v>0</v>
      </c>
      <c r="AQ187" s="4" t="n">
        <f aca="false">IF($B187=AQ$1,1,0)</f>
        <v>0</v>
      </c>
      <c r="AR187" s="4" t="n">
        <f aca="false">IF($B187=AR$1,1,0)</f>
        <v>0</v>
      </c>
      <c r="AS187" s="4" t="n">
        <f aca="false">IF($B187=AS$1,1,0)</f>
        <v>0</v>
      </c>
      <c r="AT187" s="4" t="n">
        <f aca="false">IF($B187=AT$1,1,0)</f>
        <v>0</v>
      </c>
      <c r="BB187" s="4" t="n">
        <f aca="false">A187</f>
        <v>186</v>
      </c>
      <c r="BC187" s="7" t="n">
        <f aca="false">ABS($T187-$AX$2)+ABS($U187-$AY$2)+ABS($V187-$AZ$2)</f>
        <v>58560.8521126761</v>
      </c>
      <c r="BD187" s="7" t="n">
        <f aca="false">ABS($T187-$AX$3)+ABS($U187-$AY$3)+ABS($V187-$AZ$3)</f>
        <v>34732.0338983051</v>
      </c>
      <c r="BE187" s="7" t="n">
        <f aca="false">ABS($T187-$AX$4)+ABS($U187-$AY$4)+ABS($V187-$AZ$4)</f>
        <v>3601.39622641509</v>
      </c>
      <c r="BF187" s="7" t="n">
        <f aca="false">MIN(BC187:BE187)</f>
        <v>3601.39622641509</v>
      </c>
      <c r="BG187" s="4" t="n">
        <f aca="false">MATCH(BF187,BC187:BE187,0)</f>
        <v>3</v>
      </c>
      <c r="BH187" s="8" t="n">
        <v>3</v>
      </c>
      <c r="BI187" s="4" t="n">
        <f aca="false">IF(BG187=BH187,0,1)</f>
        <v>0</v>
      </c>
      <c r="BK187" s="8" t="n">
        <v>3</v>
      </c>
      <c r="BL187" s="8" t="n">
        <v>3</v>
      </c>
      <c r="BM187" s="8" t="n">
        <v>3</v>
      </c>
    </row>
    <row r="188" customFormat="false" ht="15" hidden="false" customHeight="false" outlineLevel="0" collapsed="false">
      <c r="A188" s="3" t="n">
        <v>187</v>
      </c>
      <c r="B188" s="3" t="s">
        <v>42</v>
      </c>
      <c r="C188" s="3" t="n">
        <v>1</v>
      </c>
      <c r="D188" s="3" t="n">
        <v>0</v>
      </c>
      <c r="E188" s="3" t="n">
        <v>0</v>
      </c>
      <c r="F188" s="3" t="n">
        <v>0</v>
      </c>
      <c r="G188" s="3" t="n">
        <v>1</v>
      </c>
      <c r="H188" s="3" t="n">
        <v>4</v>
      </c>
      <c r="I188" s="3" t="n">
        <v>4</v>
      </c>
      <c r="J188" s="3" t="n">
        <v>5</v>
      </c>
      <c r="K188" s="3" t="n">
        <v>5</v>
      </c>
      <c r="L188" s="3" t="n">
        <v>5</v>
      </c>
      <c r="M188" s="3" t="n">
        <v>4</v>
      </c>
      <c r="N188" s="3" t="n">
        <v>3</v>
      </c>
      <c r="O188" s="3" t="n">
        <v>3</v>
      </c>
      <c r="P188" s="3" t="n">
        <v>1</v>
      </c>
      <c r="Q188" s="3" t="n">
        <v>3</v>
      </c>
      <c r="R188" s="3" t="n">
        <v>3</v>
      </c>
      <c r="S188" s="3" t="n">
        <v>3</v>
      </c>
      <c r="T188" s="3" t="n">
        <v>0</v>
      </c>
      <c r="U188" s="3" t="n">
        <v>39</v>
      </c>
      <c r="V188" s="3" t="n">
        <v>15629</v>
      </c>
      <c r="W188" s="3" t="n">
        <v>2</v>
      </c>
      <c r="X188" s="3" t="n">
        <v>2</v>
      </c>
      <c r="Y188" s="3" t="n">
        <v>1</v>
      </c>
      <c r="Z188" s="3" t="n">
        <v>1</v>
      </c>
      <c r="AA188" s="4" t="n">
        <f aca="false">IF($B188=AA$1,1,0)</f>
        <v>0</v>
      </c>
      <c r="AB188" s="4" t="n">
        <f aca="false">IF($B188=AB$1,1,0)</f>
        <v>0</v>
      </c>
      <c r="AC188" s="4" t="n">
        <f aca="false">IF($B188=AC$1,1,0)</f>
        <v>0</v>
      </c>
      <c r="AD188" s="4" t="n">
        <f aca="false">IF($B188=AD$1,1,0)</f>
        <v>0</v>
      </c>
      <c r="AE188" s="4" t="n">
        <f aca="false">IF($B188=AE$1,1,0)</f>
        <v>0</v>
      </c>
      <c r="AF188" s="4" t="n">
        <f aca="false">IF($B188=AF$1,1,0)</f>
        <v>0</v>
      </c>
      <c r="AG188" s="4" t="n">
        <f aca="false">IF($B188=AG$1,1,0)</f>
        <v>0</v>
      </c>
      <c r="AH188" s="4" t="n">
        <f aca="false">IF($B188=AH$1,1,0)</f>
        <v>0</v>
      </c>
      <c r="AI188" s="4" t="n">
        <f aca="false">IF($B188=AI$1,1,0)</f>
        <v>0</v>
      </c>
      <c r="AJ188" s="4" t="n">
        <f aca="false">IF($B188=AJ$1,1,0)</f>
        <v>0</v>
      </c>
      <c r="AK188" s="4" t="n">
        <f aca="false">IF($B188=AK$1,1,0)</f>
        <v>0</v>
      </c>
      <c r="AL188" s="4" t="n">
        <f aca="false">IF($B188=AL$1,1,0)</f>
        <v>0</v>
      </c>
      <c r="AM188" s="4" t="n">
        <f aca="false">IF($B188=AM$1,1,0)</f>
        <v>0</v>
      </c>
      <c r="AN188" s="4" t="n">
        <f aca="false">IF($B188=AN$1,1,0)</f>
        <v>0</v>
      </c>
      <c r="AO188" s="4" t="n">
        <f aca="false">IF($B188=AO$1,1,0)</f>
        <v>0</v>
      </c>
      <c r="AP188" s="4" t="n">
        <f aca="false">IF($B188=AP$1,1,0)</f>
        <v>0</v>
      </c>
      <c r="AQ188" s="4" t="n">
        <f aca="false">IF($B188=AQ$1,1,0)</f>
        <v>1</v>
      </c>
      <c r="AR188" s="4" t="n">
        <f aca="false">IF($B188=AR$1,1,0)</f>
        <v>0</v>
      </c>
      <c r="AS188" s="4" t="n">
        <f aca="false">IF($B188=AS$1,1,0)</f>
        <v>0</v>
      </c>
      <c r="AT188" s="4" t="n">
        <f aca="false">IF($B188=AT$1,1,0)</f>
        <v>0</v>
      </c>
      <c r="BB188" s="4" t="n">
        <f aca="false">A188</f>
        <v>187</v>
      </c>
      <c r="BC188" s="7" t="n">
        <f aca="false">ABS($T188-$AX$2)+ABS($U188-$AY$2)+ABS($V188-$AZ$2)</f>
        <v>7205.66901408451</v>
      </c>
      <c r="BD188" s="7" t="n">
        <f aca="false">ABS($T188-$AX$3)+ABS($U188-$AY$3)+ABS($V188-$AZ$3)</f>
        <v>31036.7288135593</v>
      </c>
      <c r="BE188" s="7" t="n">
        <f aca="false">ABS($T188-$AX$4)+ABS($U188-$AY$4)+ABS($V188-$AZ$4)</f>
        <v>62168.641509434</v>
      </c>
      <c r="BF188" s="7" t="n">
        <f aca="false">MIN(BC188:BE188)</f>
        <v>7205.66901408451</v>
      </c>
      <c r="BG188" s="4" t="n">
        <f aca="false">MATCH(BF188,BC188:BE188,0)</f>
        <v>1</v>
      </c>
      <c r="BH188" s="8" t="n">
        <v>1</v>
      </c>
      <c r="BI188" s="4" t="n">
        <f aca="false">IF(BG188=BH188,0,1)</f>
        <v>0</v>
      </c>
      <c r="BK188" s="8" t="n">
        <v>1</v>
      </c>
      <c r="BL188" s="8" t="n">
        <v>1</v>
      </c>
      <c r="BM188" s="8" t="n">
        <v>1</v>
      </c>
    </row>
    <row r="189" customFormat="false" ht="15" hidden="false" customHeight="false" outlineLevel="0" collapsed="false">
      <c r="A189" s="3" t="n">
        <v>188</v>
      </c>
      <c r="B189" s="3" t="s">
        <v>31</v>
      </c>
      <c r="C189" s="3" t="n">
        <v>1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4</v>
      </c>
      <c r="I189" s="3" t="n">
        <v>4</v>
      </c>
      <c r="J189" s="3" t="n">
        <v>5</v>
      </c>
      <c r="K189" s="3" t="n">
        <v>5</v>
      </c>
      <c r="L189" s="3" t="n">
        <v>5</v>
      </c>
      <c r="M189" s="3" t="n">
        <v>4</v>
      </c>
      <c r="N189" s="3" t="n">
        <v>4</v>
      </c>
      <c r="O189" s="3" t="n">
        <v>5</v>
      </c>
      <c r="P189" s="3" t="n">
        <v>5</v>
      </c>
      <c r="Q189" s="3" t="n">
        <v>5</v>
      </c>
      <c r="R189" s="3" t="n">
        <v>5</v>
      </c>
      <c r="S189" s="3" t="n">
        <v>4</v>
      </c>
      <c r="T189" s="3" t="n">
        <v>1</v>
      </c>
      <c r="U189" s="3" t="n">
        <v>33</v>
      </c>
      <c r="V189" s="3" t="n">
        <v>72657</v>
      </c>
      <c r="W189" s="3" t="n">
        <v>1</v>
      </c>
      <c r="X189" s="3" t="n">
        <v>2</v>
      </c>
      <c r="Y189" s="3" t="n">
        <v>1</v>
      </c>
      <c r="Z189" s="3" t="n">
        <v>1</v>
      </c>
      <c r="AA189" s="4" t="n">
        <f aca="false">IF($B189=AA$1,1,0)</f>
        <v>0</v>
      </c>
      <c r="AB189" s="4" t="n">
        <f aca="false">IF($B189=AB$1,1,0)</f>
        <v>0</v>
      </c>
      <c r="AC189" s="4" t="n">
        <f aca="false">IF($B189=AC$1,1,0)</f>
        <v>0</v>
      </c>
      <c r="AD189" s="4" t="n">
        <f aca="false">IF($B189=AD$1,1,0)</f>
        <v>0</v>
      </c>
      <c r="AE189" s="4" t="n">
        <f aca="false">IF($B189=AE$1,1,0)</f>
        <v>0</v>
      </c>
      <c r="AF189" s="4" t="n">
        <f aca="false">IF($B189=AF$1,1,0)</f>
        <v>1</v>
      </c>
      <c r="AG189" s="4" t="n">
        <f aca="false">IF($B189=AG$1,1,0)</f>
        <v>0</v>
      </c>
      <c r="AH189" s="4" t="n">
        <f aca="false">IF($B189=AH$1,1,0)</f>
        <v>0</v>
      </c>
      <c r="AI189" s="4" t="n">
        <f aca="false">IF($B189=AI$1,1,0)</f>
        <v>0</v>
      </c>
      <c r="AJ189" s="4" t="n">
        <f aca="false">IF($B189=AJ$1,1,0)</f>
        <v>0</v>
      </c>
      <c r="AK189" s="4" t="n">
        <f aca="false">IF($B189=AK$1,1,0)</f>
        <v>0</v>
      </c>
      <c r="AL189" s="4" t="n">
        <f aca="false">IF($B189=AL$1,1,0)</f>
        <v>0</v>
      </c>
      <c r="AM189" s="4" t="n">
        <f aca="false">IF($B189=AM$1,1,0)</f>
        <v>0</v>
      </c>
      <c r="AN189" s="4" t="n">
        <f aca="false">IF($B189=AN$1,1,0)</f>
        <v>0</v>
      </c>
      <c r="AO189" s="4" t="n">
        <f aca="false">IF($B189=AO$1,1,0)</f>
        <v>0</v>
      </c>
      <c r="AP189" s="4" t="n">
        <f aca="false">IF($B189=AP$1,1,0)</f>
        <v>0</v>
      </c>
      <c r="AQ189" s="4" t="n">
        <f aca="false">IF($B189=AQ$1,1,0)</f>
        <v>0</v>
      </c>
      <c r="AR189" s="4" t="n">
        <f aca="false">IF($B189=AR$1,1,0)</f>
        <v>0</v>
      </c>
      <c r="AS189" s="4" t="n">
        <f aca="false">IF($B189=AS$1,1,0)</f>
        <v>0</v>
      </c>
      <c r="AT189" s="4" t="n">
        <f aca="false">IF($B189=AT$1,1,0)</f>
        <v>0</v>
      </c>
      <c r="BB189" s="4" t="n">
        <f aca="false">A189</f>
        <v>188</v>
      </c>
      <c r="BC189" s="7" t="n">
        <f aca="false">ABS($T189-$AX$2)+ABS($U189-$AY$2)+ABS($V189-$AZ$2)</f>
        <v>49829.3309859155</v>
      </c>
      <c r="BD189" s="7" t="n">
        <f aca="false">ABS($T189-$AX$3)+ABS($U189-$AY$3)+ABS($V189-$AZ$3)</f>
        <v>26003.0338983051</v>
      </c>
      <c r="BE189" s="7" t="n">
        <f aca="false">ABS($T189-$AX$4)+ABS($U189-$AY$4)+ABS($V189-$AZ$4)</f>
        <v>5147.11320754717</v>
      </c>
      <c r="BF189" s="7" t="n">
        <f aca="false">MIN(BC189:BE189)</f>
        <v>5147.11320754717</v>
      </c>
      <c r="BG189" s="4" t="n">
        <f aca="false">MATCH(BF189,BC189:BE189,0)</f>
        <v>3</v>
      </c>
      <c r="BH189" s="8" t="n">
        <v>3</v>
      </c>
      <c r="BI189" s="4" t="n">
        <f aca="false">IF(BG189=BH189,0,1)</f>
        <v>0</v>
      </c>
      <c r="BK189" s="8" t="n">
        <v>3</v>
      </c>
      <c r="BL189" s="8" t="n">
        <v>3</v>
      </c>
      <c r="BM189" s="8" t="n">
        <v>3</v>
      </c>
    </row>
    <row r="190" customFormat="false" ht="15" hidden="false" customHeight="false" outlineLevel="0" collapsed="false">
      <c r="A190" s="3" t="n">
        <v>189</v>
      </c>
      <c r="B190" s="3" t="s">
        <v>30</v>
      </c>
      <c r="C190" s="3" t="n">
        <v>1</v>
      </c>
      <c r="D190" s="3" t="n">
        <v>0</v>
      </c>
      <c r="E190" s="3" t="n">
        <v>0</v>
      </c>
      <c r="F190" s="3" t="n">
        <v>0</v>
      </c>
      <c r="G190" s="3" t="n">
        <v>1</v>
      </c>
      <c r="H190" s="3" t="n">
        <v>5</v>
      </c>
      <c r="I190" s="3" t="n">
        <v>4</v>
      </c>
      <c r="J190" s="3" t="n">
        <v>5</v>
      </c>
      <c r="K190" s="3" t="n">
        <v>4</v>
      </c>
      <c r="L190" s="3" t="n">
        <v>5</v>
      </c>
      <c r="M190" s="3" t="n">
        <v>4</v>
      </c>
      <c r="N190" s="3" t="n">
        <v>3</v>
      </c>
      <c r="O190" s="3" t="n">
        <v>3</v>
      </c>
      <c r="P190" s="3" t="n">
        <v>2</v>
      </c>
      <c r="Q190" s="3" t="n">
        <v>5</v>
      </c>
      <c r="R190" s="3" t="n">
        <v>5</v>
      </c>
      <c r="S190" s="3" t="n">
        <v>3</v>
      </c>
      <c r="T190" s="3" t="n">
        <v>1</v>
      </c>
      <c r="U190" s="3" t="n">
        <v>32</v>
      </c>
      <c r="V190" s="3" t="n">
        <v>24334</v>
      </c>
      <c r="W190" s="3" t="n">
        <v>2</v>
      </c>
      <c r="X190" s="3" t="n">
        <v>3</v>
      </c>
      <c r="Y190" s="3" t="n">
        <v>5</v>
      </c>
      <c r="Z190" s="3" t="n">
        <v>3</v>
      </c>
      <c r="AA190" s="4" t="n">
        <f aca="false">IF($B190=AA$1,1,0)</f>
        <v>0</v>
      </c>
      <c r="AB190" s="4" t="n">
        <f aca="false">IF($B190=AB$1,1,0)</f>
        <v>0</v>
      </c>
      <c r="AC190" s="4" t="n">
        <f aca="false">IF($B190=AC$1,1,0)</f>
        <v>0</v>
      </c>
      <c r="AD190" s="4" t="n">
        <f aca="false">IF($B190=AD$1,1,0)</f>
        <v>0</v>
      </c>
      <c r="AE190" s="4" t="n">
        <f aca="false">IF($B190=AE$1,1,0)</f>
        <v>1</v>
      </c>
      <c r="AF190" s="4" t="n">
        <f aca="false">IF($B190=AF$1,1,0)</f>
        <v>0</v>
      </c>
      <c r="AG190" s="4" t="n">
        <f aca="false">IF($B190=AG$1,1,0)</f>
        <v>0</v>
      </c>
      <c r="AH190" s="4" t="n">
        <f aca="false">IF($B190=AH$1,1,0)</f>
        <v>0</v>
      </c>
      <c r="AI190" s="4" t="n">
        <f aca="false">IF($B190=AI$1,1,0)</f>
        <v>0</v>
      </c>
      <c r="AJ190" s="4" t="n">
        <f aca="false">IF($B190=AJ$1,1,0)</f>
        <v>0</v>
      </c>
      <c r="AK190" s="4" t="n">
        <f aca="false">IF($B190=AK$1,1,0)</f>
        <v>0</v>
      </c>
      <c r="AL190" s="4" t="n">
        <f aca="false">IF($B190=AL$1,1,0)</f>
        <v>0</v>
      </c>
      <c r="AM190" s="4" t="n">
        <f aca="false">IF($B190=AM$1,1,0)</f>
        <v>0</v>
      </c>
      <c r="AN190" s="4" t="n">
        <f aca="false">IF($B190=AN$1,1,0)</f>
        <v>0</v>
      </c>
      <c r="AO190" s="4" t="n">
        <f aca="false">IF($B190=AO$1,1,0)</f>
        <v>0</v>
      </c>
      <c r="AP190" s="4" t="n">
        <f aca="false">IF($B190=AP$1,1,0)</f>
        <v>0</v>
      </c>
      <c r="AQ190" s="4" t="n">
        <f aca="false">IF($B190=AQ$1,1,0)</f>
        <v>0</v>
      </c>
      <c r="AR190" s="4" t="n">
        <f aca="false">IF($B190=AR$1,1,0)</f>
        <v>0</v>
      </c>
      <c r="AS190" s="4" t="n">
        <f aca="false">IF($B190=AS$1,1,0)</f>
        <v>0</v>
      </c>
      <c r="AT190" s="4" t="n">
        <f aca="false">IF($B190=AT$1,1,0)</f>
        <v>0</v>
      </c>
      <c r="BB190" s="4" t="n">
        <f aca="false">A190</f>
        <v>189</v>
      </c>
      <c r="BC190" s="7" t="n">
        <f aca="false">ABS($T190-$AX$2)+ABS($U190-$AY$2)+ABS($V190-$AZ$2)</f>
        <v>1507.33098591549</v>
      </c>
      <c r="BD190" s="7" t="n">
        <f aca="false">ABS($T190-$AX$3)+ABS($U190-$AY$3)+ABS($V190-$AZ$3)</f>
        <v>22339.3559322034</v>
      </c>
      <c r="BE190" s="7" t="n">
        <f aca="false">ABS($T190-$AX$4)+ABS($U190-$AY$4)+ABS($V190-$AZ$4)</f>
        <v>53471.1132075472</v>
      </c>
      <c r="BF190" s="7" t="n">
        <f aca="false">MIN(BC190:BE190)</f>
        <v>1507.33098591549</v>
      </c>
      <c r="BG190" s="4" t="n">
        <f aca="false">MATCH(BF190,BC190:BE190,0)</f>
        <v>1</v>
      </c>
      <c r="BH190" s="8" t="n">
        <v>1</v>
      </c>
      <c r="BI190" s="4" t="n">
        <f aca="false">IF(BG190=BH190,0,1)</f>
        <v>0</v>
      </c>
      <c r="BK190" s="8" t="n">
        <v>1</v>
      </c>
      <c r="BL190" s="8" t="n">
        <v>1</v>
      </c>
      <c r="BM190" s="8" t="n">
        <v>1</v>
      </c>
    </row>
    <row r="191" customFormat="false" ht="15" hidden="false" customHeight="false" outlineLevel="0" collapsed="false">
      <c r="A191" s="3" t="n">
        <v>190</v>
      </c>
      <c r="B191" s="3" t="s">
        <v>33</v>
      </c>
      <c r="C191" s="3" t="n">
        <v>1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4</v>
      </c>
      <c r="I191" s="3" t="n">
        <v>4</v>
      </c>
      <c r="J191" s="3" t="n">
        <v>4</v>
      </c>
      <c r="K191" s="3" t="n">
        <v>4</v>
      </c>
      <c r="L191" s="3" t="n">
        <v>4</v>
      </c>
      <c r="M191" s="3" t="n">
        <v>3</v>
      </c>
      <c r="N191" s="3" t="n">
        <v>4</v>
      </c>
      <c r="O191" s="3" t="n">
        <v>4</v>
      </c>
      <c r="P191" s="3" t="n">
        <v>4</v>
      </c>
      <c r="Q191" s="3" t="n">
        <v>5</v>
      </c>
      <c r="R191" s="3" t="n">
        <v>5</v>
      </c>
      <c r="S191" s="3" t="n">
        <v>5</v>
      </c>
      <c r="T191" s="3" t="n">
        <v>0</v>
      </c>
      <c r="U191" s="3" t="n">
        <v>51</v>
      </c>
      <c r="V191" s="3" t="n">
        <v>14502</v>
      </c>
      <c r="W191" s="3" t="n">
        <v>2</v>
      </c>
      <c r="X191" s="3" t="n">
        <v>2</v>
      </c>
      <c r="Y191" s="3" t="n">
        <v>2</v>
      </c>
      <c r="Z191" s="3" t="n">
        <v>2</v>
      </c>
      <c r="AA191" s="4" t="n">
        <f aca="false">IF($B191=AA$1,1,0)</f>
        <v>0</v>
      </c>
      <c r="AB191" s="4" t="n">
        <f aca="false">IF($B191=AB$1,1,0)</f>
        <v>0</v>
      </c>
      <c r="AC191" s="4" t="n">
        <f aca="false">IF($B191=AC$1,1,0)</f>
        <v>0</v>
      </c>
      <c r="AD191" s="4" t="n">
        <f aca="false">IF($B191=AD$1,1,0)</f>
        <v>0</v>
      </c>
      <c r="AE191" s="4" t="n">
        <f aca="false">IF($B191=AE$1,1,0)</f>
        <v>0</v>
      </c>
      <c r="AF191" s="4" t="n">
        <f aca="false">IF($B191=AF$1,1,0)</f>
        <v>0</v>
      </c>
      <c r="AG191" s="4" t="n">
        <f aca="false">IF($B191=AG$1,1,0)</f>
        <v>0</v>
      </c>
      <c r="AH191" s="4" t="n">
        <f aca="false">IF($B191=AH$1,1,0)</f>
        <v>1</v>
      </c>
      <c r="AI191" s="4" t="n">
        <f aca="false">IF($B191=AI$1,1,0)</f>
        <v>0</v>
      </c>
      <c r="AJ191" s="4" t="n">
        <f aca="false">IF($B191=AJ$1,1,0)</f>
        <v>0</v>
      </c>
      <c r="AK191" s="4" t="n">
        <f aca="false">IF($B191=AK$1,1,0)</f>
        <v>0</v>
      </c>
      <c r="AL191" s="4" t="n">
        <f aca="false">IF($B191=AL$1,1,0)</f>
        <v>0</v>
      </c>
      <c r="AM191" s="4" t="n">
        <f aca="false">IF($B191=AM$1,1,0)</f>
        <v>0</v>
      </c>
      <c r="AN191" s="4" t="n">
        <f aca="false">IF($B191=AN$1,1,0)</f>
        <v>0</v>
      </c>
      <c r="AO191" s="4" t="n">
        <f aca="false">IF($B191=AO$1,1,0)</f>
        <v>0</v>
      </c>
      <c r="AP191" s="4" t="n">
        <f aca="false">IF($B191=AP$1,1,0)</f>
        <v>0</v>
      </c>
      <c r="AQ191" s="4" t="n">
        <f aca="false">IF($B191=AQ$1,1,0)</f>
        <v>0</v>
      </c>
      <c r="AR191" s="4" t="n">
        <f aca="false">IF($B191=AR$1,1,0)</f>
        <v>0</v>
      </c>
      <c r="AS191" s="4" t="n">
        <f aca="false">IF($B191=AS$1,1,0)</f>
        <v>0</v>
      </c>
      <c r="AT191" s="4" t="n">
        <f aca="false">IF($B191=AT$1,1,0)</f>
        <v>0</v>
      </c>
      <c r="BB191" s="4" t="n">
        <f aca="false">A191</f>
        <v>190</v>
      </c>
      <c r="BC191" s="7" t="n">
        <f aca="false">ABS($T191-$AX$2)+ABS($U191-$AY$2)+ABS($V191-$AZ$2)</f>
        <v>8344.66901408451</v>
      </c>
      <c r="BD191" s="7" t="n">
        <f aca="false">ABS($T191-$AX$3)+ABS($U191-$AY$3)+ABS($V191-$AZ$3)</f>
        <v>32170.9661016949</v>
      </c>
      <c r="BE191" s="7" t="n">
        <f aca="false">ABS($T191-$AX$4)+ABS($U191-$AY$4)+ABS($V191-$AZ$4)</f>
        <v>63301.6037735849</v>
      </c>
      <c r="BF191" s="7" t="n">
        <f aca="false">MIN(BC191:BE191)</f>
        <v>8344.66901408451</v>
      </c>
      <c r="BG191" s="4" t="n">
        <f aca="false">MATCH(BF191,BC191:BE191,0)</f>
        <v>1</v>
      </c>
      <c r="BH191" s="8" t="n">
        <v>1</v>
      </c>
      <c r="BI191" s="4" t="n">
        <f aca="false">IF(BG191=BH191,0,1)</f>
        <v>0</v>
      </c>
      <c r="BK191" s="8" t="n">
        <v>1</v>
      </c>
      <c r="BL191" s="8" t="n">
        <v>1</v>
      </c>
      <c r="BM191" s="8" t="n">
        <v>1</v>
      </c>
    </row>
    <row r="192" customFormat="false" ht="15" hidden="false" customHeight="false" outlineLevel="0" collapsed="false">
      <c r="A192" s="3" t="n">
        <v>191</v>
      </c>
      <c r="B192" s="3" t="s">
        <v>30</v>
      </c>
      <c r="C192" s="3" t="n">
        <v>1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4</v>
      </c>
      <c r="I192" s="3" t="n">
        <v>4</v>
      </c>
      <c r="J192" s="3" t="n">
        <v>4</v>
      </c>
      <c r="K192" s="3" t="n">
        <v>5</v>
      </c>
      <c r="L192" s="3" t="n">
        <v>5</v>
      </c>
      <c r="M192" s="3" t="n">
        <v>5</v>
      </c>
      <c r="N192" s="3" t="n">
        <v>3</v>
      </c>
      <c r="O192" s="3" t="n">
        <v>3</v>
      </c>
      <c r="P192" s="3" t="n">
        <v>3</v>
      </c>
      <c r="Q192" s="3" t="n">
        <v>3</v>
      </c>
      <c r="R192" s="3" t="n">
        <v>3</v>
      </c>
      <c r="S192" s="3" t="n">
        <v>3</v>
      </c>
      <c r="T192" s="3" t="n">
        <v>1</v>
      </c>
      <c r="U192" s="3" t="n">
        <v>34</v>
      </c>
      <c r="V192" s="3" t="n">
        <v>17145</v>
      </c>
      <c r="W192" s="3" t="n">
        <v>2</v>
      </c>
      <c r="X192" s="3" t="n">
        <v>3</v>
      </c>
      <c r="Y192" s="3" t="n">
        <v>1</v>
      </c>
      <c r="Z192" s="3" t="n">
        <v>1</v>
      </c>
      <c r="AA192" s="4" t="n">
        <f aca="false">IF($B192=AA$1,1,0)</f>
        <v>0</v>
      </c>
      <c r="AB192" s="4" t="n">
        <f aca="false">IF($B192=AB$1,1,0)</f>
        <v>0</v>
      </c>
      <c r="AC192" s="4" t="n">
        <f aca="false">IF($B192=AC$1,1,0)</f>
        <v>0</v>
      </c>
      <c r="AD192" s="4" t="n">
        <f aca="false">IF($B192=AD$1,1,0)</f>
        <v>0</v>
      </c>
      <c r="AE192" s="4" t="n">
        <f aca="false">IF($B192=AE$1,1,0)</f>
        <v>1</v>
      </c>
      <c r="AF192" s="4" t="n">
        <f aca="false">IF($B192=AF$1,1,0)</f>
        <v>0</v>
      </c>
      <c r="AG192" s="4" t="n">
        <f aca="false">IF($B192=AG$1,1,0)</f>
        <v>0</v>
      </c>
      <c r="AH192" s="4" t="n">
        <f aca="false">IF($B192=AH$1,1,0)</f>
        <v>0</v>
      </c>
      <c r="AI192" s="4" t="n">
        <f aca="false">IF($B192=AI$1,1,0)</f>
        <v>0</v>
      </c>
      <c r="AJ192" s="4" t="n">
        <f aca="false">IF($B192=AJ$1,1,0)</f>
        <v>0</v>
      </c>
      <c r="AK192" s="4" t="n">
        <f aca="false">IF($B192=AK$1,1,0)</f>
        <v>0</v>
      </c>
      <c r="AL192" s="4" t="n">
        <f aca="false">IF($B192=AL$1,1,0)</f>
        <v>0</v>
      </c>
      <c r="AM192" s="4" t="n">
        <f aca="false">IF($B192=AM$1,1,0)</f>
        <v>0</v>
      </c>
      <c r="AN192" s="4" t="n">
        <f aca="false">IF($B192=AN$1,1,0)</f>
        <v>0</v>
      </c>
      <c r="AO192" s="4" t="n">
        <f aca="false">IF($B192=AO$1,1,0)</f>
        <v>0</v>
      </c>
      <c r="AP192" s="4" t="n">
        <f aca="false">IF($B192=AP$1,1,0)</f>
        <v>0</v>
      </c>
      <c r="AQ192" s="4" t="n">
        <f aca="false">IF($B192=AQ$1,1,0)</f>
        <v>0</v>
      </c>
      <c r="AR192" s="4" t="n">
        <f aca="false">IF($B192=AR$1,1,0)</f>
        <v>0</v>
      </c>
      <c r="AS192" s="4" t="n">
        <f aca="false">IF($B192=AS$1,1,0)</f>
        <v>0</v>
      </c>
      <c r="AT192" s="4" t="n">
        <f aca="false">IF($B192=AT$1,1,0)</f>
        <v>0</v>
      </c>
      <c r="BB192" s="4" t="n">
        <f aca="false">A192</f>
        <v>191</v>
      </c>
      <c r="BC192" s="7" t="n">
        <f aca="false">ABS($T192-$AX$2)+ABS($U192-$AY$2)+ABS($V192-$AZ$2)</f>
        <v>5694.71126760564</v>
      </c>
      <c r="BD192" s="7" t="n">
        <f aca="false">ABS($T192-$AX$3)+ABS($U192-$AY$3)+ABS($V192-$AZ$3)</f>
        <v>29526.3559322034</v>
      </c>
      <c r="BE192" s="7" t="n">
        <f aca="false">ABS($T192-$AX$4)+ABS($U192-$AY$4)+ABS($V192-$AZ$4)</f>
        <v>60658.1132075472</v>
      </c>
      <c r="BF192" s="7" t="n">
        <f aca="false">MIN(BC192:BE192)</f>
        <v>5694.71126760564</v>
      </c>
      <c r="BG192" s="4" t="n">
        <f aca="false">MATCH(BF192,BC192:BE192,0)</f>
        <v>1</v>
      </c>
      <c r="BH192" s="8" t="n">
        <v>1</v>
      </c>
      <c r="BI192" s="4" t="n">
        <f aca="false">IF(BG192=BH192,0,1)</f>
        <v>0</v>
      </c>
      <c r="BK192" s="8" t="n">
        <v>1</v>
      </c>
      <c r="BL192" s="8" t="n">
        <v>1</v>
      </c>
      <c r="BM192" s="8" t="n">
        <v>1</v>
      </c>
    </row>
    <row r="193" customFormat="false" ht="15" hidden="false" customHeight="false" outlineLevel="0" collapsed="false">
      <c r="A193" s="3" t="n">
        <v>192</v>
      </c>
      <c r="B193" s="3" t="s">
        <v>33</v>
      </c>
      <c r="C193" s="3" t="n">
        <v>1</v>
      </c>
      <c r="D193" s="3" t="n">
        <v>0</v>
      </c>
      <c r="E193" s="3" t="n">
        <v>0</v>
      </c>
      <c r="F193" s="3" t="n">
        <v>0</v>
      </c>
      <c r="G193" s="3" t="n">
        <v>2</v>
      </c>
      <c r="H193" s="3" t="n">
        <v>4</v>
      </c>
      <c r="I193" s="3" t="n">
        <v>4</v>
      </c>
      <c r="J193" s="3" t="n">
        <v>5</v>
      </c>
      <c r="K193" s="3" t="n">
        <v>4</v>
      </c>
      <c r="L193" s="3" t="n">
        <v>5</v>
      </c>
      <c r="M193" s="3" t="n">
        <v>4</v>
      </c>
      <c r="N193" s="3" t="n">
        <v>5</v>
      </c>
      <c r="O193" s="3" t="n">
        <v>3</v>
      </c>
      <c r="P193" s="3" t="n">
        <v>4</v>
      </c>
      <c r="Q193" s="3" t="n">
        <v>4</v>
      </c>
      <c r="R193" s="3" t="n">
        <v>4</v>
      </c>
      <c r="S193" s="3" t="n">
        <v>4</v>
      </c>
      <c r="T193" s="3" t="n">
        <v>1</v>
      </c>
      <c r="U193" s="3" t="n">
        <v>69</v>
      </c>
      <c r="V193" s="3" t="n">
        <v>34164</v>
      </c>
      <c r="W193" s="3" t="n">
        <v>3</v>
      </c>
      <c r="X193" s="3" t="n">
        <v>3</v>
      </c>
      <c r="Y193" s="3" t="n">
        <v>2</v>
      </c>
      <c r="Z193" s="3" t="n">
        <v>3</v>
      </c>
      <c r="AA193" s="4" t="n">
        <f aca="false">IF($B193=AA$1,1,0)</f>
        <v>0</v>
      </c>
      <c r="AB193" s="4" t="n">
        <f aca="false">IF($B193=AB$1,1,0)</f>
        <v>0</v>
      </c>
      <c r="AC193" s="4" t="n">
        <f aca="false">IF($B193=AC$1,1,0)</f>
        <v>0</v>
      </c>
      <c r="AD193" s="4" t="n">
        <f aca="false">IF($B193=AD$1,1,0)</f>
        <v>0</v>
      </c>
      <c r="AE193" s="4" t="n">
        <f aca="false">IF($B193=AE$1,1,0)</f>
        <v>0</v>
      </c>
      <c r="AF193" s="4" t="n">
        <f aca="false">IF($B193=AF$1,1,0)</f>
        <v>0</v>
      </c>
      <c r="AG193" s="4" t="n">
        <f aca="false">IF($B193=AG$1,1,0)</f>
        <v>0</v>
      </c>
      <c r="AH193" s="4" t="n">
        <f aca="false">IF($B193=AH$1,1,0)</f>
        <v>1</v>
      </c>
      <c r="AI193" s="4" t="n">
        <f aca="false">IF($B193=AI$1,1,0)</f>
        <v>0</v>
      </c>
      <c r="AJ193" s="4" t="n">
        <f aca="false">IF($B193=AJ$1,1,0)</f>
        <v>0</v>
      </c>
      <c r="AK193" s="4" t="n">
        <f aca="false">IF($B193=AK$1,1,0)</f>
        <v>0</v>
      </c>
      <c r="AL193" s="4" t="n">
        <f aca="false">IF($B193=AL$1,1,0)</f>
        <v>0</v>
      </c>
      <c r="AM193" s="4" t="n">
        <f aca="false">IF($B193=AM$1,1,0)</f>
        <v>0</v>
      </c>
      <c r="AN193" s="4" t="n">
        <f aca="false">IF($B193=AN$1,1,0)</f>
        <v>0</v>
      </c>
      <c r="AO193" s="4" t="n">
        <f aca="false">IF($B193=AO$1,1,0)</f>
        <v>0</v>
      </c>
      <c r="AP193" s="4" t="n">
        <f aca="false">IF($B193=AP$1,1,0)</f>
        <v>0</v>
      </c>
      <c r="AQ193" s="4" t="n">
        <f aca="false">IF($B193=AQ$1,1,0)</f>
        <v>0</v>
      </c>
      <c r="AR193" s="4" t="n">
        <f aca="false">IF($B193=AR$1,1,0)</f>
        <v>0</v>
      </c>
      <c r="AS193" s="4" t="n">
        <f aca="false">IF($B193=AS$1,1,0)</f>
        <v>0</v>
      </c>
      <c r="AT193" s="4" t="n">
        <f aca="false">IF($B193=AT$1,1,0)</f>
        <v>0</v>
      </c>
      <c r="BB193" s="4" t="n">
        <f aca="false">A193</f>
        <v>192</v>
      </c>
      <c r="BC193" s="7" t="n">
        <f aca="false">ABS($T193-$AX$2)+ABS($U193-$AY$2)+ABS($V193-$AZ$2)</f>
        <v>11360.8521126761</v>
      </c>
      <c r="BD193" s="7" t="n">
        <f aca="false">ABS($T193-$AX$3)+ABS($U193-$AY$3)+ABS($V193-$AZ$3)</f>
        <v>12527.593220339</v>
      </c>
      <c r="BE193" s="7" t="n">
        <f aca="false">ABS($T193-$AX$4)+ABS($U193-$AY$4)+ABS($V193-$AZ$4)</f>
        <v>43658.0754716981</v>
      </c>
      <c r="BF193" s="7" t="n">
        <f aca="false">MIN(BC193:BE193)</f>
        <v>11360.8521126761</v>
      </c>
      <c r="BG193" s="4" t="n">
        <f aca="false">MATCH(BF193,BC193:BE193,0)</f>
        <v>1</v>
      </c>
      <c r="BH193" s="8" t="n">
        <v>1</v>
      </c>
      <c r="BI193" s="4" t="n">
        <f aca="false">IF(BG193=BH193,0,1)</f>
        <v>0</v>
      </c>
      <c r="BK193" s="8" t="n">
        <v>2</v>
      </c>
      <c r="BL193" s="8" t="n">
        <v>2</v>
      </c>
      <c r="BM193" s="8" t="n">
        <v>1</v>
      </c>
    </row>
    <row r="194" customFormat="false" ht="15" hidden="false" customHeight="false" outlineLevel="0" collapsed="false">
      <c r="A194" s="3" t="n">
        <v>193</v>
      </c>
      <c r="B194" s="3" t="s">
        <v>36</v>
      </c>
      <c r="C194" s="3" t="n">
        <v>0</v>
      </c>
      <c r="D194" s="3" t="n">
        <v>0</v>
      </c>
      <c r="E194" s="3" t="n">
        <v>1</v>
      </c>
      <c r="F194" s="3" t="n">
        <v>0</v>
      </c>
      <c r="G194" s="3" t="n">
        <v>0</v>
      </c>
      <c r="H194" s="3" t="n">
        <v>4</v>
      </c>
      <c r="I194" s="3" t="n">
        <v>5</v>
      </c>
      <c r="J194" s="3" t="n">
        <v>5</v>
      </c>
      <c r="K194" s="3" t="n">
        <v>5</v>
      </c>
      <c r="L194" s="3" t="n">
        <v>5</v>
      </c>
      <c r="M194" s="3" t="n">
        <v>4</v>
      </c>
      <c r="N194" s="3" t="n">
        <v>4</v>
      </c>
      <c r="O194" s="3" t="n">
        <v>5</v>
      </c>
      <c r="P194" s="3" t="n">
        <v>5</v>
      </c>
      <c r="Q194" s="3" t="n">
        <v>5</v>
      </c>
      <c r="R194" s="3" t="n">
        <v>5</v>
      </c>
      <c r="S194" s="3" t="n">
        <v>3</v>
      </c>
      <c r="T194" s="3" t="n">
        <v>0</v>
      </c>
      <c r="U194" s="3" t="n">
        <v>54</v>
      </c>
      <c r="V194" s="3" t="n">
        <v>44372</v>
      </c>
      <c r="W194" s="3" t="n">
        <v>1</v>
      </c>
      <c r="X194" s="3" t="n">
        <v>4</v>
      </c>
      <c r="Y194" s="3" t="n">
        <v>1</v>
      </c>
      <c r="Z194" s="3" t="n">
        <v>1</v>
      </c>
      <c r="AA194" s="4" t="n">
        <f aca="false">IF($B194=AA$1,1,0)</f>
        <v>0</v>
      </c>
      <c r="AB194" s="4" t="n">
        <f aca="false">IF($B194=AB$1,1,0)</f>
        <v>0</v>
      </c>
      <c r="AC194" s="4" t="n">
        <f aca="false">IF($B194=AC$1,1,0)</f>
        <v>0</v>
      </c>
      <c r="AD194" s="4" t="n">
        <f aca="false">IF($B194=AD$1,1,0)</f>
        <v>0</v>
      </c>
      <c r="AE194" s="4" t="n">
        <f aca="false">IF($B194=AE$1,1,0)</f>
        <v>0</v>
      </c>
      <c r="AF194" s="4" t="n">
        <f aca="false">IF($B194=AF$1,1,0)</f>
        <v>0</v>
      </c>
      <c r="AG194" s="4" t="n">
        <f aca="false">IF($B194=AG$1,1,0)</f>
        <v>0</v>
      </c>
      <c r="AH194" s="4" t="n">
        <f aca="false">IF($B194=AH$1,1,0)</f>
        <v>0</v>
      </c>
      <c r="AI194" s="4" t="n">
        <f aca="false">IF($B194=AI$1,1,0)</f>
        <v>0</v>
      </c>
      <c r="AJ194" s="4" t="n">
        <f aca="false">IF($B194=AJ$1,1,0)</f>
        <v>0</v>
      </c>
      <c r="AK194" s="4" t="n">
        <f aca="false">IF($B194=AK$1,1,0)</f>
        <v>1</v>
      </c>
      <c r="AL194" s="4" t="n">
        <f aca="false">IF($B194=AL$1,1,0)</f>
        <v>0</v>
      </c>
      <c r="AM194" s="4" t="n">
        <f aca="false">IF($B194=AM$1,1,0)</f>
        <v>0</v>
      </c>
      <c r="AN194" s="4" t="n">
        <f aca="false">IF($B194=AN$1,1,0)</f>
        <v>0</v>
      </c>
      <c r="AO194" s="4" t="n">
        <f aca="false">IF($B194=AO$1,1,0)</f>
        <v>0</v>
      </c>
      <c r="AP194" s="4" t="n">
        <f aca="false">IF($B194=AP$1,1,0)</f>
        <v>0</v>
      </c>
      <c r="AQ194" s="4" t="n">
        <f aca="false">IF($B194=AQ$1,1,0)</f>
        <v>0</v>
      </c>
      <c r="AR194" s="4" t="n">
        <f aca="false">IF($B194=AR$1,1,0)</f>
        <v>0</v>
      </c>
      <c r="AS194" s="4" t="n">
        <f aca="false">IF($B194=AS$1,1,0)</f>
        <v>0</v>
      </c>
      <c r="AT194" s="4" t="n">
        <f aca="false">IF($B194=AT$1,1,0)</f>
        <v>0</v>
      </c>
      <c r="BB194" s="4" t="n">
        <f aca="false">A194</f>
        <v>193</v>
      </c>
      <c r="BC194" s="7" t="n">
        <f aca="false">ABS($T194-$AX$2)+ABS($U194-$AY$2)+ABS($V194-$AZ$2)</f>
        <v>21553.2887323944</v>
      </c>
      <c r="BD194" s="7" t="n">
        <f aca="false">ABS($T194-$AX$3)+ABS($U194-$AY$3)+ABS($V194-$AZ$3)</f>
        <v>2303.96610169492</v>
      </c>
      <c r="BE194" s="7" t="n">
        <f aca="false">ABS($T194-$AX$4)+ABS($U194-$AY$4)+ABS($V194-$AZ$4)</f>
        <v>33434.6037735849</v>
      </c>
      <c r="BF194" s="7" t="n">
        <f aca="false">MIN(BC194:BE194)</f>
        <v>2303.96610169492</v>
      </c>
      <c r="BG194" s="4" t="n">
        <f aca="false">MATCH(BF194,BC194:BE194,0)</f>
        <v>2</v>
      </c>
      <c r="BH194" s="8" t="n">
        <v>2</v>
      </c>
      <c r="BI194" s="4" t="n">
        <f aca="false">IF(BG194=BH194,0,1)</f>
        <v>0</v>
      </c>
      <c r="BK194" s="8" t="n">
        <v>2</v>
      </c>
      <c r="BL194" s="8" t="n">
        <v>2</v>
      </c>
      <c r="BM194" s="8" t="n">
        <v>2</v>
      </c>
    </row>
    <row r="195" customFormat="false" ht="15" hidden="false" customHeight="false" outlineLevel="0" collapsed="false">
      <c r="A195" s="3" t="n">
        <v>194</v>
      </c>
      <c r="B195" s="3" t="s">
        <v>33</v>
      </c>
      <c r="C195" s="3" t="n">
        <v>1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4</v>
      </c>
      <c r="I195" s="3" t="n">
        <v>4</v>
      </c>
      <c r="J195" s="3" t="n">
        <v>5</v>
      </c>
      <c r="K195" s="3" t="n">
        <v>4</v>
      </c>
      <c r="L195" s="3" t="n">
        <v>5</v>
      </c>
      <c r="M195" s="3" t="n">
        <v>5</v>
      </c>
      <c r="N195" s="3" t="n">
        <v>5</v>
      </c>
      <c r="O195" s="3" t="n">
        <v>5</v>
      </c>
      <c r="P195" s="3" t="n">
        <v>4</v>
      </c>
      <c r="Q195" s="3" t="n">
        <v>5</v>
      </c>
      <c r="R195" s="3" t="n">
        <v>5</v>
      </c>
      <c r="S195" s="3" t="n">
        <v>5</v>
      </c>
      <c r="T195" s="3" t="n">
        <v>0</v>
      </c>
      <c r="U195" s="3" t="n">
        <v>51</v>
      </c>
      <c r="V195" s="3" t="n">
        <v>23649</v>
      </c>
      <c r="W195" s="3" t="n">
        <v>2</v>
      </c>
      <c r="X195" s="3" t="n">
        <v>2</v>
      </c>
      <c r="Y195" s="3" t="n">
        <v>5</v>
      </c>
      <c r="Z195" s="3" t="n">
        <v>2</v>
      </c>
      <c r="AA195" s="4" t="n">
        <f aca="false">IF($B195=AA$1,1,0)</f>
        <v>0</v>
      </c>
      <c r="AB195" s="4" t="n">
        <f aca="false">IF($B195=AB$1,1,0)</f>
        <v>0</v>
      </c>
      <c r="AC195" s="4" t="n">
        <f aca="false">IF($B195=AC$1,1,0)</f>
        <v>0</v>
      </c>
      <c r="AD195" s="4" t="n">
        <f aca="false">IF($B195=AD$1,1,0)</f>
        <v>0</v>
      </c>
      <c r="AE195" s="4" t="n">
        <f aca="false">IF($B195=AE$1,1,0)</f>
        <v>0</v>
      </c>
      <c r="AF195" s="4" t="n">
        <f aca="false">IF($B195=AF$1,1,0)</f>
        <v>0</v>
      </c>
      <c r="AG195" s="4" t="n">
        <f aca="false">IF($B195=AG$1,1,0)</f>
        <v>0</v>
      </c>
      <c r="AH195" s="4" t="n">
        <f aca="false">IF($B195=AH$1,1,0)</f>
        <v>1</v>
      </c>
      <c r="AI195" s="4" t="n">
        <f aca="false">IF($B195=AI$1,1,0)</f>
        <v>0</v>
      </c>
      <c r="AJ195" s="4" t="n">
        <f aca="false">IF($B195=AJ$1,1,0)</f>
        <v>0</v>
      </c>
      <c r="AK195" s="4" t="n">
        <f aca="false">IF($B195=AK$1,1,0)</f>
        <v>0</v>
      </c>
      <c r="AL195" s="4" t="n">
        <f aca="false">IF($B195=AL$1,1,0)</f>
        <v>0</v>
      </c>
      <c r="AM195" s="4" t="n">
        <f aca="false">IF($B195=AM$1,1,0)</f>
        <v>0</v>
      </c>
      <c r="AN195" s="4" t="n">
        <f aca="false">IF($B195=AN$1,1,0)</f>
        <v>0</v>
      </c>
      <c r="AO195" s="4" t="n">
        <f aca="false">IF($B195=AO$1,1,0)</f>
        <v>0</v>
      </c>
      <c r="AP195" s="4" t="n">
        <f aca="false">IF($B195=AP$1,1,0)</f>
        <v>0</v>
      </c>
      <c r="AQ195" s="4" t="n">
        <f aca="false">IF($B195=AQ$1,1,0)</f>
        <v>0</v>
      </c>
      <c r="AR195" s="4" t="n">
        <f aca="false">IF($B195=AR$1,1,0)</f>
        <v>0</v>
      </c>
      <c r="AS195" s="4" t="n">
        <f aca="false">IF($B195=AS$1,1,0)</f>
        <v>0</v>
      </c>
      <c r="AT195" s="4" t="n">
        <f aca="false">IF($B195=AT$1,1,0)</f>
        <v>0</v>
      </c>
      <c r="BB195" s="4" t="n">
        <f aca="false">A195</f>
        <v>194</v>
      </c>
      <c r="BC195" s="7" t="n">
        <f aca="false">ABS($T195-$AX$2)+ABS($U195-$AY$2)+ABS($V195-$AZ$2)</f>
        <v>827.288732394365</v>
      </c>
      <c r="BD195" s="7" t="n">
        <f aca="false">ABS($T195-$AX$3)+ABS($U195-$AY$3)+ABS($V195-$AZ$3)</f>
        <v>23023.9661016949</v>
      </c>
      <c r="BE195" s="7" t="n">
        <f aca="false">ABS($T195-$AX$4)+ABS($U195-$AY$4)+ABS($V195-$AZ$4)</f>
        <v>54154.6037735849</v>
      </c>
      <c r="BF195" s="7" t="n">
        <f aca="false">MIN(BC195:BE195)</f>
        <v>827.288732394365</v>
      </c>
      <c r="BG195" s="4" t="n">
        <f aca="false">MATCH(BF195,BC195:BE195,0)</f>
        <v>1</v>
      </c>
      <c r="BH195" s="8" t="n">
        <v>1</v>
      </c>
      <c r="BI195" s="4" t="n">
        <f aca="false">IF(BG195=BH195,0,1)</f>
        <v>0</v>
      </c>
      <c r="BK195" s="8" t="n">
        <v>1</v>
      </c>
      <c r="BL195" s="8" t="n">
        <v>1</v>
      </c>
      <c r="BM195" s="8" t="n">
        <v>1</v>
      </c>
    </row>
    <row r="196" customFormat="false" ht="15" hidden="false" customHeight="false" outlineLevel="0" collapsed="false">
      <c r="A196" s="3" t="n">
        <v>195</v>
      </c>
      <c r="B196" s="3" t="s">
        <v>33</v>
      </c>
      <c r="C196" s="3" t="n">
        <v>1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5</v>
      </c>
      <c r="I196" s="3" t="n">
        <v>5</v>
      </c>
      <c r="J196" s="3" t="n">
        <v>5</v>
      </c>
      <c r="K196" s="3" t="n">
        <v>5</v>
      </c>
      <c r="L196" s="3" t="n">
        <v>5</v>
      </c>
      <c r="M196" s="3" t="n">
        <v>5</v>
      </c>
      <c r="N196" s="3" t="n">
        <v>5</v>
      </c>
      <c r="O196" s="3" t="n">
        <v>5</v>
      </c>
      <c r="P196" s="3" t="n">
        <v>2</v>
      </c>
      <c r="Q196" s="3" t="n">
        <v>5</v>
      </c>
      <c r="R196" s="3" t="n">
        <v>5</v>
      </c>
      <c r="S196" s="3" t="n">
        <v>5</v>
      </c>
      <c r="T196" s="3" t="n">
        <v>0</v>
      </c>
      <c r="U196" s="3" t="n">
        <v>35</v>
      </c>
      <c r="V196" s="3" t="n">
        <v>53772</v>
      </c>
      <c r="W196" s="3" t="n">
        <v>3</v>
      </c>
      <c r="X196" s="3" t="n">
        <v>2</v>
      </c>
      <c r="Y196" s="3" t="n">
        <v>2</v>
      </c>
      <c r="Z196" s="3" t="n">
        <v>2</v>
      </c>
      <c r="AA196" s="4" t="n">
        <f aca="false">IF($B196=AA$1,1,0)</f>
        <v>0</v>
      </c>
      <c r="AB196" s="4" t="n">
        <f aca="false">IF($B196=AB$1,1,0)</f>
        <v>0</v>
      </c>
      <c r="AC196" s="4" t="n">
        <f aca="false">IF($B196=AC$1,1,0)</f>
        <v>0</v>
      </c>
      <c r="AD196" s="4" t="n">
        <f aca="false">IF($B196=AD$1,1,0)</f>
        <v>0</v>
      </c>
      <c r="AE196" s="4" t="n">
        <f aca="false">IF($B196=AE$1,1,0)</f>
        <v>0</v>
      </c>
      <c r="AF196" s="4" t="n">
        <f aca="false">IF($B196=AF$1,1,0)</f>
        <v>0</v>
      </c>
      <c r="AG196" s="4" t="n">
        <f aca="false">IF($B196=AG$1,1,0)</f>
        <v>0</v>
      </c>
      <c r="AH196" s="4" t="n">
        <f aca="false">IF($B196=AH$1,1,0)</f>
        <v>1</v>
      </c>
      <c r="AI196" s="4" t="n">
        <f aca="false">IF($B196=AI$1,1,0)</f>
        <v>0</v>
      </c>
      <c r="AJ196" s="4" t="n">
        <f aca="false">IF($B196=AJ$1,1,0)</f>
        <v>0</v>
      </c>
      <c r="AK196" s="4" t="n">
        <f aca="false">IF($B196=AK$1,1,0)</f>
        <v>0</v>
      </c>
      <c r="AL196" s="4" t="n">
        <f aca="false">IF($B196=AL$1,1,0)</f>
        <v>0</v>
      </c>
      <c r="AM196" s="4" t="n">
        <f aca="false">IF($B196=AM$1,1,0)</f>
        <v>0</v>
      </c>
      <c r="AN196" s="4" t="n">
        <f aca="false">IF($B196=AN$1,1,0)</f>
        <v>0</v>
      </c>
      <c r="AO196" s="4" t="n">
        <f aca="false">IF($B196=AO$1,1,0)</f>
        <v>0</v>
      </c>
      <c r="AP196" s="4" t="n">
        <f aca="false">IF($B196=AP$1,1,0)</f>
        <v>0</v>
      </c>
      <c r="AQ196" s="4" t="n">
        <f aca="false">IF($B196=AQ$1,1,0)</f>
        <v>0</v>
      </c>
      <c r="AR196" s="4" t="n">
        <f aca="false">IF($B196=AR$1,1,0)</f>
        <v>0</v>
      </c>
      <c r="AS196" s="4" t="n">
        <f aca="false">IF($B196=AS$1,1,0)</f>
        <v>0</v>
      </c>
      <c r="AT196" s="4" t="n">
        <f aca="false">IF($B196=AT$1,1,0)</f>
        <v>0</v>
      </c>
      <c r="BB196" s="4" t="n">
        <f aca="false">A196</f>
        <v>195</v>
      </c>
      <c r="BC196" s="7" t="n">
        <f aca="false">ABS($T196-$AX$2)+ABS($U196-$AY$2)+ABS($V196-$AZ$2)</f>
        <v>30941.7676056338</v>
      </c>
      <c r="BD196" s="7" t="n">
        <f aca="false">ABS($T196-$AX$3)+ABS($U196-$AY$3)+ABS($V196-$AZ$3)</f>
        <v>7115.40677966102</v>
      </c>
      <c r="BE196" s="7" t="n">
        <f aca="false">ABS($T196-$AX$4)+ABS($U196-$AY$4)+ABS($V196-$AZ$4)</f>
        <v>24029.641509434</v>
      </c>
      <c r="BF196" s="7" t="n">
        <f aca="false">MIN(BC196:BE196)</f>
        <v>7115.40677966102</v>
      </c>
      <c r="BG196" s="4" t="n">
        <f aca="false">MATCH(BF196,BC196:BE196,0)</f>
        <v>2</v>
      </c>
      <c r="BH196" s="8" t="n">
        <v>2</v>
      </c>
      <c r="BI196" s="4" t="n">
        <f aca="false">IF(BG196=BH196,0,1)</f>
        <v>0</v>
      </c>
      <c r="BK196" s="8" t="n">
        <v>2</v>
      </c>
      <c r="BL196" s="8" t="n">
        <v>2</v>
      </c>
      <c r="BM196" s="8" t="n">
        <v>2</v>
      </c>
    </row>
    <row r="197" customFormat="false" ht="15" hidden="false" customHeight="false" outlineLevel="0" collapsed="false">
      <c r="A197" s="3" t="n">
        <v>196</v>
      </c>
      <c r="B197" s="3" t="s">
        <v>33</v>
      </c>
      <c r="C197" s="3" t="n">
        <v>1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5</v>
      </c>
      <c r="I197" s="3" t="n">
        <v>5</v>
      </c>
      <c r="J197" s="3" t="n">
        <v>5</v>
      </c>
      <c r="K197" s="3" t="n">
        <v>5</v>
      </c>
      <c r="L197" s="3" t="n">
        <v>5</v>
      </c>
      <c r="M197" s="3" t="n">
        <v>5</v>
      </c>
      <c r="N197" s="3" t="n">
        <v>3</v>
      </c>
      <c r="O197" s="3" t="n">
        <v>3</v>
      </c>
      <c r="P197" s="3" t="n">
        <v>3</v>
      </c>
      <c r="Q197" s="3" t="n">
        <v>4</v>
      </c>
      <c r="R197" s="3" t="n">
        <v>4</v>
      </c>
      <c r="S197" s="3" t="n">
        <v>3</v>
      </c>
      <c r="T197" s="3" t="n">
        <v>0</v>
      </c>
      <c r="U197" s="3" t="n">
        <v>45</v>
      </c>
      <c r="V197" s="3" t="n">
        <v>16333</v>
      </c>
      <c r="W197" s="3" t="n">
        <v>2</v>
      </c>
      <c r="X197" s="3" t="n">
        <v>2</v>
      </c>
      <c r="Y197" s="3" t="n">
        <v>2</v>
      </c>
      <c r="Z197" s="3" t="n">
        <v>2</v>
      </c>
      <c r="AA197" s="4" t="n">
        <f aca="false">IF($B197=AA$1,1,0)</f>
        <v>0</v>
      </c>
      <c r="AB197" s="4" t="n">
        <f aca="false">IF($B197=AB$1,1,0)</f>
        <v>0</v>
      </c>
      <c r="AC197" s="4" t="n">
        <f aca="false">IF($B197=AC$1,1,0)</f>
        <v>0</v>
      </c>
      <c r="AD197" s="4" t="n">
        <f aca="false">IF($B197=AD$1,1,0)</f>
        <v>0</v>
      </c>
      <c r="AE197" s="4" t="n">
        <f aca="false">IF($B197=AE$1,1,0)</f>
        <v>0</v>
      </c>
      <c r="AF197" s="4" t="n">
        <f aca="false">IF($B197=AF$1,1,0)</f>
        <v>0</v>
      </c>
      <c r="AG197" s="4" t="n">
        <f aca="false">IF($B197=AG$1,1,0)</f>
        <v>0</v>
      </c>
      <c r="AH197" s="4" t="n">
        <f aca="false">IF($B197=AH$1,1,0)</f>
        <v>1</v>
      </c>
      <c r="AI197" s="4" t="n">
        <f aca="false">IF($B197=AI$1,1,0)</f>
        <v>0</v>
      </c>
      <c r="AJ197" s="4" t="n">
        <f aca="false">IF($B197=AJ$1,1,0)</f>
        <v>0</v>
      </c>
      <c r="AK197" s="4" t="n">
        <f aca="false">IF($B197=AK$1,1,0)</f>
        <v>0</v>
      </c>
      <c r="AL197" s="4" t="n">
        <f aca="false">IF($B197=AL$1,1,0)</f>
        <v>0</v>
      </c>
      <c r="AM197" s="4" t="n">
        <f aca="false">IF($B197=AM$1,1,0)</f>
        <v>0</v>
      </c>
      <c r="AN197" s="4" t="n">
        <f aca="false">IF($B197=AN$1,1,0)</f>
        <v>0</v>
      </c>
      <c r="AO197" s="4" t="n">
        <f aca="false">IF($B197=AO$1,1,0)</f>
        <v>0</v>
      </c>
      <c r="AP197" s="4" t="n">
        <f aca="false">IF($B197=AP$1,1,0)</f>
        <v>0</v>
      </c>
      <c r="AQ197" s="4" t="n">
        <f aca="false">IF($B197=AQ$1,1,0)</f>
        <v>0</v>
      </c>
      <c r="AR197" s="4" t="n">
        <f aca="false">IF($B197=AR$1,1,0)</f>
        <v>0</v>
      </c>
      <c r="AS197" s="4" t="n">
        <f aca="false">IF($B197=AS$1,1,0)</f>
        <v>0</v>
      </c>
      <c r="AT197" s="4" t="n">
        <f aca="false">IF($B197=AT$1,1,0)</f>
        <v>0</v>
      </c>
      <c r="BB197" s="4" t="n">
        <f aca="false">A197</f>
        <v>196</v>
      </c>
      <c r="BC197" s="7" t="n">
        <f aca="false">ABS($T197-$AX$2)+ABS($U197-$AY$2)+ABS($V197-$AZ$2)</f>
        <v>6507.66901408451</v>
      </c>
      <c r="BD197" s="7" t="n">
        <f aca="false">ABS($T197-$AX$3)+ABS($U197-$AY$3)+ABS($V197-$AZ$3)</f>
        <v>30333.9661016949</v>
      </c>
      <c r="BE197" s="7" t="n">
        <f aca="false">ABS($T197-$AX$4)+ABS($U197-$AY$4)+ABS($V197-$AZ$4)</f>
        <v>61464.6037735849</v>
      </c>
      <c r="BF197" s="7" t="n">
        <f aca="false">MIN(BC197:BE197)</f>
        <v>6507.66901408451</v>
      </c>
      <c r="BG197" s="4" t="n">
        <f aca="false">MATCH(BF197,BC197:BE197,0)</f>
        <v>1</v>
      </c>
      <c r="BH197" s="8" t="n">
        <v>1</v>
      </c>
      <c r="BI197" s="4" t="n">
        <f aca="false">IF(BG197=BH197,0,1)</f>
        <v>0</v>
      </c>
      <c r="BK197" s="8" t="n">
        <v>1</v>
      </c>
      <c r="BL197" s="8" t="n">
        <v>1</v>
      </c>
      <c r="BM197" s="8" t="n">
        <v>1</v>
      </c>
    </row>
    <row r="198" customFormat="false" ht="15" hidden="false" customHeight="false" outlineLevel="0" collapsed="false">
      <c r="A198" s="3" t="n">
        <v>197</v>
      </c>
      <c r="B198" s="3" t="s">
        <v>36</v>
      </c>
      <c r="C198" s="3" t="n">
        <v>1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5</v>
      </c>
      <c r="I198" s="3" t="n">
        <v>5</v>
      </c>
      <c r="J198" s="3" t="n">
        <v>5</v>
      </c>
      <c r="K198" s="3" t="n">
        <v>5</v>
      </c>
      <c r="L198" s="3" t="n">
        <v>5</v>
      </c>
      <c r="M198" s="3" t="n">
        <v>4</v>
      </c>
      <c r="N198" s="3" t="n">
        <v>5</v>
      </c>
      <c r="O198" s="3" t="n">
        <v>5</v>
      </c>
      <c r="P198" s="3" t="n">
        <v>2</v>
      </c>
      <c r="Q198" s="3" t="n">
        <v>5</v>
      </c>
      <c r="R198" s="3" t="n">
        <v>5</v>
      </c>
      <c r="S198" s="3" t="n">
        <v>5</v>
      </c>
      <c r="T198" s="3" t="n">
        <v>1</v>
      </c>
      <c r="U198" s="3" t="n">
        <v>45</v>
      </c>
      <c r="V198" s="3" t="n">
        <v>42612</v>
      </c>
      <c r="W198" s="3" t="n">
        <v>3</v>
      </c>
      <c r="X198" s="3" t="n">
        <v>3</v>
      </c>
      <c r="Y198" s="3" t="n">
        <v>1</v>
      </c>
      <c r="Z198" s="3" t="n">
        <v>1</v>
      </c>
      <c r="AA198" s="4" t="n">
        <f aca="false">IF($B198=AA$1,1,0)</f>
        <v>0</v>
      </c>
      <c r="AB198" s="4" t="n">
        <f aca="false">IF($B198=AB$1,1,0)</f>
        <v>0</v>
      </c>
      <c r="AC198" s="4" t="n">
        <f aca="false">IF($B198=AC$1,1,0)</f>
        <v>0</v>
      </c>
      <c r="AD198" s="4" t="n">
        <f aca="false">IF($B198=AD$1,1,0)</f>
        <v>0</v>
      </c>
      <c r="AE198" s="4" t="n">
        <f aca="false">IF($B198=AE$1,1,0)</f>
        <v>0</v>
      </c>
      <c r="AF198" s="4" t="n">
        <f aca="false">IF($B198=AF$1,1,0)</f>
        <v>0</v>
      </c>
      <c r="AG198" s="4" t="n">
        <f aca="false">IF($B198=AG$1,1,0)</f>
        <v>0</v>
      </c>
      <c r="AH198" s="4" t="n">
        <f aca="false">IF($B198=AH$1,1,0)</f>
        <v>0</v>
      </c>
      <c r="AI198" s="4" t="n">
        <f aca="false">IF($B198=AI$1,1,0)</f>
        <v>0</v>
      </c>
      <c r="AJ198" s="4" t="n">
        <f aca="false">IF($B198=AJ$1,1,0)</f>
        <v>0</v>
      </c>
      <c r="AK198" s="4" t="n">
        <f aca="false">IF($B198=AK$1,1,0)</f>
        <v>1</v>
      </c>
      <c r="AL198" s="4" t="n">
        <f aca="false">IF($B198=AL$1,1,0)</f>
        <v>0</v>
      </c>
      <c r="AM198" s="4" t="n">
        <f aca="false">IF($B198=AM$1,1,0)</f>
        <v>0</v>
      </c>
      <c r="AN198" s="4" t="n">
        <f aca="false">IF($B198=AN$1,1,0)</f>
        <v>0</v>
      </c>
      <c r="AO198" s="4" t="n">
        <f aca="false">IF($B198=AO$1,1,0)</f>
        <v>0</v>
      </c>
      <c r="AP198" s="4" t="n">
        <f aca="false">IF($B198=AP$1,1,0)</f>
        <v>0</v>
      </c>
      <c r="AQ198" s="4" t="n">
        <f aca="false">IF($B198=AQ$1,1,0)</f>
        <v>0</v>
      </c>
      <c r="AR198" s="4" t="n">
        <f aca="false">IF($B198=AR$1,1,0)</f>
        <v>0</v>
      </c>
      <c r="AS198" s="4" t="n">
        <f aca="false">IF($B198=AS$1,1,0)</f>
        <v>0</v>
      </c>
      <c r="AT198" s="4" t="n">
        <f aca="false">IF($B198=AT$1,1,0)</f>
        <v>0</v>
      </c>
      <c r="BB198" s="4" t="n">
        <f aca="false">A198</f>
        <v>197</v>
      </c>
      <c r="BC198" s="7" t="n">
        <f aca="false">ABS($T198-$AX$2)+ABS($U198-$AY$2)+ABS($V198-$AZ$2)</f>
        <v>19784.8521126761</v>
      </c>
      <c r="BD198" s="7" t="n">
        <f aca="false">ABS($T198-$AX$3)+ABS($U198-$AY$3)+ABS($V198-$AZ$3)</f>
        <v>4055.59322033899</v>
      </c>
      <c r="BE198" s="7" t="n">
        <f aca="false">ABS($T198-$AX$4)+ABS($U198-$AY$4)+ABS($V198-$AZ$4)</f>
        <v>35186.0754716981</v>
      </c>
      <c r="BF198" s="7" t="n">
        <f aca="false">MIN(BC198:BE198)</f>
        <v>4055.59322033899</v>
      </c>
      <c r="BG198" s="4" t="n">
        <f aca="false">MATCH(BF198,BC198:BE198,0)</f>
        <v>2</v>
      </c>
      <c r="BH198" s="8" t="n">
        <v>2</v>
      </c>
      <c r="BI198" s="4" t="n">
        <f aca="false">IF(BG198=BH198,0,1)</f>
        <v>0</v>
      </c>
      <c r="BK198" s="8" t="n">
        <v>2</v>
      </c>
      <c r="BL198" s="8" t="n">
        <v>2</v>
      </c>
      <c r="BM198" s="8" t="n">
        <v>2</v>
      </c>
    </row>
    <row r="199" customFormat="false" ht="15" hidden="false" customHeight="false" outlineLevel="0" collapsed="false">
      <c r="A199" s="3" t="n">
        <v>198</v>
      </c>
      <c r="B199" s="3" t="s">
        <v>30</v>
      </c>
      <c r="C199" s="3" t="n">
        <v>1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5</v>
      </c>
      <c r="I199" s="3" t="n">
        <v>4</v>
      </c>
      <c r="J199" s="3" t="n">
        <v>4</v>
      </c>
      <c r="K199" s="3" t="n">
        <v>5</v>
      </c>
      <c r="L199" s="3" t="n">
        <v>5</v>
      </c>
      <c r="M199" s="3" t="n">
        <v>4</v>
      </c>
      <c r="N199" s="3" t="n">
        <v>5</v>
      </c>
      <c r="O199" s="3" t="n">
        <v>5</v>
      </c>
      <c r="P199" s="3" t="n">
        <v>4</v>
      </c>
      <c r="Q199" s="3" t="n">
        <v>5</v>
      </c>
      <c r="R199" s="3" t="n">
        <v>5</v>
      </c>
      <c r="S199" s="3" t="n">
        <v>3</v>
      </c>
      <c r="T199" s="3" t="n">
        <v>0</v>
      </c>
      <c r="U199" s="3" t="n">
        <v>48</v>
      </c>
      <c r="V199" s="3" t="n">
        <v>23232</v>
      </c>
      <c r="W199" s="3" t="n">
        <v>2</v>
      </c>
      <c r="X199" s="3" t="n">
        <v>3</v>
      </c>
      <c r="Y199" s="3" t="n">
        <v>2</v>
      </c>
      <c r="Z199" s="3" t="n">
        <v>1</v>
      </c>
      <c r="AA199" s="4" t="n">
        <f aca="false">IF($B199=AA$1,1,0)</f>
        <v>0</v>
      </c>
      <c r="AB199" s="4" t="n">
        <f aca="false">IF($B199=AB$1,1,0)</f>
        <v>0</v>
      </c>
      <c r="AC199" s="4" t="n">
        <f aca="false">IF($B199=AC$1,1,0)</f>
        <v>0</v>
      </c>
      <c r="AD199" s="4" t="n">
        <f aca="false">IF($B199=AD$1,1,0)</f>
        <v>0</v>
      </c>
      <c r="AE199" s="4" t="n">
        <f aca="false">IF($B199=AE$1,1,0)</f>
        <v>1</v>
      </c>
      <c r="AF199" s="4" t="n">
        <f aca="false">IF($B199=AF$1,1,0)</f>
        <v>0</v>
      </c>
      <c r="AG199" s="4" t="n">
        <f aca="false">IF($B199=AG$1,1,0)</f>
        <v>0</v>
      </c>
      <c r="AH199" s="4" t="n">
        <f aca="false">IF($B199=AH$1,1,0)</f>
        <v>0</v>
      </c>
      <c r="AI199" s="4" t="n">
        <f aca="false">IF($B199=AI$1,1,0)</f>
        <v>0</v>
      </c>
      <c r="AJ199" s="4" t="n">
        <f aca="false">IF($B199=AJ$1,1,0)</f>
        <v>0</v>
      </c>
      <c r="AK199" s="4" t="n">
        <f aca="false">IF($B199=AK$1,1,0)</f>
        <v>0</v>
      </c>
      <c r="AL199" s="4" t="n">
        <f aca="false">IF($B199=AL$1,1,0)</f>
        <v>0</v>
      </c>
      <c r="AM199" s="4" t="n">
        <f aca="false">IF($B199=AM$1,1,0)</f>
        <v>0</v>
      </c>
      <c r="AN199" s="4" t="n">
        <f aca="false">IF($B199=AN$1,1,0)</f>
        <v>0</v>
      </c>
      <c r="AO199" s="4" t="n">
        <f aca="false">IF($B199=AO$1,1,0)</f>
        <v>0</v>
      </c>
      <c r="AP199" s="4" t="n">
        <f aca="false">IF($B199=AP$1,1,0)</f>
        <v>0</v>
      </c>
      <c r="AQ199" s="4" t="n">
        <f aca="false">IF($B199=AQ$1,1,0)</f>
        <v>0</v>
      </c>
      <c r="AR199" s="4" t="n">
        <f aca="false">IF($B199=AR$1,1,0)</f>
        <v>0</v>
      </c>
      <c r="AS199" s="4" t="n">
        <f aca="false">IF($B199=AS$1,1,0)</f>
        <v>0</v>
      </c>
      <c r="AT199" s="4" t="n">
        <f aca="false">IF($B199=AT$1,1,0)</f>
        <v>0</v>
      </c>
      <c r="BB199" s="4" t="n">
        <f aca="false">A199</f>
        <v>198</v>
      </c>
      <c r="BC199" s="7" t="n">
        <f aca="false">ABS($T199-$AX$2)+ABS($U199-$AY$2)+ABS($V199-$AZ$2)</f>
        <v>407.288732394364</v>
      </c>
      <c r="BD199" s="7" t="n">
        <f aca="false">ABS($T199-$AX$3)+ABS($U199-$AY$3)+ABS($V199-$AZ$3)</f>
        <v>23437.9661016949</v>
      </c>
      <c r="BE199" s="7" t="n">
        <f aca="false">ABS($T199-$AX$4)+ABS($U199-$AY$4)+ABS($V199-$AZ$4)</f>
        <v>54568.6037735849</v>
      </c>
      <c r="BF199" s="7" t="n">
        <f aca="false">MIN(BC199:BE199)</f>
        <v>407.288732394364</v>
      </c>
      <c r="BG199" s="4" t="n">
        <f aca="false">MATCH(BF199,BC199:BE199,0)</f>
        <v>1</v>
      </c>
      <c r="BH199" s="8" t="n">
        <v>1</v>
      </c>
      <c r="BI199" s="4" t="n">
        <f aca="false">IF(BG199=BH199,0,1)</f>
        <v>0</v>
      </c>
      <c r="BK199" s="8" t="n">
        <v>1</v>
      </c>
      <c r="BL199" s="8" t="n">
        <v>1</v>
      </c>
      <c r="BM199" s="8" t="n">
        <v>1</v>
      </c>
    </row>
    <row r="200" customFormat="false" ht="15" hidden="false" customHeight="false" outlineLevel="0" collapsed="false">
      <c r="A200" s="3" t="n">
        <v>199</v>
      </c>
      <c r="B200" s="3" t="s">
        <v>38</v>
      </c>
      <c r="C200" s="3" t="n">
        <v>1</v>
      </c>
      <c r="D200" s="3" t="n">
        <v>0</v>
      </c>
      <c r="E200" s="3" t="n">
        <v>0</v>
      </c>
      <c r="F200" s="3" t="n">
        <v>0</v>
      </c>
      <c r="G200" s="3" t="n">
        <v>1</v>
      </c>
      <c r="H200" s="3" t="n">
        <v>4</v>
      </c>
      <c r="I200" s="3" t="n">
        <v>4</v>
      </c>
      <c r="J200" s="3" t="n">
        <v>5</v>
      </c>
      <c r="K200" s="3" t="n">
        <v>5</v>
      </c>
      <c r="L200" s="3" t="n">
        <v>5</v>
      </c>
      <c r="M200" s="3" t="n">
        <v>4</v>
      </c>
      <c r="N200" s="3" t="n">
        <v>5</v>
      </c>
      <c r="O200" s="3" t="n">
        <v>5</v>
      </c>
      <c r="P200" s="3" t="n">
        <v>5</v>
      </c>
      <c r="Q200" s="3" t="n">
        <v>5</v>
      </c>
      <c r="R200" s="3" t="n">
        <v>5</v>
      </c>
      <c r="S200" s="3" t="n">
        <v>5</v>
      </c>
      <c r="T200" s="3" t="n">
        <v>0</v>
      </c>
      <c r="U200" s="3" t="n">
        <v>36</v>
      </c>
      <c r="V200" s="3" t="n">
        <v>38296</v>
      </c>
      <c r="W200" s="3" t="n">
        <v>1</v>
      </c>
      <c r="X200" s="3" t="n">
        <v>3</v>
      </c>
      <c r="Y200" s="3" t="n">
        <v>2</v>
      </c>
      <c r="Z200" s="3" t="n">
        <v>1</v>
      </c>
      <c r="AA200" s="4" t="n">
        <f aca="false">IF($B200=AA$1,1,0)</f>
        <v>0</v>
      </c>
      <c r="AB200" s="4" t="n">
        <f aca="false">IF($B200=AB$1,1,0)</f>
        <v>0</v>
      </c>
      <c r="AC200" s="4" t="n">
        <f aca="false">IF($B200=AC$1,1,0)</f>
        <v>0</v>
      </c>
      <c r="AD200" s="4" t="n">
        <f aca="false">IF($B200=AD$1,1,0)</f>
        <v>0</v>
      </c>
      <c r="AE200" s="4" t="n">
        <f aca="false">IF($B200=AE$1,1,0)</f>
        <v>0</v>
      </c>
      <c r="AF200" s="4" t="n">
        <f aca="false">IF($B200=AF$1,1,0)</f>
        <v>0</v>
      </c>
      <c r="AG200" s="4" t="n">
        <f aca="false">IF($B200=AG$1,1,0)</f>
        <v>0</v>
      </c>
      <c r="AH200" s="4" t="n">
        <f aca="false">IF($B200=AH$1,1,0)</f>
        <v>0</v>
      </c>
      <c r="AI200" s="4" t="n">
        <f aca="false">IF($B200=AI$1,1,0)</f>
        <v>0</v>
      </c>
      <c r="AJ200" s="4" t="n">
        <f aca="false">IF($B200=AJ$1,1,0)</f>
        <v>0</v>
      </c>
      <c r="AK200" s="4" t="n">
        <f aca="false">IF($B200=AK$1,1,0)</f>
        <v>0</v>
      </c>
      <c r="AL200" s="4" t="n">
        <f aca="false">IF($B200=AL$1,1,0)</f>
        <v>0</v>
      </c>
      <c r="AM200" s="4" t="n">
        <f aca="false">IF($B200=AM$1,1,0)</f>
        <v>1</v>
      </c>
      <c r="AN200" s="4" t="n">
        <f aca="false">IF($B200=AN$1,1,0)</f>
        <v>0</v>
      </c>
      <c r="AO200" s="4" t="n">
        <f aca="false">IF($B200=AO$1,1,0)</f>
        <v>0</v>
      </c>
      <c r="AP200" s="4" t="n">
        <f aca="false">IF($B200=AP$1,1,0)</f>
        <v>0</v>
      </c>
      <c r="AQ200" s="4" t="n">
        <f aca="false">IF($B200=AQ$1,1,0)</f>
        <v>0</v>
      </c>
      <c r="AR200" s="4" t="n">
        <f aca="false">IF($B200=AR$1,1,0)</f>
        <v>0</v>
      </c>
      <c r="AS200" s="4" t="n">
        <f aca="false">IF($B200=AS$1,1,0)</f>
        <v>0</v>
      </c>
      <c r="AT200" s="4" t="n">
        <f aca="false">IF($B200=AT$1,1,0)</f>
        <v>0</v>
      </c>
      <c r="BB200" s="4" t="n">
        <f aca="false">A200</f>
        <v>199</v>
      </c>
      <c r="BC200" s="7" t="n">
        <f aca="false">ABS($T200-$AX$2)+ABS($U200-$AY$2)+ABS($V200-$AZ$2)</f>
        <v>15464.7676056338</v>
      </c>
      <c r="BD200" s="7" t="n">
        <f aca="false">ABS($T200-$AX$3)+ABS($U200-$AY$3)+ABS($V200-$AZ$3)</f>
        <v>8372.72881355932</v>
      </c>
      <c r="BE200" s="7" t="n">
        <f aca="false">ABS($T200-$AX$4)+ABS($U200-$AY$4)+ABS($V200-$AZ$4)</f>
        <v>39504.641509434</v>
      </c>
      <c r="BF200" s="7" t="n">
        <f aca="false">MIN(BC200:BE200)</f>
        <v>8372.72881355932</v>
      </c>
      <c r="BG200" s="4" t="n">
        <f aca="false">MATCH(BF200,BC200:BE200,0)</f>
        <v>2</v>
      </c>
      <c r="BH200" s="8" t="n">
        <v>2</v>
      </c>
      <c r="BI200" s="4" t="n">
        <f aca="false">IF(BG200=BH200,0,1)</f>
        <v>0</v>
      </c>
      <c r="BK200" s="8" t="n">
        <v>2</v>
      </c>
      <c r="BL200" s="8" t="n">
        <v>2</v>
      </c>
      <c r="BM200" s="8" t="n">
        <v>2</v>
      </c>
    </row>
    <row r="201" customFormat="false" ht="15" hidden="false" customHeight="false" outlineLevel="0" collapsed="false">
      <c r="A201" s="3" t="n">
        <v>200</v>
      </c>
      <c r="B201" s="3" t="s">
        <v>38</v>
      </c>
      <c r="C201" s="3" t="n">
        <v>0</v>
      </c>
      <c r="D201" s="3" t="n">
        <v>0</v>
      </c>
      <c r="E201" s="3" t="n">
        <v>1</v>
      </c>
      <c r="F201" s="3" t="n">
        <v>0</v>
      </c>
      <c r="G201" s="3" t="n">
        <v>0</v>
      </c>
      <c r="H201" s="3" t="n">
        <v>5</v>
      </c>
      <c r="I201" s="3" t="n">
        <v>4</v>
      </c>
      <c r="J201" s="3" t="n">
        <v>5</v>
      </c>
      <c r="K201" s="3" t="n">
        <v>5</v>
      </c>
      <c r="L201" s="3" t="n">
        <v>5</v>
      </c>
      <c r="M201" s="3" t="n">
        <v>5</v>
      </c>
      <c r="N201" s="3" t="n">
        <v>4</v>
      </c>
      <c r="O201" s="3" t="n">
        <v>3</v>
      </c>
      <c r="P201" s="3" t="n">
        <v>4</v>
      </c>
      <c r="Q201" s="3" t="n">
        <v>4</v>
      </c>
      <c r="R201" s="3" t="n">
        <v>4</v>
      </c>
      <c r="S201" s="3" t="n">
        <v>3</v>
      </c>
      <c r="T201" s="3" t="n">
        <v>1</v>
      </c>
      <c r="U201" s="3" t="n">
        <v>33</v>
      </c>
      <c r="V201" s="3" t="n">
        <v>13572</v>
      </c>
      <c r="W201" s="3" t="n">
        <v>1</v>
      </c>
      <c r="X201" s="3" t="n">
        <v>1</v>
      </c>
      <c r="Y201" s="3" t="n">
        <v>2</v>
      </c>
      <c r="Z201" s="3" t="n">
        <v>2</v>
      </c>
      <c r="AA201" s="4" t="n">
        <f aca="false">IF($B201=AA$1,1,0)</f>
        <v>0</v>
      </c>
      <c r="AB201" s="4" t="n">
        <f aca="false">IF($B201=AB$1,1,0)</f>
        <v>0</v>
      </c>
      <c r="AC201" s="4" t="n">
        <f aca="false">IF($B201=AC$1,1,0)</f>
        <v>0</v>
      </c>
      <c r="AD201" s="4" t="n">
        <f aca="false">IF($B201=AD$1,1,0)</f>
        <v>0</v>
      </c>
      <c r="AE201" s="4" t="n">
        <f aca="false">IF($B201=AE$1,1,0)</f>
        <v>0</v>
      </c>
      <c r="AF201" s="4" t="n">
        <f aca="false">IF($B201=AF$1,1,0)</f>
        <v>0</v>
      </c>
      <c r="AG201" s="4" t="n">
        <f aca="false">IF($B201=AG$1,1,0)</f>
        <v>0</v>
      </c>
      <c r="AH201" s="4" t="n">
        <f aca="false">IF($B201=AH$1,1,0)</f>
        <v>0</v>
      </c>
      <c r="AI201" s="4" t="n">
        <f aca="false">IF($B201=AI$1,1,0)</f>
        <v>0</v>
      </c>
      <c r="AJ201" s="4" t="n">
        <f aca="false">IF($B201=AJ$1,1,0)</f>
        <v>0</v>
      </c>
      <c r="AK201" s="4" t="n">
        <f aca="false">IF($B201=AK$1,1,0)</f>
        <v>0</v>
      </c>
      <c r="AL201" s="4" t="n">
        <f aca="false">IF($B201=AL$1,1,0)</f>
        <v>0</v>
      </c>
      <c r="AM201" s="4" t="n">
        <f aca="false">IF($B201=AM$1,1,0)</f>
        <v>1</v>
      </c>
      <c r="AN201" s="4" t="n">
        <f aca="false">IF($B201=AN$1,1,0)</f>
        <v>0</v>
      </c>
      <c r="AO201" s="4" t="n">
        <f aca="false">IF($B201=AO$1,1,0)</f>
        <v>0</v>
      </c>
      <c r="AP201" s="4" t="n">
        <f aca="false">IF($B201=AP$1,1,0)</f>
        <v>0</v>
      </c>
      <c r="AQ201" s="4" t="n">
        <f aca="false">IF($B201=AQ$1,1,0)</f>
        <v>0</v>
      </c>
      <c r="AR201" s="4" t="n">
        <f aca="false">IF($B201=AR$1,1,0)</f>
        <v>0</v>
      </c>
      <c r="AS201" s="4" t="n">
        <f aca="false">IF($B201=AS$1,1,0)</f>
        <v>0</v>
      </c>
      <c r="AT201" s="4" t="n">
        <f aca="false">IF($B201=AT$1,1,0)</f>
        <v>0</v>
      </c>
      <c r="BB201" s="4" t="n">
        <f aca="false">A201</f>
        <v>200</v>
      </c>
      <c r="BC201" s="7" t="n">
        <f aca="false">ABS($T201-$AX$2)+ABS($U201-$AY$2)+ABS($V201-$AZ$2)</f>
        <v>9268.71126760564</v>
      </c>
      <c r="BD201" s="7" t="n">
        <f aca="false">ABS($T201-$AX$3)+ABS($U201-$AY$3)+ABS($V201-$AZ$3)</f>
        <v>33100.3559322034</v>
      </c>
      <c r="BE201" s="7" t="n">
        <f aca="false">ABS($T201-$AX$4)+ABS($U201-$AY$4)+ABS($V201-$AZ$4)</f>
        <v>64232.1132075472</v>
      </c>
      <c r="BF201" s="7" t="n">
        <f aca="false">MIN(BC201:BE201)</f>
        <v>9268.71126760564</v>
      </c>
      <c r="BG201" s="4" t="n">
        <f aca="false">MATCH(BF201,BC201:BE201,0)</f>
        <v>1</v>
      </c>
      <c r="BH201" s="8" t="n">
        <v>1</v>
      </c>
      <c r="BI201" s="4" t="n">
        <f aca="false">IF(BG201=BH201,0,1)</f>
        <v>0</v>
      </c>
      <c r="BK201" s="8" t="n">
        <v>1</v>
      </c>
      <c r="BL201" s="8" t="n">
        <v>1</v>
      </c>
      <c r="BM201" s="8" t="n">
        <v>1</v>
      </c>
    </row>
    <row r="202" customFormat="false" ht="15" hidden="false" customHeight="false" outlineLevel="0" collapsed="false">
      <c r="A202" s="3" t="n">
        <v>201</v>
      </c>
      <c r="B202" s="3" t="s">
        <v>30</v>
      </c>
      <c r="C202" s="3" t="n">
        <v>1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5</v>
      </c>
      <c r="I202" s="3" t="n">
        <v>5</v>
      </c>
      <c r="J202" s="3" t="n">
        <v>5</v>
      </c>
      <c r="K202" s="3" t="n">
        <v>5</v>
      </c>
      <c r="L202" s="3" t="n">
        <v>5</v>
      </c>
      <c r="M202" s="3" t="n">
        <v>4</v>
      </c>
      <c r="N202" s="3" t="n">
        <v>4</v>
      </c>
      <c r="O202" s="3" t="n">
        <v>3</v>
      </c>
      <c r="P202" s="3" t="n">
        <v>3</v>
      </c>
      <c r="Q202" s="3" t="n">
        <v>4</v>
      </c>
      <c r="R202" s="3" t="n">
        <v>4</v>
      </c>
      <c r="S202" s="3" t="n">
        <v>4</v>
      </c>
      <c r="T202" s="3" t="n">
        <v>1</v>
      </c>
      <c r="U202" s="3" t="n">
        <v>32</v>
      </c>
      <c r="V202" s="3" t="n">
        <v>47226</v>
      </c>
      <c r="W202" s="3" t="n">
        <v>2</v>
      </c>
      <c r="X202" s="3" t="n">
        <v>4</v>
      </c>
      <c r="Y202" s="3" t="n">
        <v>2</v>
      </c>
      <c r="Z202" s="3" t="n">
        <v>2</v>
      </c>
      <c r="AA202" s="4" t="n">
        <f aca="false">IF($B202=AA$1,1,0)</f>
        <v>0</v>
      </c>
      <c r="AB202" s="4" t="n">
        <f aca="false">IF($B202=AB$1,1,0)</f>
        <v>0</v>
      </c>
      <c r="AC202" s="4" t="n">
        <f aca="false">IF($B202=AC$1,1,0)</f>
        <v>0</v>
      </c>
      <c r="AD202" s="4" t="n">
        <f aca="false">IF($B202=AD$1,1,0)</f>
        <v>0</v>
      </c>
      <c r="AE202" s="4" t="n">
        <f aca="false">IF($B202=AE$1,1,0)</f>
        <v>1</v>
      </c>
      <c r="AF202" s="4" t="n">
        <f aca="false">IF($B202=AF$1,1,0)</f>
        <v>0</v>
      </c>
      <c r="AG202" s="4" t="n">
        <f aca="false">IF($B202=AG$1,1,0)</f>
        <v>0</v>
      </c>
      <c r="AH202" s="4" t="n">
        <f aca="false">IF($B202=AH$1,1,0)</f>
        <v>0</v>
      </c>
      <c r="AI202" s="4" t="n">
        <f aca="false">IF($B202=AI$1,1,0)</f>
        <v>0</v>
      </c>
      <c r="AJ202" s="4" t="n">
        <f aca="false">IF($B202=AJ$1,1,0)</f>
        <v>0</v>
      </c>
      <c r="AK202" s="4" t="n">
        <f aca="false">IF($B202=AK$1,1,0)</f>
        <v>0</v>
      </c>
      <c r="AL202" s="4" t="n">
        <f aca="false">IF($B202=AL$1,1,0)</f>
        <v>0</v>
      </c>
      <c r="AM202" s="4" t="n">
        <f aca="false">IF($B202=AM$1,1,0)</f>
        <v>0</v>
      </c>
      <c r="AN202" s="4" t="n">
        <f aca="false">IF($B202=AN$1,1,0)</f>
        <v>0</v>
      </c>
      <c r="AO202" s="4" t="n">
        <f aca="false">IF($B202=AO$1,1,0)</f>
        <v>0</v>
      </c>
      <c r="AP202" s="4" t="n">
        <f aca="false">IF($B202=AP$1,1,0)</f>
        <v>0</v>
      </c>
      <c r="AQ202" s="4" t="n">
        <f aca="false">IF($B202=AQ$1,1,0)</f>
        <v>0</v>
      </c>
      <c r="AR202" s="4" t="n">
        <f aca="false">IF($B202=AR$1,1,0)</f>
        <v>0</v>
      </c>
      <c r="AS202" s="4" t="n">
        <f aca="false">IF($B202=AS$1,1,0)</f>
        <v>0</v>
      </c>
      <c r="AT202" s="4" t="n">
        <f aca="false">IF($B202=AT$1,1,0)</f>
        <v>0</v>
      </c>
      <c r="BB202" s="4" t="n">
        <f aca="false">A202</f>
        <v>201</v>
      </c>
      <c r="BC202" s="7" t="n">
        <f aca="false">ABS($T202-$AX$2)+ABS($U202-$AY$2)+ABS($V202-$AZ$2)</f>
        <v>24399.3309859155</v>
      </c>
      <c r="BD202" s="7" t="n">
        <f aca="false">ABS($T202-$AX$3)+ABS($U202-$AY$3)+ABS($V202-$AZ$3)</f>
        <v>573.033898305083</v>
      </c>
      <c r="BE202" s="7" t="n">
        <f aca="false">ABS($T202-$AX$4)+ABS($U202-$AY$4)+ABS($V202-$AZ$4)</f>
        <v>30579.1132075472</v>
      </c>
      <c r="BF202" s="7" t="n">
        <f aca="false">MIN(BC202:BE202)</f>
        <v>573.033898305083</v>
      </c>
      <c r="BG202" s="4" t="n">
        <f aca="false">MATCH(BF202,BC202:BE202,0)</f>
        <v>2</v>
      </c>
      <c r="BH202" s="8" t="n">
        <v>2</v>
      </c>
      <c r="BI202" s="4" t="n">
        <f aca="false">IF(BG202=BH202,0,1)</f>
        <v>0</v>
      </c>
      <c r="BK202" s="8" t="n">
        <v>2</v>
      </c>
      <c r="BL202" s="8" t="n">
        <v>2</v>
      </c>
      <c r="BM202" s="8" t="n">
        <v>2</v>
      </c>
    </row>
    <row r="203" customFormat="false" ht="15" hidden="false" customHeight="false" outlineLevel="0" collapsed="false">
      <c r="A203" s="3" t="n">
        <v>202</v>
      </c>
      <c r="B203" s="3" t="s">
        <v>30</v>
      </c>
      <c r="C203" s="3" t="n">
        <v>1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5</v>
      </c>
      <c r="I203" s="3" t="n">
        <v>4</v>
      </c>
      <c r="J203" s="3" t="n">
        <v>5</v>
      </c>
      <c r="K203" s="3" t="n">
        <v>4</v>
      </c>
      <c r="L203" s="3" t="n">
        <v>5</v>
      </c>
      <c r="M203" s="3" t="n">
        <v>4</v>
      </c>
      <c r="N203" s="3" t="n">
        <v>5</v>
      </c>
      <c r="O203" s="3" t="n">
        <v>3</v>
      </c>
      <c r="P203" s="3" t="n">
        <v>2</v>
      </c>
      <c r="Q203" s="3" t="n">
        <v>4</v>
      </c>
      <c r="R203" s="3" t="n">
        <v>3</v>
      </c>
      <c r="S203" s="3" t="n">
        <v>3</v>
      </c>
      <c r="T203" s="3" t="n">
        <v>0</v>
      </c>
      <c r="U203" s="3" t="n">
        <v>38</v>
      </c>
      <c r="V203" s="3" t="n">
        <v>50294</v>
      </c>
      <c r="W203" s="3" t="n">
        <v>1</v>
      </c>
      <c r="X203" s="3" t="n">
        <v>4</v>
      </c>
      <c r="Y203" s="3" t="n">
        <v>2</v>
      </c>
      <c r="Z203" s="3" t="n">
        <v>1</v>
      </c>
      <c r="AA203" s="4" t="n">
        <f aca="false">IF($B203=AA$1,1,0)</f>
        <v>0</v>
      </c>
      <c r="AB203" s="4" t="n">
        <f aca="false">IF($B203=AB$1,1,0)</f>
        <v>0</v>
      </c>
      <c r="AC203" s="4" t="n">
        <f aca="false">IF($B203=AC$1,1,0)</f>
        <v>0</v>
      </c>
      <c r="AD203" s="4" t="n">
        <f aca="false">IF($B203=AD$1,1,0)</f>
        <v>0</v>
      </c>
      <c r="AE203" s="4" t="n">
        <f aca="false">IF($B203=AE$1,1,0)</f>
        <v>1</v>
      </c>
      <c r="AF203" s="4" t="n">
        <f aca="false">IF($B203=AF$1,1,0)</f>
        <v>0</v>
      </c>
      <c r="AG203" s="4" t="n">
        <f aca="false">IF($B203=AG$1,1,0)</f>
        <v>0</v>
      </c>
      <c r="AH203" s="4" t="n">
        <f aca="false">IF($B203=AH$1,1,0)</f>
        <v>0</v>
      </c>
      <c r="AI203" s="4" t="n">
        <f aca="false">IF($B203=AI$1,1,0)</f>
        <v>0</v>
      </c>
      <c r="AJ203" s="4" t="n">
        <f aca="false">IF($B203=AJ$1,1,0)</f>
        <v>0</v>
      </c>
      <c r="AK203" s="4" t="n">
        <f aca="false">IF($B203=AK$1,1,0)</f>
        <v>0</v>
      </c>
      <c r="AL203" s="4" t="n">
        <f aca="false">IF($B203=AL$1,1,0)</f>
        <v>0</v>
      </c>
      <c r="AM203" s="4" t="n">
        <f aca="false">IF($B203=AM$1,1,0)</f>
        <v>0</v>
      </c>
      <c r="AN203" s="4" t="n">
        <f aca="false">IF($B203=AN$1,1,0)</f>
        <v>0</v>
      </c>
      <c r="AO203" s="4" t="n">
        <f aca="false">IF($B203=AO$1,1,0)</f>
        <v>0</v>
      </c>
      <c r="AP203" s="4" t="n">
        <f aca="false">IF($B203=AP$1,1,0)</f>
        <v>0</v>
      </c>
      <c r="AQ203" s="4" t="n">
        <f aca="false">IF($B203=AQ$1,1,0)</f>
        <v>0</v>
      </c>
      <c r="AR203" s="4" t="n">
        <f aca="false">IF($B203=AR$1,1,0)</f>
        <v>0</v>
      </c>
      <c r="AS203" s="4" t="n">
        <f aca="false">IF($B203=AS$1,1,0)</f>
        <v>0</v>
      </c>
      <c r="AT203" s="4" t="n">
        <f aca="false">IF($B203=AT$1,1,0)</f>
        <v>0</v>
      </c>
      <c r="BB203" s="4" t="n">
        <f aca="false">A203</f>
        <v>202</v>
      </c>
      <c r="BC203" s="7" t="n">
        <f aca="false">ABS($T203-$AX$2)+ABS($U203-$AY$2)+ABS($V203-$AZ$2)</f>
        <v>27460.7676056338</v>
      </c>
      <c r="BD203" s="7" t="n">
        <f aca="false">ABS($T203-$AX$3)+ABS($U203-$AY$3)+ABS($V203-$AZ$3)</f>
        <v>3634.40677966102</v>
      </c>
      <c r="BE203" s="7" t="n">
        <f aca="false">ABS($T203-$AX$4)+ABS($U203-$AY$4)+ABS($V203-$AZ$4)</f>
        <v>27504.641509434</v>
      </c>
      <c r="BF203" s="7" t="n">
        <f aca="false">MIN(BC203:BE203)</f>
        <v>3634.40677966102</v>
      </c>
      <c r="BG203" s="4" t="n">
        <f aca="false">MATCH(BF203,BC203:BE203,0)</f>
        <v>2</v>
      </c>
      <c r="BH203" s="8" t="n">
        <v>2</v>
      </c>
      <c r="BI203" s="4" t="n">
        <f aca="false">IF(BG203=BH203,0,1)</f>
        <v>0</v>
      </c>
      <c r="BK203" s="8" t="n">
        <v>2</v>
      </c>
      <c r="BL203" s="8" t="n">
        <v>2</v>
      </c>
      <c r="BM203" s="8" t="n">
        <v>2</v>
      </c>
    </row>
    <row r="204" customFormat="false" ht="15" hidden="false" customHeight="false" outlineLevel="0" collapsed="false">
      <c r="A204" s="3" t="n">
        <v>203</v>
      </c>
      <c r="B204" s="3" t="s">
        <v>33</v>
      </c>
      <c r="C204" s="3" t="n">
        <v>1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5</v>
      </c>
      <c r="I204" s="3" t="n">
        <v>5</v>
      </c>
      <c r="J204" s="3" t="n">
        <v>5</v>
      </c>
      <c r="K204" s="3" t="n">
        <v>5</v>
      </c>
      <c r="L204" s="3" t="n">
        <v>5</v>
      </c>
      <c r="M204" s="3" t="n">
        <v>5</v>
      </c>
      <c r="N204" s="3" t="n">
        <v>2</v>
      </c>
      <c r="O204" s="3" t="n">
        <v>3</v>
      </c>
      <c r="P204" s="3" t="n">
        <v>3</v>
      </c>
      <c r="Q204" s="3" t="n">
        <v>4</v>
      </c>
      <c r="R204" s="3" t="n">
        <v>4</v>
      </c>
      <c r="S204" s="3" t="n">
        <v>3</v>
      </c>
      <c r="T204" s="3" t="n">
        <v>0</v>
      </c>
      <c r="U204" s="3" t="n">
        <v>35</v>
      </c>
      <c r="V204" s="3" t="n">
        <v>69465</v>
      </c>
      <c r="W204" s="3" t="n">
        <v>1</v>
      </c>
      <c r="X204" s="3" t="n">
        <v>2</v>
      </c>
      <c r="Y204" s="3" t="n">
        <v>2</v>
      </c>
      <c r="Z204" s="3" t="n">
        <v>2</v>
      </c>
      <c r="AA204" s="4" t="n">
        <f aca="false">IF($B204=AA$1,1,0)</f>
        <v>0</v>
      </c>
      <c r="AB204" s="4" t="n">
        <f aca="false">IF($B204=AB$1,1,0)</f>
        <v>0</v>
      </c>
      <c r="AC204" s="4" t="n">
        <f aca="false">IF($B204=AC$1,1,0)</f>
        <v>0</v>
      </c>
      <c r="AD204" s="4" t="n">
        <f aca="false">IF($B204=AD$1,1,0)</f>
        <v>0</v>
      </c>
      <c r="AE204" s="4" t="n">
        <f aca="false">IF($B204=AE$1,1,0)</f>
        <v>0</v>
      </c>
      <c r="AF204" s="4" t="n">
        <f aca="false">IF($B204=AF$1,1,0)</f>
        <v>0</v>
      </c>
      <c r="AG204" s="4" t="n">
        <f aca="false">IF($B204=AG$1,1,0)</f>
        <v>0</v>
      </c>
      <c r="AH204" s="4" t="n">
        <f aca="false">IF($B204=AH$1,1,0)</f>
        <v>1</v>
      </c>
      <c r="AI204" s="4" t="n">
        <f aca="false">IF($B204=AI$1,1,0)</f>
        <v>0</v>
      </c>
      <c r="AJ204" s="4" t="n">
        <f aca="false">IF($B204=AJ$1,1,0)</f>
        <v>0</v>
      </c>
      <c r="AK204" s="4" t="n">
        <f aca="false">IF($B204=AK$1,1,0)</f>
        <v>0</v>
      </c>
      <c r="AL204" s="4" t="n">
        <f aca="false">IF($B204=AL$1,1,0)</f>
        <v>0</v>
      </c>
      <c r="AM204" s="4" t="n">
        <f aca="false">IF($B204=AM$1,1,0)</f>
        <v>0</v>
      </c>
      <c r="AN204" s="4" t="n">
        <f aca="false">IF($B204=AN$1,1,0)</f>
        <v>0</v>
      </c>
      <c r="AO204" s="4" t="n">
        <f aca="false">IF($B204=AO$1,1,0)</f>
        <v>0</v>
      </c>
      <c r="AP204" s="4" t="n">
        <f aca="false">IF($B204=AP$1,1,0)</f>
        <v>0</v>
      </c>
      <c r="AQ204" s="4" t="n">
        <f aca="false">IF($B204=AQ$1,1,0)</f>
        <v>0</v>
      </c>
      <c r="AR204" s="4" t="n">
        <f aca="false">IF($B204=AR$1,1,0)</f>
        <v>0</v>
      </c>
      <c r="AS204" s="4" t="n">
        <f aca="false">IF($B204=AS$1,1,0)</f>
        <v>0</v>
      </c>
      <c r="AT204" s="4" t="n">
        <f aca="false">IF($B204=AT$1,1,0)</f>
        <v>0</v>
      </c>
      <c r="BB204" s="4" t="n">
        <f aca="false">A204</f>
        <v>203</v>
      </c>
      <c r="BC204" s="7" t="n">
        <f aca="false">ABS($T204-$AX$2)+ABS($U204-$AY$2)+ABS($V204-$AZ$2)</f>
        <v>46634.7676056338</v>
      </c>
      <c r="BD204" s="7" t="n">
        <f aca="false">ABS($T204-$AX$3)+ABS($U204-$AY$3)+ABS($V204-$AZ$3)</f>
        <v>22808.406779661</v>
      </c>
      <c r="BE204" s="7" t="n">
        <f aca="false">ABS($T204-$AX$4)+ABS($U204-$AY$4)+ABS($V204-$AZ$4)</f>
        <v>8336.64150943397</v>
      </c>
      <c r="BF204" s="7" t="n">
        <f aca="false">MIN(BC204:BE204)</f>
        <v>8336.64150943397</v>
      </c>
      <c r="BG204" s="4" t="n">
        <f aca="false">MATCH(BF204,BC204:BE204,0)</f>
        <v>3</v>
      </c>
      <c r="BH204" s="8" t="n">
        <v>3</v>
      </c>
      <c r="BI204" s="4" t="n">
        <f aca="false">IF(BG204=BH204,0,1)</f>
        <v>0</v>
      </c>
      <c r="BK204" s="8" t="n">
        <v>3</v>
      </c>
      <c r="BL204" s="8" t="n">
        <v>3</v>
      </c>
      <c r="BM204" s="8" t="n">
        <v>3</v>
      </c>
    </row>
    <row r="205" customFormat="false" ht="15" hidden="false" customHeight="false" outlineLevel="0" collapsed="false">
      <c r="A205" s="3" t="n">
        <v>204</v>
      </c>
      <c r="B205" s="3" t="s">
        <v>33</v>
      </c>
      <c r="C205" s="3" t="n">
        <v>1</v>
      </c>
      <c r="D205" s="3" t="n">
        <v>0</v>
      </c>
      <c r="E205" s="3" t="n">
        <v>0</v>
      </c>
      <c r="F205" s="3" t="n">
        <v>0</v>
      </c>
      <c r="G205" s="3" t="n">
        <v>3</v>
      </c>
      <c r="H205" s="3" t="n">
        <v>5</v>
      </c>
      <c r="I205" s="3" t="n">
        <v>5</v>
      </c>
      <c r="J205" s="3" t="n">
        <v>5</v>
      </c>
      <c r="K205" s="3" t="n">
        <v>5</v>
      </c>
      <c r="L205" s="3" t="n">
        <v>5</v>
      </c>
      <c r="M205" s="3" t="n">
        <v>5</v>
      </c>
      <c r="N205" s="3" t="n">
        <v>4</v>
      </c>
      <c r="O205" s="3" t="n">
        <v>4</v>
      </c>
      <c r="P205" s="3" t="n">
        <v>4</v>
      </c>
      <c r="Q205" s="3" t="n">
        <v>4</v>
      </c>
      <c r="R205" s="3" t="n">
        <v>4</v>
      </c>
      <c r="S205" s="3" t="n">
        <v>4</v>
      </c>
      <c r="T205" s="3" t="n">
        <v>0</v>
      </c>
      <c r="U205" s="3" t="n">
        <v>46</v>
      </c>
      <c r="V205" s="3" t="n">
        <v>36060</v>
      </c>
      <c r="W205" s="3" t="n">
        <v>1</v>
      </c>
      <c r="X205" s="3" t="n">
        <v>4</v>
      </c>
      <c r="Y205" s="3" t="n">
        <v>2</v>
      </c>
      <c r="Z205" s="3" t="n">
        <v>2</v>
      </c>
      <c r="AA205" s="4" t="n">
        <f aca="false">IF($B205=AA$1,1,0)</f>
        <v>0</v>
      </c>
      <c r="AB205" s="4" t="n">
        <f aca="false">IF($B205=AB$1,1,0)</f>
        <v>0</v>
      </c>
      <c r="AC205" s="4" t="n">
        <f aca="false">IF($B205=AC$1,1,0)</f>
        <v>0</v>
      </c>
      <c r="AD205" s="4" t="n">
        <f aca="false">IF($B205=AD$1,1,0)</f>
        <v>0</v>
      </c>
      <c r="AE205" s="4" t="n">
        <f aca="false">IF($B205=AE$1,1,0)</f>
        <v>0</v>
      </c>
      <c r="AF205" s="4" t="n">
        <f aca="false">IF($B205=AF$1,1,0)</f>
        <v>0</v>
      </c>
      <c r="AG205" s="4" t="n">
        <f aca="false">IF($B205=AG$1,1,0)</f>
        <v>0</v>
      </c>
      <c r="AH205" s="4" t="n">
        <f aca="false">IF($B205=AH$1,1,0)</f>
        <v>1</v>
      </c>
      <c r="AI205" s="4" t="n">
        <f aca="false">IF($B205=AI$1,1,0)</f>
        <v>0</v>
      </c>
      <c r="AJ205" s="4" t="n">
        <f aca="false">IF($B205=AJ$1,1,0)</f>
        <v>0</v>
      </c>
      <c r="AK205" s="4" t="n">
        <f aca="false">IF($B205=AK$1,1,0)</f>
        <v>0</v>
      </c>
      <c r="AL205" s="4" t="n">
        <f aca="false">IF($B205=AL$1,1,0)</f>
        <v>0</v>
      </c>
      <c r="AM205" s="4" t="n">
        <f aca="false">IF($B205=AM$1,1,0)</f>
        <v>0</v>
      </c>
      <c r="AN205" s="4" t="n">
        <f aca="false">IF($B205=AN$1,1,0)</f>
        <v>0</v>
      </c>
      <c r="AO205" s="4" t="n">
        <f aca="false">IF($B205=AO$1,1,0)</f>
        <v>0</v>
      </c>
      <c r="AP205" s="4" t="n">
        <f aca="false">IF($B205=AP$1,1,0)</f>
        <v>0</v>
      </c>
      <c r="AQ205" s="4" t="n">
        <f aca="false">IF($B205=AQ$1,1,0)</f>
        <v>0</v>
      </c>
      <c r="AR205" s="4" t="n">
        <f aca="false">IF($B205=AR$1,1,0)</f>
        <v>0</v>
      </c>
      <c r="AS205" s="4" t="n">
        <f aca="false">IF($B205=AS$1,1,0)</f>
        <v>0</v>
      </c>
      <c r="AT205" s="4" t="n">
        <f aca="false">IF($B205=AT$1,1,0)</f>
        <v>0</v>
      </c>
      <c r="BB205" s="4" t="n">
        <f aca="false">A205</f>
        <v>204</v>
      </c>
      <c r="BC205" s="7" t="n">
        <f aca="false">ABS($T205-$AX$2)+ABS($U205-$AY$2)+ABS($V205-$AZ$2)</f>
        <v>13233.2887323944</v>
      </c>
      <c r="BD205" s="7" t="n">
        <f aca="false">ABS($T205-$AX$3)+ABS($U205-$AY$3)+ABS($V205-$AZ$3)</f>
        <v>10607.9661016949</v>
      </c>
      <c r="BE205" s="7" t="n">
        <f aca="false">ABS($T205-$AX$4)+ABS($U205-$AY$4)+ABS($V205-$AZ$4)</f>
        <v>41738.6037735849</v>
      </c>
      <c r="BF205" s="7" t="n">
        <f aca="false">MIN(BC205:BE205)</f>
        <v>10607.9661016949</v>
      </c>
      <c r="BG205" s="4" t="n">
        <f aca="false">MATCH(BF205,BC205:BE205,0)</f>
        <v>2</v>
      </c>
      <c r="BH205" s="8" t="n">
        <v>2</v>
      </c>
      <c r="BI205" s="4" t="n">
        <f aca="false">IF(BG205=BH205,0,1)</f>
        <v>0</v>
      </c>
      <c r="BK205" s="8" t="n">
        <v>2</v>
      </c>
      <c r="BL205" s="8" t="n">
        <v>2</v>
      </c>
      <c r="BM205" s="8" t="n">
        <v>2</v>
      </c>
    </row>
    <row r="206" customFormat="false" ht="15" hidden="false" customHeight="false" outlineLevel="0" collapsed="false">
      <c r="A206" s="3" t="n">
        <v>205</v>
      </c>
      <c r="B206" s="3" t="s">
        <v>35</v>
      </c>
      <c r="C206" s="3" t="n">
        <v>0</v>
      </c>
      <c r="D206" s="3" t="n">
        <v>0</v>
      </c>
      <c r="E206" s="3" t="n">
        <v>1</v>
      </c>
      <c r="F206" s="3" t="n">
        <v>0</v>
      </c>
      <c r="G206" s="3" t="n">
        <v>0</v>
      </c>
      <c r="H206" s="3" t="n">
        <v>4</v>
      </c>
      <c r="I206" s="3" t="n">
        <v>4</v>
      </c>
      <c r="J206" s="3" t="n">
        <v>5</v>
      </c>
      <c r="K206" s="3" t="n">
        <v>5</v>
      </c>
      <c r="L206" s="3" t="n">
        <v>5</v>
      </c>
      <c r="M206" s="3" t="n">
        <v>4</v>
      </c>
      <c r="N206" s="3" t="n">
        <v>4</v>
      </c>
      <c r="O206" s="3" t="n">
        <v>4</v>
      </c>
      <c r="P206" s="3" t="n">
        <v>2</v>
      </c>
      <c r="Q206" s="3" t="n">
        <v>4</v>
      </c>
      <c r="R206" s="3" t="n">
        <v>4</v>
      </c>
      <c r="S206" s="3" t="n">
        <v>3</v>
      </c>
      <c r="T206" s="3" t="n">
        <v>0</v>
      </c>
      <c r="U206" s="3" t="n">
        <v>54</v>
      </c>
      <c r="V206" s="3" t="n">
        <v>19970</v>
      </c>
      <c r="W206" s="3" t="n">
        <v>2</v>
      </c>
      <c r="X206" s="3" t="n">
        <v>3</v>
      </c>
      <c r="Y206" s="3" t="n">
        <v>2</v>
      </c>
      <c r="Z206" s="3" t="n">
        <v>1</v>
      </c>
      <c r="AA206" s="4" t="n">
        <f aca="false">IF($B206=AA$1,1,0)</f>
        <v>0</v>
      </c>
      <c r="AB206" s="4" t="n">
        <f aca="false">IF($B206=AB$1,1,0)</f>
        <v>0</v>
      </c>
      <c r="AC206" s="4" t="n">
        <f aca="false">IF($B206=AC$1,1,0)</f>
        <v>0</v>
      </c>
      <c r="AD206" s="4" t="n">
        <f aca="false">IF($B206=AD$1,1,0)</f>
        <v>0</v>
      </c>
      <c r="AE206" s="4" t="n">
        <f aca="false">IF($B206=AE$1,1,0)</f>
        <v>0</v>
      </c>
      <c r="AF206" s="4" t="n">
        <f aca="false">IF($B206=AF$1,1,0)</f>
        <v>0</v>
      </c>
      <c r="AG206" s="4" t="n">
        <f aca="false">IF($B206=AG$1,1,0)</f>
        <v>0</v>
      </c>
      <c r="AH206" s="4" t="n">
        <f aca="false">IF($B206=AH$1,1,0)</f>
        <v>0</v>
      </c>
      <c r="AI206" s="4" t="n">
        <f aca="false">IF($B206=AI$1,1,0)</f>
        <v>0</v>
      </c>
      <c r="AJ206" s="4" t="n">
        <f aca="false">IF($B206=AJ$1,1,0)</f>
        <v>1</v>
      </c>
      <c r="AK206" s="4" t="n">
        <f aca="false">IF($B206=AK$1,1,0)</f>
        <v>0</v>
      </c>
      <c r="AL206" s="4" t="n">
        <f aca="false">IF($B206=AL$1,1,0)</f>
        <v>0</v>
      </c>
      <c r="AM206" s="4" t="n">
        <f aca="false">IF($B206=AM$1,1,0)</f>
        <v>0</v>
      </c>
      <c r="AN206" s="4" t="n">
        <f aca="false">IF($B206=AN$1,1,0)</f>
        <v>0</v>
      </c>
      <c r="AO206" s="4" t="n">
        <f aca="false">IF($B206=AO$1,1,0)</f>
        <v>0</v>
      </c>
      <c r="AP206" s="4" t="n">
        <f aca="false">IF($B206=AP$1,1,0)</f>
        <v>0</v>
      </c>
      <c r="AQ206" s="4" t="n">
        <f aca="false">IF($B206=AQ$1,1,0)</f>
        <v>0</v>
      </c>
      <c r="AR206" s="4" t="n">
        <f aca="false">IF($B206=AR$1,1,0)</f>
        <v>0</v>
      </c>
      <c r="AS206" s="4" t="n">
        <f aca="false">IF($B206=AS$1,1,0)</f>
        <v>0</v>
      </c>
      <c r="AT206" s="4" t="n">
        <f aca="false">IF($B206=AT$1,1,0)</f>
        <v>0</v>
      </c>
      <c r="BB206" s="4" t="n">
        <f aca="false">A206</f>
        <v>205</v>
      </c>
      <c r="BC206" s="7" t="n">
        <f aca="false">ABS($T206-$AX$2)+ABS($U206-$AY$2)+ABS($V206-$AZ$2)</f>
        <v>2879.66901408451</v>
      </c>
      <c r="BD206" s="7" t="n">
        <f aca="false">ABS($T206-$AX$3)+ABS($U206-$AY$3)+ABS($V206-$AZ$3)</f>
        <v>26705.9661016949</v>
      </c>
      <c r="BE206" s="7" t="n">
        <f aca="false">ABS($T206-$AX$4)+ABS($U206-$AY$4)+ABS($V206-$AZ$4)</f>
        <v>57836.6037735849</v>
      </c>
      <c r="BF206" s="7" t="n">
        <f aca="false">MIN(BC206:BE206)</f>
        <v>2879.66901408451</v>
      </c>
      <c r="BG206" s="4" t="n">
        <f aca="false">MATCH(BF206,BC206:BE206,0)</f>
        <v>1</v>
      </c>
      <c r="BH206" s="8" t="n">
        <v>1</v>
      </c>
      <c r="BI206" s="4" t="n">
        <f aca="false">IF(BG206=BH206,0,1)</f>
        <v>0</v>
      </c>
      <c r="BK206" s="8" t="n">
        <v>1</v>
      </c>
      <c r="BL206" s="8" t="n">
        <v>1</v>
      </c>
      <c r="BM206" s="8" t="n">
        <v>1</v>
      </c>
    </row>
    <row r="207" customFormat="false" ht="15" hidden="false" customHeight="false" outlineLevel="0" collapsed="false">
      <c r="A207" s="3" t="n">
        <v>206</v>
      </c>
      <c r="B207" s="3" t="s">
        <v>33</v>
      </c>
      <c r="C207" s="3" t="n">
        <v>1</v>
      </c>
      <c r="D207" s="3" t="n">
        <v>0</v>
      </c>
      <c r="E207" s="3" t="n">
        <v>0</v>
      </c>
      <c r="F207" s="3" t="n">
        <v>0</v>
      </c>
      <c r="G207" s="3" t="n">
        <v>3</v>
      </c>
      <c r="H207" s="3" t="n">
        <v>5</v>
      </c>
      <c r="I207" s="3" t="n">
        <v>3</v>
      </c>
      <c r="J207" s="3" t="n">
        <v>4</v>
      </c>
      <c r="K207" s="3" t="n">
        <v>5</v>
      </c>
      <c r="L207" s="3" t="n">
        <v>5</v>
      </c>
      <c r="M207" s="3" t="n">
        <v>4</v>
      </c>
      <c r="N207" s="3" t="n">
        <v>3</v>
      </c>
      <c r="O207" s="3" t="n">
        <v>3</v>
      </c>
      <c r="P207" s="3" t="n">
        <v>4</v>
      </c>
      <c r="Q207" s="3" t="n">
        <v>5</v>
      </c>
      <c r="R207" s="3" t="n">
        <v>5</v>
      </c>
      <c r="S207" s="3" t="n">
        <v>3</v>
      </c>
      <c r="T207" s="3" t="n">
        <v>0</v>
      </c>
      <c r="U207" s="3" t="n">
        <v>58</v>
      </c>
      <c r="V207" s="3" t="n">
        <v>51927</v>
      </c>
      <c r="W207" s="3" t="n">
        <v>2</v>
      </c>
      <c r="X207" s="3" t="n">
        <v>4</v>
      </c>
      <c r="Y207" s="3" t="n">
        <v>1</v>
      </c>
      <c r="Z207" s="3" t="n">
        <v>1</v>
      </c>
      <c r="AA207" s="4" t="n">
        <f aca="false">IF($B207=AA$1,1,0)</f>
        <v>0</v>
      </c>
      <c r="AB207" s="4" t="n">
        <f aca="false">IF($B207=AB$1,1,0)</f>
        <v>0</v>
      </c>
      <c r="AC207" s="4" t="n">
        <f aca="false">IF($B207=AC$1,1,0)</f>
        <v>0</v>
      </c>
      <c r="AD207" s="4" t="n">
        <f aca="false">IF($B207=AD$1,1,0)</f>
        <v>0</v>
      </c>
      <c r="AE207" s="4" t="n">
        <f aca="false">IF($B207=AE$1,1,0)</f>
        <v>0</v>
      </c>
      <c r="AF207" s="4" t="n">
        <f aca="false">IF($B207=AF$1,1,0)</f>
        <v>0</v>
      </c>
      <c r="AG207" s="4" t="n">
        <f aca="false">IF($B207=AG$1,1,0)</f>
        <v>0</v>
      </c>
      <c r="AH207" s="4" t="n">
        <f aca="false">IF($B207=AH$1,1,0)</f>
        <v>1</v>
      </c>
      <c r="AI207" s="4" t="n">
        <f aca="false">IF($B207=AI$1,1,0)</f>
        <v>0</v>
      </c>
      <c r="AJ207" s="4" t="n">
        <f aca="false">IF($B207=AJ$1,1,0)</f>
        <v>0</v>
      </c>
      <c r="AK207" s="4" t="n">
        <f aca="false">IF($B207=AK$1,1,0)</f>
        <v>0</v>
      </c>
      <c r="AL207" s="4" t="n">
        <f aca="false">IF($B207=AL$1,1,0)</f>
        <v>0</v>
      </c>
      <c r="AM207" s="4" t="n">
        <f aca="false">IF($B207=AM$1,1,0)</f>
        <v>0</v>
      </c>
      <c r="AN207" s="4" t="n">
        <f aca="false">IF($B207=AN$1,1,0)</f>
        <v>0</v>
      </c>
      <c r="AO207" s="4" t="n">
        <f aca="false">IF($B207=AO$1,1,0)</f>
        <v>0</v>
      </c>
      <c r="AP207" s="4" t="n">
        <f aca="false">IF($B207=AP$1,1,0)</f>
        <v>0</v>
      </c>
      <c r="AQ207" s="4" t="n">
        <f aca="false">IF($B207=AQ$1,1,0)</f>
        <v>0</v>
      </c>
      <c r="AR207" s="4" t="n">
        <f aca="false">IF($B207=AR$1,1,0)</f>
        <v>0</v>
      </c>
      <c r="AS207" s="4" t="n">
        <f aca="false">IF($B207=AS$1,1,0)</f>
        <v>0</v>
      </c>
      <c r="AT207" s="4" t="n">
        <f aca="false">IF($B207=AT$1,1,0)</f>
        <v>0</v>
      </c>
      <c r="BB207" s="4" t="n">
        <f aca="false">A207</f>
        <v>206</v>
      </c>
      <c r="BC207" s="7" t="n">
        <f aca="false">ABS($T207-$AX$2)+ABS($U207-$AY$2)+ABS($V207-$AZ$2)</f>
        <v>29112.2887323944</v>
      </c>
      <c r="BD207" s="7" t="n">
        <f aca="false">ABS($T207-$AX$3)+ABS($U207-$AY$3)+ABS($V207-$AZ$3)</f>
        <v>5280.64406779661</v>
      </c>
      <c r="BE207" s="7" t="n">
        <f aca="false">ABS($T207-$AX$4)+ABS($U207-$AY$4)+ABS($V207-$AZ$4)</f>
        <v>25883.6037735849</v>
      </c>
      <c r="BF207" s="7" t="n">
        <f aca="false">MIN(BC207:BE207)</f>
        <v>5280.64406779661</v>
      </c>
      <c r="BG207" s="4" t="n">
        <f aca="false">MATCH(BF207,BC207:BE207,0)</f>
        <v>2</v>
      </c>
      <c r="BH207" s="8" t="n">
        <v>2</v>
      </c>
      <c r="BI207" s="4" t="n">
        <f aca="false">IF(BG207=BH207,0,1)</f>
        <v>0</v>
      </c>
      <c r="BK207" s="8" t="n">
        <v>2</v>
      </c>
      <c r="BL207" s="8" t="n">
        <v>2</v>
      </c>
      <c r="BM207" s="8" t="n">
        <v>2</v>
      </c>
    </row>
    <row r="208" customFormat="false" ht="15" hidden="false" customHeight="false" outlineLevel="0" collapsed="false">
      <c r="A208" s="3" t="n">
        <v>207</v>
      </c>
      <c r="B208" s="3" t="s">
        <v>42</v>
      </c>
      <c r="C208" s="3" t="n">
        <v>1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5</v>
      </c>
      <c r="I208" s="3" t="n">
        <v>4</v>
      </c>
      <c r="J208" s="3" t="n">
        <v>4</v>
      </c>
      <c r="K208" s="3" t="n">
        <v>3</v>
      </c>
      <c r="L208" s="3" t="n">
        <v>4</v>
      </c>
      <c r="M208" s="3" t="n">
        <v>2</v>
      </c>
      <c r="N208" s="3" t="n">
        <v>5</v>
      </c>
      <c r="O208" s="3" t="n">
        <v>3</v>
      </c>
      <c r="P208" s="3" t="n">
        <v>4</v>
      </c>
      <c r="Q208" s="3" t="n">
        <v>4</v>
      </c>
      <c r="R208" s="3" t="n">
        <v>4</v>
      </c>
      <c r="S208" s="3" t="n">
        <v>3</v>
      </c>
      <c r="T208" s="3" t="n">
        <v>0</v>
      </c>
      <c r="U208" s="3" t="n">
        <v>69</v>
      </c>
      <c r="V208" s="3" t="n">
        <v>83778</v>
      </c>
      <c r="W208" s="3" t="n">
        <v>3</v>
      </c>
      <c r="X208" s="3" t="n">
        <v>4</v>
      </c>
      <c r="Y208" s="3" t="n">
        <v>2</v>
      </c>
      <c r="Z208" s="3" t="n">
        <v>2</v>
      </c>
      <c r="AA208" s="4" t="n">
        <f aca="false">IF($B208=AA$1,1,0)</f>
        <v>0</v>
      </c>
      <c r="AB208" s="4" t="n">
        <f aca="false">IF($B208=AB$1,1,0)</f>
        <v>0</v>
      </c>
      <c r="AC208" s="4" t="n">
        <f aca="false">IF($B208=AC$1,1,0)</f>
        <v>0</v>
      </c>
      <c r="AD208" s="4" t="n">
        <f aca="false">IF($B208=AD$1,1,0)</f>
        <v>0</v>
      </c>
      <c r="AE208" s="4" t="n">
        <f aca="false">IF($B208=AE$1,1,0)</f>
        <v>0</v>
      </c>
      <c r="AF208" s="4" t="n">
        <f aca="false">IF($B208=AF$1,1,0)</f>
        <v>0</v>
      </c>
      <c r="AG208" s="4" t="n">
        <f aca="false">IF($B208=AG$1,1,0)</f>
        <v>0</v>
      </c>
      <c r="AH208" s="4" t="n">
        <f aca="false">IF($B208=AH$1,1,0)</f>
        <v>0</v>
      </c>
      <c r="AI208" s="4" t="n">
        <f aca="false">IF($B208=AI$1,1,0)</f>
        <v>0</v>
      </c>
      <c r="AJ208" s="4" t="n">
        <f aca="false">IF($B208=AJ$1,1,0)</f>
        <v>0</v>
      </c>
      <c r="AK208" s="4" t="n">
        <f aca="false">IF($B208=AK$1,1,0)</f>
        <v>0</v>
      </c>
      <c r="AL208" s="4" t="n">
        <f aca="false">IF($B208=AL$1,1,0)</f>
        <v>0</v>
      </c>
      <c r="AM208" s="4" t="n">
        <f aca="false">IF($B208=AM$1,1,0)</f>
        <v>0</v>
      </c>
      <c r="AN208" s="4" t="n">
        <f aca="false">IF($B208=AN$1,1,0)</f>
        <v>0</v>
      </c>
      <c r="AO208" s="4" t="n">
        <f aca="false">IF($B208=AO$1,1,0)</f>
        <v>0</v>
      </c>
      <c r="AP208" s="4" t="n">
        <f aca="false">IF($B208=AP$1,1,0)</f>
        <v>0</v>
      </c>
      <c r="AQ208" s="4" t="n">
        <f aca="false">IF($B208=AQ$1,1,0)</f>
        <v>1</v>
      </c>
      <c r="AR208" s="4" t="n">
        <f aca="false">IF($B208=AR$1,1,0)</f>
        <v>0</v>
      </c>
      <c r="AS208" s="4" t="n">
        <f aca="false">IF($B208=AS$1,1,0)</f>
        <v>0</v>
      </c>
      <c r="AT208" s="4" t="n">
        <f aca="false">IF($B208=AT$1,1,0)</f>
        <v>0</v>
      </c>
      <c r="BB208" s="4" t="n">
        <f aca="false">A208</f>
        <v>207</v>
      </c>
      <c r="BC208" s="7" t="n">
        <f aca="false">ABS($T208-$AX$2)+ABS($U208-$AY$2)+ABS($V208-$AZ$2)</f>
        <v>60974.2887323944</v>
      </c>
      <c r="BD208" s="7" t="n">
        <f aca="false">ABS($T208-$AX$3)+ABS($U208-$AY$3)+ABS($V208-$AZ$3)</f>
        <v>37142.6440677966</v>
      </c>
      <c r="BE208" s="7" t="n">
        <f aca="false">ABS($T208-$AX$4)+ABS($U208-$AY$4)+ABS($V208-$AZ$4)</f>
        <v>6010.88679245283</v>
      </c>
      <c r="BF208" s="7" t="n">
        <f aca="false">MIN(BC208:BE208)</f>
        <v>6010.88679245283</v>
      </c>
      <c r="BG208" s="4" t="n">
        <f aca="false">MATCH(BF208,BC208:BE208,0)</f>
        <v>3</v>
      </c>
      <c r="BH208" s="8" t="n">
        <v>3</v>
      </c>
      <c r="BI208" s="4" t="n">
        <f aca="false">IF(BG208=BH208,0,1)</f>
        <v>0</v>
      </c>
      <c r="BK208" s="8" t="n">
        <v>3</v>
      </c>
      <c r="BL208" s="8" t="n">
        <v>3</v>
      </c>
      <c r="BM208" s="8" t="n">
        <v>3</v>
      </c>
    </row>
    <row r="209" customFormat="false" ht="15" hidden="false" customHeight="false" outlineLevel="0" collapsed="false">
      <c r="A209" s="3" t="n">
        <v>208</v>
      </c>
      <c r="B209" s="3" t="s">
        <v>38</v>
      </c>
      <c r="C209" s="3" t="n">
        <v>0</v>
      </c>
      <c r="D209" s="3" t="n">
        <v>0</v>
      </c>
      <c r="E209" s="3" t="n">
        <v>0</v>
      </c>
      <c r="F209" s="3" t="n">
        <v>0</v>
      </c>
      <c r="G209" s="3" t="n">
        <v>6</v>
      </c>
      <c r="H209" s="3" t="n">
        <v>4</v>
      </c>
      <c r="I209" s="3" t="n">
        <v>4</v>
      </c>
      <c r="J209" s="3" t="n">
        <v>5</v>
      </c>
      <c r="K209" s="3" t="n">
        <v>4</v>
      </c>
      <c r="L209" s="3" t="n">
        <v>5</v>
      </c>
      <c r="M209" s="3" t="n">
        <v>4</v>
      </c>
      <c r="N209" s="3" t="n">
        <v>3</v>
      </c>
      <c r="O209" s="3" t="n">
        <v>4</v>
      </c>
      <c r="P209" s="3" t="n">
        <v>3</v>
      </c>
      <c r="Q209" s="3" t="n">
        <v>4</v>
      </c>
      <c r="R209" s="3" t="n">
        <v>4</v>
      </c>
      <c r="S209" s="3" t="n">
        <v>3</v>
      </c>
      <c r="T209" s="3" t="n">
        <v>0</v>
      </c>
      <c r="U209" s="3" t="n">
        <v>47</v>
      </c>
      <c r="V209" s="3" t="n">
        <v>62550</v>
      </c>
      <c r="W209" s="3" t="n">
        <v>1</v>
      </c>
      <c r="X209" s="3" t="n">
        <v>4</v>
      </c>
      <c r="Y209" s="3" t="n">
        <v>2</v>
      </c>
      <c r="Z209" s="3" t="n">
        <v>2</v>
      </c>
      <c r="AA209" s="4" t="n">
        <f aca="false">IF($B209=AA$1,1,0)</f>
        <v>0</v>
      </c>
      <c r="AB209" s="4" t="n">
        <f aca="false">IF($B209=AB$1,1,0)</f>
        <v>0</v>
      </c>
      <c r="AC209" s="4" t="n">
        <f aca="false">IF($B209=AC$1,1,0)</f>
        <v>0</v>
      </c>
      <c r="AD209" s="4" t="n">
        <f aca="false">IF($B209=AD$1,1,0)</f>
        <v>0</v>
      </c>
      <c r="AE209" s="4" t="n">
        <f aca="false">IF($B209=AE$1,1,0)</f>
        <v>0</v>
      </c>
      <c r="AF209" s="4" t="n">
        <f aca="false">IF($B209=AF$1,1,0)</f>
        <v>0</v>
      </c>
      <c r="AG209" s="4" t="n">
        <f aca="false">IF($B209=AG$1,1,0)</f>
        <v>0</v>
      </c>
      <c r="AH209" s="4" t="n">
        <f aca="false">IF($B209=AH$1,1,0)</f>
        <v>0</v>
      </c>
      <c r="AI209" s="4" t="n">
        <f aca="false">IF($B209=AI$1,1,0)</f>
        <v>0</v>
      </c>
      <c r="AJ209" s="4" t="n">
        <f aca="false">IF($B209=AJ$1,1,0)</f>
        <v>0</v>
      </c>
      <c r="AK209" s="4" t="n">
        <f aca="false">IF($B209=AK$1,1,0)</f>
        <v>0</v>
      </c>
      <c r="AL209" s="4" t="n">
        <f aca="false">IF($B209=AL$1,1,0)</f>
        <v>0</v>
      </c>
      <c r="AM209" s="4" t="n">
        <f aca="false">IF($B209=AM$1,1,0)</f>
        <v>1</v>
      </c>
      <c r="AN209" s="4" t="n">
        <f aca="false">IF($B209=AN$1,1,0)</f>
        <v>0</v>
      </c>
      <c r="AO209" s="4" t="n">
        <f aca="false">IF($B209=AO$1,1,0)</f>
        <v>0</v>
      </c>
      <c r="AP209" s="4" t="n">
        <f aca="false">IF($B209=AP$1,1,0)</f>
        <v>0</v>
      </c>
      <c r="AQ209" s="4" t="n">
        <f aca="false">IF($B209=AQ$1,1,0)</f>
        <v>0</v>
      </c>
      <c r="AR209" s="4" t="n">
        <f aca="false">IF($B209=AR$1,1,0)</f>
        <v>0</v>
      </c>
      <c r="AS209" s="4" t="n">
        <f aca="false">IF($B209=AS$1,1,0)</f>
        <v>0</v>
      </c>
      <c r="AT209" s="4" t="n">
        <f aca="false">IF($B209=AT$1,1,0)</f>
        <v>0</v>
      </c>
      <c r="BB209" s="4" t="n">
        <f aca="false">A209</f>
        <v>208</v>
      </c>
      <c r="BC209" s="7" t="n">
        <f aca="false">ABS($T209-$AX$2)+ABS($U209-$AY$2)+ABS($V209-$AZ$2)</f>
        <v>39724.2887323944</v>
      </c>
      <c r="BD209" s="7" t="n">
        <f aca="false">ABS($T209-$AX$3)+ABS($U209-$AY$3)+ABS($V209-$AZ$3)</f>
        <v>15892.6440677966</v>
      </c>
      <c r="BE209" s="7" t="n">
        <f aca="false">ABS($T209-$AX$4)+ABS($U209-$AY$4)+ABS($V209-$AZ$4)</f>
        <v>15249.6037735849</v>
      </c>
      <c r="BF209" s="7" t="n">
        <f aca="false">MIN(BC209:BE209)</f>
        <v>15249.6037735849</v>
      </c>
      <c r="BG209" s="4" t="n">
        <f aca="false">MATCH(BF209,BC209:BE209,0)</f>
        <v>3</v>
      </c>
      <c r="BH209" s="8" t="n">
        <v>3</v>
      </c>
      <c r="BI209" s="4" t="n">
        <f aca="false">IF(BG209=BH209,0,1)</f>
        <v>0</v>
      </c>
      <c r="BK209" s="8" t="n">
        <v>2</v>
      </c>
      <c r="BL209" s="8" t="n">
        <v>3</v>
      </c>
      <c r="BM209" s="8" t="n">
        <v>3</v>
      </c>
    </row>
    <row r="210" customFormat="false" ht="15" hidden="false" customHeight="false" outlineLevel="0" collapsed="false">
      <c r="A210" s="3" t="n">
        <v>209</v>
      </c>
      <c r="B210" s="3" t="s">
        <v>33</v>
      </c>
      <c r="C210" s="3" t="n">
        <v>1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5</v>
      </c>
      <c r="I210" s="3" t="n">
        <v>4</v>
      </c>
      <c r="J210" s="3" t="n">
        <v>5</v>
      </c>
      <c r="K210" s="3" t="n">
        <v>3</v>
      </c>
      <c r="L210" s="3" t="n">
        <v>5</v>
      </c>
      <c r="M210" s="3" t="n">
        <v>4</v>
      </c>
      <c r="N210" s="3" t="n">
        <v>3</v>
      </c>
      <c r="O210" s="3" t="n">
        <v>3</v>
      </c>
      <c r="P210" s="3" t="n">
        <v>3</v>
      </c>
      <c r="Q210" s="3" t="n">
        <v>6</v>
      </c>
      <c r="R210" s="3" t="n">
        <v>4</v>
      </c>
      <c r="S210" s="3" t="n">
        <v>3</v>
      </c>
      <c r="T210" s="3" t="n">
        <v>0</v>
      </c>
      <c r="U210" s="3" t="n">
        <v>21</v>
      </c>
      <c r="V210" s="3" t="n">
        <v>25375</v>
      </c>
      <c r="W210" s="3" t="n">
        <v>2</v>
      </c>
      <c r="X210" s="3" t="n">
        <v>3</v>
      </c>
      <c r="Y210" s="3" t="n">
        <v>2</v>
      </c>
      <c r="Z210" s="3" t="n">
        <v>3</v>
      </c>
      <c r="AA210" s="4" t="n">
        <f aca="false">IF($B210=AA$1,1,0)</f>
        <v>0</v>
      </c>
      <c r="AB210" s="4" t="n">
        <f aca="false">IF($B210=AB$1,1,0)</f>
        <v>0</v>
      </c>
      <c r="AC210" s="4" t="n">
        <f aca="false">IF($B210=AC$1,1,0)</f>
        <v>0</v>
      </c>
      <c r="AD210" s="4" t="n">
        <f aca="false">IF($B210=AD$1,1,0)</f>
        <v>0</v>
      </c>
      <c r="AE210" s="4" t="n">
        <f aca="false">IF($B210=AE$1,1,0)</f>
        <v>0</v>
      </c>
      <c r="AF210" s="4" t="n">
        <f aca="false">IF($B210=AF$1,1,0)</f>
        <v>0</v>
      </c>
      <c r="AG210" s="4" t="n">
        <f aca="false">IF($B210=AG$1,1,0)</f>
        <v>0</v>
      </c>
      <c r="AH210" s="4" t="n">
        <f aca="false">IF($B210=AH$1,1,0)</f>
        <v>1</v>
      </c>
      <c r="AI210" s="4" t="n">
        <f aca="false">IF($B210=AI$1,1,0)</f>
        <v>0</v>
      </c>
      <c r="AJ210" s="4" t="n">
        <f aca="false">IF($B210=AJ$1,1,0)</f>
        <v>0</v>
      </c>
      <c r="AK210" s="4" t="n">
        <f aca="false">IF($B210=AK$1,1,0)</f>
        <v>0</v>
      </c>
      <c r="AL210" s="4" t="n">
        <f aca="false">IF($B210=AL$1,1,0)</f>
        <v>0</v>
      </c>
      <c r="AM210" s="4" t="n">
        <f aca="false">IF($B210=AM$1,1,0)</f>
        <v>0</v>
      </c>
      <c r="AN210" s="4" t="n">
        <f aca="false">IF($B210=AN$1,1,0)</f>
        <v>0</v>
      </c>
      <c r="AO210" s="4" t="n">
        <f aca="false">IF($B210=AO$1,1,0)</f>
        <v>0</v>
      </c>
      <c r="AP210" s="4" t="n">
        <f aca="false">IF($B210=AP$1,1,0)</f>
        <v>0</v>
      </c>
      <c r="AQ210" s="4" t="n">
        <f aca="false">IF($B210=AQ$1,1,0)</f>
        <v>0</v>
      </c>
      <c r="AR210" s="4" t="n">
        <f aca="false">IF($B210=AR$1,1,0)</f>
        <v>0</v>
      </c>
      <c r="AS210" s="4" t="n">
        <f aca="false">IF($B210=AS$1,1,0)</f>
        <v>0</v>
      </c>
      <c r="AT210" s="4" t="n">
        <f aca="false">IF($B210=AT$1,1,0)</f>
        <v>0</v>
      </c>
      <c r="BB210" s="4" t="n">
        <f aca="false">A210</f>
        <v>209</v>
      </c>
      <c r="BC210" s="7" t="n">
        <f aca="false">ABS($T210-$AX$2)+ABS($U210-$AY$2)+ABS($V210-$AZ$2)</f>
        <v>2558.7676056338</v>
      </c>
      <c r="BD210" s="7" t="n">
        <f aca="false">ABS($T210-$AX$3)+ABS($U210-$AY$3)+ABS($V210-$AZ$3)</f>
        <v>21308.7288135593</v>
      </c>
      <c r="BE210" s="7" t="n">
        <f aca="false">ABS($T210-$AX$4)+ABS($U210-$AY$4)+ABS($V210-$AZ$4)</f>
        <v>52440.641509434</v>
      </c>
      <c r="BF210" s="7" t="n">
        <f aca="false">MIN(BC210:BE210)</f>
        <v>2558.7676056338</v>
      </c>
      <c r="BG210" s="4" t="n">
        <f aca="false">MATCH(BF210,BC210:BE210,0)</f>
        <v>1</v>
      </c>
      <c r="BH210" s="8" t="n">
        <v>1</v>
      </c>
      <c r="BI210" s="4" t="n">
        <f aca="false">IF(BG210=BH210,0,1)</f>
        <v>0</v>
      </c>
      <c r="BK210" s="8" t="n">
        <v>1</v>
      </c>
      <c r="BL210" s="8" t="n">
        <v>1</v>
      </c>
      <c r="BM210" s="8" t="n">
        <v>1</v>
      </c>
    </row>
    <row r="211" customFormat="false" ht="15" hidden="false" customHeight="false" outlineLevel="0" collapsed="false">
      <c r="A211" s="3" t="n">
        <v>210</v>
      </c>
      <c r="B211" s="3" t="s">
        <v>38</v>
      </c>
      <c r="C211" s="3" t="n">
        <v>0</v>
      </c>
      <c r="D211" s="3" t="n">
        <v>0</v>
      </c>
      <c r="E211" s="3" t="n">
        <v>1</v>
      </c>
      <c r="F211" s="3" t="n">
        <v>0</v>
      </c>
      <c r="G211" s="3" t="n">
        <v>0</v>
      </c>
      <c r="H211" s="3" t="n">
        <v>5</v>
      </c>
      <c r="I211" s="3" t="n">
        <v>2</v>
      </c>
      <c r="J211" s="3" t="n">
        <v>5</v>
      </c>
      <c r="K211" s="3" t="n">
        <v>5</v>
      </c>
      <c r="L211" s="3" t="n">
        <v>5</v>
      </c>
      <c r="M211" s="3" t="n">
        <v>1</v>
      </c>
      <c r="N211" s="3" t="n">
        <v>5</v>
      </c>
      <c r="O211" s="3" t="n">
        <v>2</v>
      </c>
      <c r="P211" s="3" t="n">
        <v>1</v>
      </c>
      <c r="Q211" s="3" t="n">
        <v>5</v>
      </c>
      <c r="R211" s="3" t="n">
        <v>5</v>
      </c>
      <c r="S211" s="3" t="n">
        <v>3</v>
      </c>
      <c r="T211" s="3" t="n">
        <v>0</v>
      </c>
      <c r="U211" s="3" t="n">
        <v>30</v>
      </c>
      <c r="V211" s="3" t="n">
        <v>41362</v>
      </c>
      <c r="W211" s="3" t="n">
        <v>1</v>
      </c>
      <c r="X211" s="3" t="n">
        <v>4</v>
      </c>
      <c r="Y211" s="3" t="n">
        <v>4</v>
      </c>
      <c r="Z211" s="3" t="n">
        <v>1</v>
      </c>
      <c r="AA211" s="4" t="n">
        <f aca="false">IF($B211=AA$1,1,0)</f>
        <v>0</v>
      </c>
      <c r="AB211" s="4" t="n">
        <f aca="false">IF($B211=AB$1,1,0)</f>
        <v>0</v>
      </c>
      <c r="AC211" s="4" t="n">
        <f aca="false">IF($B211=AC$1,1,0)</f>
        <v>0</v>
      </c>
      <c r="AD211" s="4" t="n">
        <f aca="false">IF($B211=AD$1,1,0)</f>
        <v>0</v>
      </c>
      <c r="AE211" s="4" t="n">
        <f aca="false">IF($B211=AE$1,1,0)</f>
        <v>0</v>
      </c>
      <c r="AF211" s="4" t="n">
        <f aca="false">IF($B211=AF$1,1,0)</f>
        <v>0</v>
      </c>
      <c r="AG211" s="4" t="n">
        <f aca="false">IF($B211=AG$1,1,0)</f>
        <v>0</v>
      </c>
      <c r="AH211" s="4" t="n">
        <f aca="false">IF($B211=AH$1,1,0)</f>
        <v>0</v>
      </c>
      <c r="AI211" s="4" t="n">
        <f aca="false">IF($B211=AI$1,1,0)</f>
        <v>0</v>
      </c>
      <c r="AJ211" s="4" t="n">
        <f aca="false">IF($B211=AJ$1,1,0)</f>
        <v>0</v>
      </c>
      <c r="AK211" s="4" t="n">
        <f aca="false">IF($B211=AK$1,1,0)</f>
        <v>0</v>
      </c>
      <c r="AL211" s="4" t="n">
        <f aca="false">IF($B211=AL$1,1,0)</f>
        <v>0</v>
      </c>
      <c r="AM211" s="4" t="n">
        <f aca="false">IF($B211=AM$1,1,0)</f>
        <v>1</v>
      </c>
      <c r="AN211" s="4" t="n">
        <f aca="false">IF($B211=AN$1,1,0)</f>
        <v>0</v>
      </c>
      <c r="AO211" s="4" t="n">
        <f aca="false">IF($B211=AO$1,1,0)</f>
        <v>0</v>
      </c>
      <c r="AP211" s="4" t="n">
        <f aca="false">IF($B211=AP$1,1,0)</f>
        <v>0</v>
      </c>
      <c r="AQ211" s="4" t="n">
        <f aca="false">IF($B211=AQ$1,1,0)</f>
        <v>0</v>
      </c>
      <c r="AR211" s="4" t="n">
        <f aca="false">IF($B211=AR$1,1,0)</f>
        <v>0</v>
      </c>
      <c r="AS211" s="4" t="n">
        <f aca="false">IF($B211=AS$1,1,0)</f>
        <v>0</v>
      </c>
      <c r="AT211" s="4" t="n">
        <f aca="false">IF($B211=AT$1,1,0)</f>
        <v>0</v>
      </c>
      <c r="BB211" s="4" t="n">
        <f aca="false">A211</f>
        <v>210</v>
      </c>
      <c r="BC211" s="7" t="n">
        <f aca="false">ABS($T211-$AX$2)+ABS($U211-$AY$2)+ABS($V211-$AZ$2)</f>
        <v>18536.7676056338</v>
      </c>
      <c r="BD211" s="7" t="n">
        <f aca="false">ABS($T211-$AX$3)+ABS($U211-$AY$3)+ABS($V211-$AZ$3)</f>
        <v>5312.72881355932</v>
      </c>
      <c r="BE211" s="7" t="n">
        <f aca="false">ABS($T211-$AX$4)+ABS($U211-$AY$4)+ABS($V211-$AZ$4)</f>
        <v>36444.641509434</v>
      </c>
      <c r="BF211" s="7" t="n">
        <f aca="false">MIN(BC211:BE211)</f>
        <v>5312.72881355932</v>
      </c>
      <c r="BG211" s="4" t="n">
        <f aca="false">MATCH(BF211,BC211:BE211,0)</f>
        <v>2</v>
      </c>
      <c r="BH211" s="8" t="n">
        <v>2</v>
      </c>
      <c r="BI211" s="4" t="n">
        <f aca="false">IF(BG211=BH211,0,1)</f>
        <v>0</v>
      </c>
      <c r="BK211" s="8" t="n">
        <v>2</v>
      </c>
      <c r="BL211" s="8" t="n">
        <v>2</v>
      </c>
      <c r="BM211" s="8" t="n">
        <v>2</v>
      </c>
    </row>
    <row r="212" customFormat="false" ht="15" hidden="false" customHeight="false" outlineLevel="0" collapsed="false">
      <c r="A212" s="3" t="n">
        <v>211</v>
      </c>
      <c r="B212" s="3" t="s">
        <v>42</v>
      </c>
      <c r="C212" s="3" t="n">
        <v>0</v>
      </c>
      <c r="D212" s="3" t="n">
        <v>0</v>
      </c>
      <c r="E212" s="3" t="n">
        <v>1</v>
      </c>
      <c r="F212" s="3" t="n">
        <v>0</v>
      </c>
      <c r="G212" s="3" t="n">
        <v>0</v>
      </c>
      <c r="H212" s="3" t="n">
        <v>5</v>
      </c>
      <c r="I212" s="3" t="n">
        <v>5</v>
      </c>
      <c r="J212" s="3" t="n">
        <v>5</v>
      </c>
      <c r="K212" s="3" t="n">
        <v>5</v>
      </c>
      <c r="L212" s="3" t="n">
        <v>5</v>
      </c>
      <c r="M212" s="3" t="n">
        <v>5</v>
      </c>
      <c r="N212" s="3" t="n">
        <v>5</v>
      </c>
      <c r="O212" s="3" t="n">
        <v>5</v>
      </c>
      <c r="P212" s="3" t="n">
        <v>5</v>
      </c>
      <c r="Q212" s="3" t="n">
        <v>5</v>
      </c>
      <c r="R212" s="3" t="n">
        <v>5</v>
      </c>
      <c r="S212" s="3" t="n">
        <v>5</v>
      </c>
      <c r="T212" s="3" t="n">
        <v>0</v>
      </c>
      <c r="U212" s="3" t="n">
        <v>48</v>
      </c>
      <c r="V212" s="3" t="n">
        <v>27646</v>
      </c>
      <c r="W212" s="3" t="n">
        <v>1</v>
      </c>
      <c r="X212" s="3" t="n">
        <v>4</v>
      </c>
      <c r="Y212" s="3" t="n">
        <v>1</v>
      </c>
      <c r="Z212" s="3" t="n">
        <v>1</v>
      </c>
      <c r="AA212" s="4" t="n">
        <f aca="false">IF($B212=AA$1,1,0)</f>
        <v>0</v>
      </c>
      <c r="AB212" s="4" t="n">
        <f aca="false">IF($B212=AB$1,1,0)</f>
        <v>0</v>
      </c>
      <c r="AC212" s="4" t="n">
        <f aca="false">IF($B212=AC$1,1,0)</f>
        <v>0</v>
      </c>
      <c r="AD212" s="4" t="n">
        <f aca="false">IF($B212=AD$1,1,0)</f>
        <v>0</v>
      </c>
      <c r="AE212" s="4" t="n">
        <f aca="false">IF($B212=AE$1,1,0)</f>
        <v>0</v>
      </c>
      <c r="AF212" s="4" t="n">
        <f aca="false">IF($B212=AF$1,1,0)</f>
        <v>0</v>
      </c>
      <c r="AG212" s="4" t="n">
        <f aca="false">IF($B212=AG$1,1,0)</f>
        <v>0</v>
      </c>
      <c r="AH212" s="4" t="n">
        <f aca="false">IF($B212=AH$1,1,0)</f>
        <v>0</v>
      </c>
      <c r="AI212" s="4" t="n">
        <f aca="false">IF($B212=AI$1,1,0)</f>
        <v>0</v>
      </c>
      <c r="AJ212" s="4" t="n">
        <f aca="false">IF($B212=AJ$1,1,0)</f>
        <v>0</v>
      </c>
      <c r="AK212" s="4" t="n">
        <f aca="false">IF($B212=AK$1,1,0)</f>
        <v>0</v>
      </c>
      <c r="AL212" s="4" t="n">
        <f aca="false">IF($B212=AL$1,1,0)</f>
        <v>0</v>
      </c>
      <c r="AM212" s="4" t="n">
        <f aca="false">IF($B212=AM$1,1,0)</f>
        <v>0</v>
      </c>
      <c r="AN212" s="4" t="n">
        <f aca="false">IF($B212=AN$1,1,0)</f>
        <v>0</v>
      </c>
      <c r="AO212" s="4" t="n">
        <f aca="false">IF($B212=AO$1,1,0)</f>
        <v>0</v>
      </c>
      <c r="AP212" s="4" t="n">
        <f aca="false">IF($B212=AP$1,1,0)</f>
        <v>0</v>
      </c>
      <c r="AQ212" s="4" t="n">
        <f aca="false">IF($B212=AQ$1,1,0)</f>
        <v>1</v>
      </c>
      <c r="AR212" s="4" t="n">
        <f aca="false">IF($B212=AR$1,1,0)</f>
        <v>0</v>
      </c>
      <c r="AS212" s="4" t="n">
        <f aca="false">IF($B212=AS$1,1,0)</f>
        <v>0</v>
      </c>
      <c r="AT212" s="4" t="n">
        <f aca="false">IF($B212=AT$1,1,0)</f>
        <v>0</v>
      </c>
      <c r="BB212" s="4" t="n">
        <f aca="false">A212</f>
        <v>211</v>
      </c>
      <c r="BC212" s="7" t="n">
        <f aca="false">ABS($T212-$AX$2)+ABS($U212-$AY$2)+ABS($V212-$AZ$2)</f>
        <v>4821.28873239436</v>
      </c>
      <c r="BD212" s="7" t="n">
        <f aca="false">ABS($T212-$AX$3)+ABS($U212-$AY$3)+ABS($V212-$AZ$3)</f>
        <v>19023.9661016949</v>
      </c>
      <c r="BE212" s="7" t="n">
        <f aca="false">ABS($T212-$AX$4)+ABS($U212-$AY$4)+ABS($V212-$AZ$4)</f>
        <v>50154.6037735849</v>
      </c>
      <c r="BF212" s="7" t="n">
        <f aca="false">MIN(BC212:BE212)</f>
        <v>4821.28873239436</v>
      </c>
      <c r="BG212" s="4" t="n">
        <f aca="false">MATCH(BF212,BC212:BE212,0)</f>
        <v>1</v>
      </c>
      <c r="BH212" s="8" t="n">
        <v>1</v>
      </c>
      <c r="BI212" s="4" t="n">
        <f aca="false">IF(BG212=BH212,0,1)</f>
        <v>0</v>
      </c>
      <c r="BK212" s="8" t="n">
        <v>1</v>
      </c>
      <c r="BL212" s="8" t="n">
        <v>1</v>
      </c>
      <c r="BM212" s="8" t="n">
        <v>1</v>
      </c>
    </row>
    <row r="213" customFormat="false" ht="15" hidden="false" customHeight="false" outlineLevel="0" collapsed="false">
      <c r="A213" s="3" t="n">
        <v>212</v>
      </c>
      <c r="B213" s="3" t="s">
        <v>42</v>
      </c>
      <c r="C213" s="3" t="n">
        <v>1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4</v>
      </c>
      <c r="I213" s="3" t="n">
        <v>4</v>
      </c>
      <c r="J213" s="3" t="n">
        <v>4</v>
      </c>
      <c r="K213" s="3" t="n">
        <v>4</v>
      </c>
      <c r="L213" s="3" t="n">
        <v>5</v>
      </c>
      <c r="M213" s="3" t="n">
        <v>4</v>
      </c>
      <c r="N213" s="3" t="n">
        <v>4</v>
      </c>
      <c r="O213" s="3" t="n">
        <v>3</v>
      </c>
      <c r="P213" s="3" t="n">
        <v>3</v>
      </c>
      <c r="Q213" s="3" t="n">
        <v>4</v>
      </c>
      <c r="R213" s="3" t="n">
        <v>4</v>
      </c>
      <c r="S213" s="3" t="n">
        <v>3</v>
      </c>
      <c r="T213" s="3" t="n">
        <v>0</v>
      </c>
      <c r="U213" s="3" t="n">
        <v>32</v>
      </c>
      <c r="V213" s="3" t="n">
        <v>86649</v>
      </c>
      <c r="W213" s="3" t="n">
        <v>2</v>
      </c>
      <c r="X213" s="3" t="n">
        <v>3</v>
      </c>
      <c r="Y213" s="3" t="n">
        <v>3</v>
      </c>
      <c r="Z213" s="3" t="n">
        <v>3</v>
      </c>
      <c r="AA213" s="4" t="n">
        <f aca="false">IF($B213=AA$1,1,0)</f>
        <v>0</v>
      </c>
      <c r="AB213" s="4" t="n">
        <f aca="false">IF($B213=AB$1,1,0)</f>
        <v>0</v>
      </c>
      <c r="AC213" s="4" t="n">
        <f aca="false">IF($B213=AC$1,1,0)</f>
        <v>0</v>
      </c>
      <c r="AD213" s="4" t="n">
        <f aca="false">IF($B213=AD$1,1,0)</f>
        <v>0</v>
      </c>
      <c r="AE213" s="4" t="n">
        <f aca="false">IF($B213=AE$1,1,0)</f>
        <v>0</v>
      </c>
      <c r="AF213" s="4" t="n">
        <f aca="false">IF($B213=AF$1,1,0)</f>
        <v>0</v>
      </c>
      <c r="AG213" s="4" t="n">
        <f aca="false">IF($B213=AG$1,1,0)</f>
        <v>0</v>
      </c>
      <c r="AH213" s="4" t="n">
        <f aca="false">IF($B213=AH$1,1,0)</f>
        <v>0</v>
      </c>
      <c r="AI213" s="4" t="n">
        <f aca="false">IF($B213=AI$1,1,0)</f>
        <v>0</v>
      </c>
      <c r="AJ213" s="4" t="n">
        <f aca="false">IF($B213=AJ$1,1,0)</f>
        <v>0</v>
      </c>
      <c r="AK213" s="4" t="n">
        <f aca="false">IF($B213=AK$1,1,0)</f>
        <v>0</v>
      </c>
      <c r="AL213" s="4" t="n">
        <f aca="false">IF($B213=AL$1,1,0)</f>
        <v>0</v>
      </c>
      <c r="AM213" s="4" t="n">
        <f aca="false">IF($B213=AM$1,1,0)</f>
        <v>0</v>
      </c>
      <c r="AN213" s="4" t="n">
        <f aca="false">IF($B213=AN$1,1,0)</f>
        <v>0</v>
      </c>
      <c r="AO213" s="4" t="n">
        <f aca="false">IF($B213=AO$1,1,0)</f>
        <v>0</v>
      </c>
      <c r="AP213" s="4" t="n">
        <f aca="false">IF($B213=AP$1,1,0)</f>
        <v>0</v>
      </c>
      <c r="AQ213" s="4" t="n">
        <f aca="false">IF($B213=AQ$1,1,0)</f>
        <v>1</v>
      </c>
      <c r="AR213" s="4" t="n">
        <f aca="false">IF($B213=AR$1,1,0)</f>
        <v>0</v>
      </c>
      <c r="AS213" s="4" t="n">
        <f aca="false">IF($B213=AS$1,1,0)</f>
        <v>0</v>
      </c>
      <c r="AT213" s="4" t="n">
        <f aca="false">IF($B213=AT$1,1,0)</f>
        <v>0</v>
      </c>
      <c r="BB213" s="4" t="n">
        <f aca="false">A213</f>
        <v>212</v>
      </c>
      <c r="BC213" s="7" t="n">
        <f aca="false">ABS($T213-$AX$2)+ABS($U213-$AY$2)+ABS($V213-$AZ$2)</f>
        <v>63821.7676056338</v>
      </c>
      <c r="BD213" s="7" t="n">
        <f aca="false">ABS($T213-$AX$3)+ABS($U213-$AY$3)+ABS($V213-$AZ$3)</f>
        <v>39995.406779661</v>
      </c>
      <c r="BE213" s="7" t="n">
        <f aca="false">ABS($T213-$AX$4)+ABS($U213-$AY$4)+ABS($V213-$AZ$4)</f>
        <v>8864.92452830189</v>
      </c>
      <c r="BF213" s="7" t="n">
        <f aca="false">MIN(BC213:BE213)</f>
        <v>8864.92452830189</v>
      </c>
      <c r="BG213" s="4" t="n">
        <f aca="false">MATCH(BF213,BC213:BE213,0)</f>
        <v>3</v>
      </c>
      <c r="BH213" s="8" t="n">
        <v>3</v>
      </c>
      <c r="BI213" s="4" t="n">
        <f aca="false">IF(BG213=BH213,0,1)</f>
        <v>0</v>
      </c>
      <c r="BK213" s="8" t="n">
        <v>3</v>
      </c>
      <c r="BL213" s="8" t="n">
        <v>3</v>
      </c>
      <c r="BM213" s="8" t="n">
        <v>3</v>
      </c>
    </row>
    <row r="214" customFormat="false" ht="15" hidden="false" customHeight="false" outlineLevel="0" collapsed="false">
      <c r="A214" s="3" t="n">
        <v>213</v>
      </c>
      <c r="B214" s="3" t="s">
        <v>33</v>
      </c>
      <c r="C214" s="3" t="n">
        <v>0</v>
      </c>
      <c r="D214" s="3" t="n">
        <v>0</v>
      </c>
      <c r="E214" s="3" t="n">
        <v>1</v>
      </c>
      <c r="F214" s="3" t="n">
        <v>0</v>
      </c>
      <c r="G214" s="3" t="n">
        <v>0</v>
      </c>
      <c r="H214" s="3" t="n">
        <v>5</v>
      </c>
      <c r="I214" s="3" t="n">
        <v>5</v>
      </c>
      <c r="J214" s="3" t="n">
        <v>5</v>
      </c>
      <c r="K214" s="3" t="n">
        <v>5</v>
      </c>
      <c r="L214" s="3" t="n">
        <v>5</v>
      </c>
      <c r="M214" s="3" t="n">
        <v>5</v>
      </c>
      <c r="N214" s="3" t="n">
        <v>5</v>
      </c>
      <c r="O214" s="3" t="n">
        <v>5</v>
      </c>
      <c r="P214" s="3" t="n">
        <v>4</v>
      </c>
      <c r="Q214" s="3" t="n">
        <v>4</v>
      </c>
      <c r="R214" s="3" t="n">
        <v>5</v>
      </c>
      <c r="S214" s="3" t="n">
        <v>3</v>
      </c>
      <c r="T214" s="3" t="n">
        <v>0</v>
      </c>
      <c r="U214" s="3" t="n">
        <v>49</v>
      </c>
      <c r="V214" s="3" t="n">
        <v>89022</v>
      </c>
      <c r="W214" s="3" t="n">
        <v>1</v>
      </c>
      <c r="X214" s="3" t="n">
        <v>4</v>
      </c>
      <c r="Y214" s="3" t="n">
        <v>1</v>
      </c>
      <c r="Z214" s="3" t="n">
        <v>1</v>
      </c>
      <c r="AA214" s="4" t="n">
        <f aca="false">IF($B214=AA$1,1,0)</f>
        <v>0</v>
      </c>
      <c r="AB214" s="4" t="n">
        <f aca="false">IF($B214=AB$1,1,0)</f>
        <v>0</v>
      </c>
      <c r="AC214" s="4" t="n">
        <f aca="false">IF($B214=AC$1,1,0)</f>
        <v>0</v>
      </c>
      <c r="AD214" s="4" t="n">
        <f aca="false">IF($B214=AD$1,1,0)</f>
        <v>0</v>
      </c>
      <c r="AE214" s="4" t="n">
        <f aca="false">IF($B214=AE$1,1,0)</f>
        <v>0</v>
      </c>
      <c r="AF214" s="4" t="n">
        <f aca="false">IF($B214=AF$1,1,0)</f>
        <v>0</v>
      </c>
      <c r="AG214" s="4" t="n">
        <f aca="false">IF($B214=AG$1,1,0)</f>
        <v>0</v>
      </c>
      <c r="AH214" s="4" t="n">
        <f aca="false">IF($B214=AH$1,1,0)</f>
        <v>1</v>
      </c>
      <c r="AI214" s="4" t="n">
        <f aca="false">IF($B214=AI$1,1,0)</f>
        <v>0</v>
      </c>
      <c r="AJ214" s="4" t="n">
        <f aca="false">IF($B214=AJ$1,1,0)</f>
        <v>0</v>
      </c>
      <c r="AK214" s="4" t="n">
        <f aca="false">IF($B214=AK$1,1,0)</f>
        <v>0</v>
      </c>
      <c r="AL214" s="4" t="n">
        <f aca="false">IF($B214=AL$1,1,0)</f>
        <v>0</v>
      </c>
      <c r="AM214" s="4" t="n">
        <f aca="false">IF($B214=AM$1,1,0)</f>
        <v>0</v>
      </c>
      <c r="AN214" s="4" t="n">
        <f aca="false">IF($B214=AN$1,1,0)</f>
        <v>0</v>
      </c>
      <c r="AO214" s="4" t="n">
        <f aca="false">IF($B214=AO$1,1,0)</f>
        <v>0</v>
      </c>
      <c r="AP214" s="4" t="n">
        <f aca="false">IF($B214=AP$1,1,0)</f>
        <v>0</v>
      </c>
      <c r="AQ214" s="4" t="n">
        <f aca="false">IF($B214=AQ$1,1,0)</f>
        <v>0</v>
      </c>
      <c r="AR214" s="4" t="n">
        <f aca="false">IF($B214=AR$1,1,0)</f>
        <v>0</v>
      </c>
      <c r="AS214" s="4" t="n">
        <f aca="false">IF($B214=AS$1,1,0)</f>
        <v>0</v>
      </c>
      <c r="AT214" s="4" t="n">
        <f aca="false">IF($B214=AT$1,1,0)</f>
        <v>0</v>
      </c>
      <c r="BB214" s="4" t="n">
        <f aca="false">A214</f>
        <v>213</v>
      </c>
      <c r="BC214" s="7" t="n">
        <f aca="false">ABS($T214-$AX$2)+ABS($U214-$AY$2)+ABS($V214-$AZ$2)</f>
        <v>66198.2887323944</v>
      </c>
      <c r="BD214" s="7" t="n">
        <f aca="false">ABS($T214-$AX$3)+ABS($U214-$AY$3)+ABS($V214-$AZ$3)</f>
        <v>42366.6440677966</v>
      </c>
      <c r="BE214" s="7" t="n">
        <f aca="false">ABS($T214-$AX$4)+ABS($U214-$AY$4)+ABS($V214-$AZ$4)</f>
        <v>11234.8867924528</v>
      </c>
      <c r="BF214" s="7" t="n">
        <f aca="false">MIN(BC214:BE214)</f>
        <v>11234.8867924528</v>
      </c>
      <c r="BG214" s="4" t="n">
        <f aca="false">MATCH(BF214,BC214:BE214,0)</f>
        <v>3</v>
      </c>
      <c r="BH214" s="8" t="n">
        <v>3</v>
      </c>
      <c r="BI214" s="4" t="n">
        <f aca="false">IF(BG214=BH214,0,1)</f>
        <v>0</v>
      </c>
      <c r="BK214" s="8" t="n">
        <v>3</v>
      </c>
      <c r="BL214" s="8" t="n">
        <v>3</v>
      </c>
      <c r="BM214" s="8" t="n">
        <v>3</v>
      </c>
    </row>
    <row r="215" customFormat="false" ht="15" hidden="false" customHeight="false" outlineLevel="0" collapsed="false">
      <c r="A215" s="3" t="n">
        <v>214</v>
      </c>
      <c r="B215" s="3" t="s">
        <v>42</v>
      </c>
      <c r="C215" s="3" t="n">
        <v>0</v>
      </c>
      <c r="D215" s="3" t="n">
        <v>1</v>
      </c>
      <c r="E215" s="3" t="n">
        <v>0</v>
      </c>
      <c r="F215" s="3" t="n">
        <v>0</v>
      </c>
      <c r="G215" s="3" t="n">
        <v>4</v>
      </c>
      <c r="H215" s="3" t="n">
        <v>4</v>
      </c>
      <c r="I215" s="3" t="n">
        <v>5</v>
      </c>
      <c r="J215" s="3" t="n">
        <v>4</v>
      </c>
      <c r="K215" s="3" t="n">
        <v>5</v>
      </c>
      <c r="L215" s="3" t="n">
        <v>4</v>
      </c>
      <c r="M215" s="3" t="n">
        <v>3</v>
      </c>
      <c r="N215" s="3" t="n">
        <v>3</v>
      </c>
      <c r="O215" s="3" t="n">
        <v>4</v>
      </c>
      <c r="P215" s="3" t="n">
        <v>2</v>
      </c>
      <c r="Q215" s="3" t="n">
        <v>4</v>
      </c>
      <c r="R215" s="3" t="n">
        <v>4</v>
      </c>
      <c r="S215" s="3" t="n">
        <v>3</v>
      </c>
      <c r="T215" s="3" t="n">
        <v>0</v>
      </c>
      <c r="U215" s="3" t="n">
        <v>50</v>
      </c>
      <c r="V215" s="3" t="n">
        <v>26040</v>
      </c>
      <c r="W215" s="3" t="n">
        <v>1</v>
      </c>
      <c r="X215" s="3" t="n">
        <v>2</v>
      </c>
      <c r="Y215" s="3" t="n">
        <v>1</v>
      </c>
      <c r="Z215" s="3" t="n">
        <v>1</v>
      </c>
      <c r="AA215" s="4" t="n">
        <f aca="false">IF($B215=AA$1,1,0)</f>
        <v>0</v>
      </c>
      <c r="AB215" s="4" t="n">
        <f aca="false">IF($B215=AB$1,1,0)</f>
        <v>0</v>
      </c>
      <c r="AC215" s="4" t="n">
        <f aca="false">IF($B215=AC$1,1,0)</f>
        <v>0</v>
      </c>
      <c r="AD215" s="4" t="n">
        <f aca="false">IF($B215=AD$1,1,0)</f>
        <v>0</v>
      </c>
      <c r="AE215" s="4" t="n">
        <f aca="false">IF($B215=AE$1,1,0)</f>
        <v>0</v>
      </c>
      <c r="AF215" s="4" t="n">
        <f aca="false">IF($B215=AF$1,1,0)</f>
        <v>0</v>
      </c>
      <c r="AG215" s="4" t="n">
        <f aca="false">IF($B215=AG$1,1,0)</f>
        <v>0</v>
      </c>
      <c r="AH215" s="4" t="n">
        <f aca="false">IF($B215=AH$1,1,0)</f>
        <v>0</v>
      </c>
      <c r="AI215" s="4" t="n">
        <f aca="false">IF($B215=AI$1,1,0)</f>
        <v>0</v>
      </c>
      <c r="AJ215" s="4" t="n">
        <f aca="false">IF($B215=AJ$1,1,0)</f>
        <v>0</v>
      </c>
      <c r="AK215" s="4" t="n">
        <f aca="false">IF($B215=AK$1,1,0)</f>
        <v>0</v>
      </c>
      <c r="AL215" s="4" t="n">
        <f aca="false">IF($B215=AL$1,1,0)</f>
        <v>0</v>
      </c>
      <c r="AM215" s="4" t="n">
        <f aca="false">IF($B215=AM$1,1,0)</f>
        <v>0</v>
      </c>
      <c r="AN215" s="4" t="n">
        <f aca="false">IF($B215=AN$1,1,0)</f>
        <v>0</v>
      </c>
      <c r="AO215" s="4" t="n">
        <f aca="false">IF($B215=AO$1,1,0)</f>
        <v>0</v>
      </c>
      <c r="AP215" s="4" t="n">
        <f aca="false">IF($B215=AP$1,1,0)</f>
        <v>0</v>
      </c>
      <c r="AQ215" s="4" t="n">
        <f aca="false">IF($B215=AQ$1,1,0)</f>
        <v>1</v>
      </c>
      <c r="AR215" s="4" t="n">
        <f aca="false">IF($B215=AR$1,1,0)</f>
        <v>0</v>
      </c>
      <c r="AS215" s="4" t="n">
        <f aca="false">IF($B215=AS$1,1,0)</f>
        <v>0</v>
      </c>
      <c r="AT215" s="4" t="n">
        <f aca="false">IF($B215=AT$1,1,0)</f>
        <v>0</v>
      </c>
      <c r="BB215" s="4" t="n">
        <f aca="false">A215</f>
        <v>214</v>
      </c>
      <c r="BC215" s="7" t="n">
        <f aca="false">ABS($T215-$AX$2)+ABS($U215-$AY$2)+ABS($V215-$AZ$2)</f>
        <v>3217.28873239436</v>
      </c>
      <c r="BD215" s="7" t="n">
        <f aca="false">ABS($T215-$AX$3)+ABS($U215-$AY$3)+ABS($V215-$AZ$3)</f>
        <v>20631.9661016949</v>
      </c>
      <c r="BE215" s="7" t="n">
        <f aca="false">ABS($T215-$AX$4)+ABS($U215-$AY$4)+ABS($V215-$AZ$4)</f>
        <v>51762.6037735849</v>
      </c>
      <c r="BF215" s="7" t="n">
        <f aca="false">MIN(BC215:BE215)</f>
        <v>3217.28873239436</v>
      </c>
      <c r="BG215" s="4" t="n">
        <f aca="false">MATCH(BF215,BC215:BE215,0)</f>
        <v>1</v>
      </c>
      <c r="BH215" s="8" t="n">
        <v>1</v>
      </c>
      <c r="BI215" s="4" t="n">
        <f aca="false">IF(BG215=BH215,0,1)</f>
        <v>0</v>
      </c>
      <c r="BK215" s="8" t="n">
        <v>1</v>
      </c>
      <c r="BL215" s="8" t="n">
        <v>1</v>
      </c>
      <c r="BM215" s="8" t="n">
        <v>1</v>
      </c>
    </row>
    <row r="216" customFormat="false" ht="15" hidden="false" customHeight="false" outlineLevel="0" collapsed="false">
      <c r="A216" s="3" t="n">
        <v>215</v>
      </c>
      <c r="B216" s="3" t="s">
        <v>38</v>
      </c>
      <c r="C216" s="3" t="n">
        <v>0</v>
      </c>
      <c r="D216" s="3" t="n">
        <v>0</v>
      </c>
      <c r="E216" s="3" t="n">
        <v>1</v>
      </c>
      <c r="F216" s="3" t="n">
        <v>0</v>
      </c>
      <c r="G216" s="3" t="n">
        <v>0</v>
      </c>
      <c r="H216" s="3" t="n">
        <v>4</v>
      </c>
      <c r="I216" s="3" t="n">
        <v>4</v>
      </c>
      <c r="J216" s="3" t="n">
        <v>4</v>
      </c>
      <c r="K216" s="3" t="n">
        <v>3</v>
      </c>
      <c r="L216" s="3" t="n">
        <v>5</v>
      </c>
      <c r="M216" s="3" t="n">
        <v>4</v>
      </c>
      <c r="N216" s="3" t="n">
        <v>3</v>
      </c>
      <c r="O216" s="3" t="n">
        <v>3</v>
      </c>
      <c r="P216" s="3" t="n">
        <v>4</v>
      </c>
      <c r="Q216" s="3" t="n">
        <v>4</v>
      </c>
      <c r="R216" s="3" t="n">
        <v>4</v>
      </c>
      <c r="S216" s="3" t="n">
        <v>3</v>
      </c>
      <c r="T216" s="3" t="n">
        <v>1</v>
      </c>
      <c r="U216" s="3" t="n">
        <v>50</v>
      </c>
      <c r="V216" s="3" t="n">
        <v>42254</v>
      </c>
      <c r="W216" s="3" t="n">
        <v>3</v>
      </c>
      <c r="X216" s="3" t="n">
        <v>2</v>
      </c>
      <c r="Y216" s="3" t="n">
        <v>4</v>
      </c>
      <c r="Z216" s="3" t="n">
        <v>3</v>
      </c>
      <c r="AA216" s="4" t="n">
        <f aca="false">IF($B216=AA$1,1,0)</f>
        <v>0</v>
      </c>
      <c r="AB216" s="4" t="n">
        <f aca="false">IF($B216=AB$1,1,0)</f>
        <v>0</v>
      </c>
      <c r="AC216" s="4" t="n">
        <f aca="false">IF($B216=AC$1,1,0)</f>
        <v>0</v>
      </c>
      <c r="AD216" s="4" t="n">
        <f aca="false">IF($B216=AD$1,1,0)</f>
        <v>0</v>
      </c>
      <c r="AE216" s="4" t="n">
        <f aca="false">IF($B216=AE$1,1,0)</f>
        <v>0</v>
      </c>
      <c r="AF216" s="4" t="n">
        <f aca="false">IF($B216=AF$1,1,0)</f>
        <v>0</v>
      </c>
      <c r="AG216" s="4" t="n">
        <f aca="false">IF($B216=AG$1,1,0)</f>
        <v>0</v>
      </c>
      <c r="AH216" s="4" t="n">
        <f aca="false">IF($B216=AH$1,1,0)</f>
        <v>0</v>
      </c>
      <c r="AI216" s="4" t="n">
        <f aca="false">IF($B216=AI$1,1,0)</f>
        <v>0</v>
      </c>
      <c r="AJ216" s="4" t="n">
        <f aca="false">IF($B216=AJ$1,1,0)</f>
        <v>0</v>
      </c>
      <c r="AK216" s="4" t="n">
        <f aca="false">IF($B216=AK$1,1,0)</f>
        <v>0</v>
      </c>
      <c r="AL216" s="4" t="n">
        <f aca="false">IF($B216=AL$1,1,0)</f>
        <v>0</v>
      </c>
      <c r="AM216" s="4" t="n">
        <f aca="false">IF($B216=AM$1,1,0)</f>
        <v>1</v>
      </c>
      <c r="AN216" s="4" t="n">
        <f aca="false">IF($B216=AN$1,1,0)</f>
        <v>0</v>
      </c>
      <c r="AO216" s="4" t="n">
        <f aca="false">IF($B216=AO$1,1,0)</f>
        <v>0</v>
      </c>
      <c r="AP216" s="4" t="n">
        <f aca="false">IF($B216=AP$1,1,0)</f>
        <v>0</v>
      </c>
      <c r="AQ216" s="4" t="n">
        <f aca="false">IF($B216=AQ$1,1,0)</f>
        <v>0</v>
      </c>
      <c r="AR216" s="4" t="n">
        <f aca="false">IF($B216=AR$1,1,0)</f>
        <v>0</v>
      </c>
      <c r="AS216" s="4" t="n">
        <f aca="false">IF($B216=AS$1,1,0)</f>
        <v>0</v>
      </c>
      <c r="AT216" s="4" t="n">
        <f aca="false">IF($B216=AT$1,1,0)</f>
        <v>0</v>
      </c>
      <c r="BB216" s="4" t="n">
        <f aca="false">A216</f>
        <v>215</v>
      </c>
      <c r="BC216" s="7" t="n">
        <f aca="false">ABS($T216-$AX$2)+ABS($U216-$AY$2)+ABS($V216-$AZ$2)</f>
        <v>19431.8521126761</v>
      </c>
      <c r="BD216" s="7" t="n">
        <f aca="false">ABS($T216-$AX$3)+ABS($U216-$AY$3)+ABS($V216-$AZ$3)</f>
        <v>4418.59322033899</v>
      </c>
      <c r="BE216" s="7" t="n">
        <f aca="false">ABS($T216-$AX$4)+ABS($U216-$AY$4)+ABS($V216-$AZ$4)</f>
        <v>35549.0754716981</v>
      </c>
      <c r="BF216" s="7" t="n">
        <f aca="false">MIN(BC216:BE216)</f>
        <v>4418.59322033899</v>
      </c>
      <c r="BG216" s="4" t="n">
        <f aca="false">MATCH(BF216,BC216:BE216,0)</f>
        <v>2</v>
      </c>
      <c r="BH216" s="8" t="n">
        <v>2</v>
      </c>
      <c r="BI216" s="4" t="n">
        <f aca="false">IF(BG216=BH216,0,1)</f>
        <v>0</v>
      </c>
      <c r="BK216" s="8" t="n">
        <v>2</v>
      </c>
      <c r="BL216" s="8" t="n">
        <v>2</v>
      </c>
      <c r="BM216" s="8" t="n">
        <v>2</v>
      </c>
    </row>
    <row r="217" customFormat="false" ht="15" hidden="false" customHeight="false" outlineLevel="0" collapsed="false">
      <c r="A217" s="3" t="n">
        <v>216</v>
      </c>
      <c r="B217" s="3" t="s">
        <v>35</v>
      </c>
      <c r="C217" s="3" t="n">
        <v>0</v>
      </c>
      <c r="D217" s="3" t="n">
        <v>0</v>
      </c>
      <c r="E217" s="3" t="n">
        <v>1</v>
      </c>
      <c r="F217" s="3" t="n">
        <v>0</v>
      </c>
      <c r="G217" s="3" t="n">
        <v>0</v>
      </c>
      <c r="H217" s="3" t="n">
        <v>5</v>
      </c>
      <c r="I217" s="3" t="n">
        <v>5</v>
      </c>
      <c r="J217" s="3" t="n">
        <v>5</v>
      </c>
      <c r="K217" s="3" t="n">
        <v>5</v>
      </c>
      <c r="L217" s="3" t="n">
        <v>5</v>
      </c>
      <c r="M217" s="3" t="n">
        <v>5</v>
      </c>
      <c r="N217" s="3" t="n">
        <v>5</v>
      </c>
      <c r="O217" s="3" t="n">
        <v>4</v>
      </c>
      <c r="P217" s="3" t="n">
        <v>5</v>
      </c>
      <c r="Q217" s="3" t="n">
        <v>5</v>
      </c>
      <c r="R217" s="3" t="n">
        <v>5</v>
      </c>
      <c r="S217" s="3" t="n">
        <v>5</v>
      </c>
      <c r="T217" s="3" t="n">
        <v>0</v>
      </c>
      <c r="U217" s="3" t="n">
        <v>29</v>
      </c>
      <c r="V217" s="3" t="n">
        <v>43869</v>
      </c>
      <c r="W217" s="3" t="n">
        <v>1</v>
      </c>
      <c r="X217" s="3" t="n">
        <v>3</v>
      </c>
      <c r="Y217" s="3" t="n">
        <v>2</v>
      </c>
      <c r="Z217" s="3" t="n">
        <v>1</v>
      </c>
      <c r="AA217" s="4" t="n">
        <f aca="false">IF($B217=AA$1,1,0)</f>
        <v>0</v>
      </c>
      <c r="AB217" s="4" t="n">
        <f aca="false">IF($B217=AB$1,1,0)</f>
        <v>0</v>
      </c>
      <c r="AC217" s="4" t="n">
        <f aca="false">IF($B217=AC$1,1,0)</f>
        <v>0</v>
      </c>
      <c r="AD217" s="4" t="n">
        <f aca="false">IF($B217=AD$1,1,0)</f>
        <v>0</v>
      </c>
      <c r="AE217" s="4" t="n">
        <f aca="false">IF($B217=AE$1,1,0)</f>
        <v>0</v>
      </c>
      <c r="AF217" s="4" t="n">
        <f aca="false">IF($B217=AF$1,1,0)</f>
        <v>0</v>
      </c>
      <c r="AG217" s="4" t="n">
        <f aca="false">IF($B217=AG$1,1,0)</f>
        <v>0</v>
      </c>
      <c r="AH217" s="4" t="n">
        <f aca="false">IF($B217=AH$1,1,0)</f>
        <v>0</v>
      </c>
      <c r="AI217" s="4" t="n">
        <f aca="false">IF($B217=AI$1,1,0)</f>
        <v>0</v>
      </c>
      <c r="AJ217" s="4" t="n">
        <f aca="false">IF($B217=AJ$1,1,0)</f>
        <v>1</v>
      </c>
      <c r="AK217" s="4" t="n">
        <f aca="false">IF($B217=AK$1,1,0)</f>
        <v>0</v>
      </c>
      <c r="AL217" s="4" t="n">
        <f aca="false">IF($B217=AL$1,1,0)</f>
        <v>0</v>
      </c>
      <c r="AM217" s="4" t="n">
        <f aca="false">IF($B217=AM$1,1,0)</f>
        <v>0</v>
      </c>
      <c r="AN217" s="4" t="n">
        <f aca="false">IF($B217=AN$1,1,0)</f>
        <v>0</v>
      </c>
      <c r="AO217" s="4" t="n">
        <f aca="false">IF($B217=AO$1,1,0)</f>
        <v>0</v>
      </c>
      <c r="AP217" s="4" t="n">
        <f aca="false">IF($B217=AP$1,1,0)</f>
        <v>0</v>
      </c>
      <c r="AQ217" s="4" t="n">
        <f aca="false">IF($B217=AQ$1,1,0)</f>
        <v>0</v>
      </c>
      <c r="AR217" s="4" t="n">
        <f aca="false">IF($B217=AR$1,1,0)</f>
        <v>0</v>
      </c>
      <c r="AS217" s="4" t="n">
        <f aca="false">IF($B217=AS$1,1,0)</f>
        <v>0</v>
      </c>
      <c r="AT217" s="4" t="n">
        <f aca="false">IF($B217=AT$1,1,0)</f>
        <v>0</v>
      </c>
      <c r="BB217" s="4" t="n">
        <f aca="false">A217</f>
        <v>216</v>
      </c>
      <c r="BC217" s="7" t="n">
        <f aca="false">ABS($T217-$AX$2)+ABS($U217-$AY$2)+ABS($V217-$AZ$2)</f>
        <v>21044.7676056338</v>
      </c>
      <c r="BD217" s="7" t="n">
        <f aca="false">ABS($T217-$AX$3)+ABS($U217-$AY$3)+ABS($V217-$AZ$3)</f>
        <v>2806.72881355932</v>
      </c>
      <c r="BE217" s="7" t="n">
        <f aca="false">ABS($T217-$AX$4)+ABS($U217-$AY$4)+ABS($V217-$AZ$4)</f>
        <v>33938.641509434</v>
      </c>
      <c r="BF217" s="7" t="n">
        <f aca="false">MIN(BC217:BE217)</f>
        <v>2806.72881355932</v>
      </c>
      <c r="BG217" s="4" t="n">
        <f aca="false">MATCH(BF217,BC217:BE217,0)</f>
        <v>2</v>
      </c>
      <c r="BH217" s="8" t="n">
        <v>2</v>
      </c>
      <c r="BI217" s="4" t="n">
        <f aca="false">IF(BG217=BH217,0,1)</f>
        <v>0</v>
      </c>
      <c r="BK217" s="8" t="n">
        <v>2</v>
      </c>
      <c r="BL217" s="8" t="n">
        <v>2</v>
      </c>
      <c r="BM217" s="8" t="n">
        <v>2</v>
      </c>
    </row>
    <row r="218" customFormat="false" ht="15" hidden="false" customHeight="false" outlineLevel="0" collapsed="false">
      <c r="A218" s="3" t="n">
        <v>217</v>
      </c>
      <c r="B218" s="3" t="s">
        <v>42</v>
      </c>
      <c r="C218" s="3" t="n">
        <v>0</v>
      </c>
      <c r="D218" s="3" t="n">
        <v>0</v>
      </c>
      <c r="E218" s="3" t="n">
        <v>1</v>
      </c>
      <c r="F218" s="3" t="n">
        <v>0</v>
      </c>
      <c r="G218" s="3" t="n">
        <v>0</v>
      </c>
      <c r="H218" s="3" t="n">
        <v>4</v>
      </c>
      <c r="I218" s="3" t="n">
        <v>5</v>
      </c>
      <c r="J218" s="3" t="n">
        <v>5</v>
      </c>
      <c r="K218" s="3" t="n">
        <v>5</v>
      </c>
      <c r="L218" s="3" t="n">
        <v>5</v>
      </c>
      <c r="M218" s="3" t="n">
        <v>4</v>
      </c>
      <c r="N218" s="3" t="n">
        <v>4</v>
      </c>
      <c r="O218" s="3" t="n">
        <v>4</v>
      </c>
      <c r="P218" s="3" t="n">
        <v>3</v>
      </c>
      <c r="Q218" s="3" t="n">
        <v>4</v>
      </c>
      <c r="R218" s="3" t="n">
        <v>4</v>
      </c>
      <c r="S218" s="3" t="n">
        <v>3</v>
      </c>
      <c r="T218" s="3" t="n">
        <v>0</v>
      </c>
      <c r="U218" s="3" t="n">
        <v>49</v>
      </c>
      <c r="V218" s="3" t="n">
        <v>49774</v>
      </c>
      <c r="W218" s="3" t="n">
        <v>3</v>
      </c>
      <c r="X218" s="3" t="n">
        <v>2</v>
      </c>
      <c r="Y218" s="3" t="n">
        <v>2</v>
      </c>
      <c r="Z218" s="3" t="n">
        <v>1</v>
      </c>
      <c r="AA218" s="4" t="n">
        <f aca="false">IF($B218=AA$1,1,0)</f>
        <v>0</v>
      </c>
      <c r="AB218" s="4" t="n">
        <f aca="false">IF($B218=AB$1,1,0)</f>
        <v>0</v>
      </c>
      <c r="AC218" s="4" t="n">
        <f aca="false">IF($B218=AC$1,1,0)</f>
        <v>0</v>
      </c>
      <c r="AD218" s="4" t="n">
        <f aca="false">IF($B218=AD$1,1,0)</f>
        <v>0</v>
      </c>
      <c r="AE218" s="4" t="n">
        <f aca="false">IF($B218=AE$1,1,0)</f>
        <v>0</v>
      </c>
      <c r="AF218" s="4" t="n">
        <f aca="false">IF($B218=AF$1,1,0)</f>
        <v>0</v>
      </c>
      <c r="AG218" s="4" t="n">
        <f aca="false">IF($B218=AG$1,1,0)</f>
        <v>0</v>
      </c>
      <c r="AH218" s="4" t="n">
        <f aca="false">IF($B218=AH$1,1,0)</f>
        <v>0</v>
      </c>
      <c r="AI218" s="4" t="n">
        <f aca="false">IF($B218=AI$1,1,0)</f>
        <v>0</v>
      </c>
      <c r="AJ218" s="4" t="n">
        <f aca="false">IF($B218=AJ$1,1,0)</f>
        <v>0</v>
      </c>
      <c r="AK218" s="4" t="n">
        <f aca="false">IF($B218=AK$1,1,0)</f>
        <v>0</v>
      </c>
      <c r="AL218" s="4" t="n">
        <f aca="false">IF($B218=AL$1,1,0)</f>
        <v>0</v>
      </c>
      <c r="AM218" s="4" t="n">
        <f aca="false">IF($B218=AM$1,1,0)</f>
        <v>0</v>
      </c>
      <c r="AN218" s="4" t="n">
        <f aca="false">IF($B218=AN$1,1,0)</f>
        <v>0</v>
      </c>
      <c r="AO218" s="4" t="n">
        <f aca="false">IF($B218=AO$1,1,0)</f>
        <v>0</v>
      </c>
      <c r="AP218" s="4" t="n">
        <f aca="false">IF($B218=AP$1,1,0)</f>
        <v>0</v>
      </c>
      <c r="AQ218" s="4" t="n">
        <f aca="false">IF($B218=AQ$1,1,0)</f>
        <v>1</v>
      </c>
      <c r="AR218" s="4" t="n">
        <f aca="false">IF($B218=AR$1,1,0)</f>
        <v>0</v>
      </c>
      <c r="AS218" s="4" t="n">
        <f aca="false">IF($B218=AS$1,1,0)</f>
        <v>0</v>
      </c>
      <c r="AT218" s="4" t="n">
        <f aca="false">IF($B218=AT$1,1,0)</f>
        <v>0</v>
      </c>
      <c r="BB218" s="4" t="n">
        <f aca="false">A218</f>
        <v>217</v>
      </c>
      <c r="BC218" s="7" t="n">
        <f aca="false">ABS($T218-$AX$2)+ABS($U218-$AY$2)+ABS($V218-$AZ$2)</f>
        <v>26950.2887323944</v>
      </c>
      <c r="BD218" s="7" t="n">
        <f aca="false">ABS($T218-$AX$3)+ABS($U218-$AY$3)+ABS($V218-$AZ$3)</f>
        <v>3118.64406779661</v>
      </c>
      <c r="BE218" s="7" t="n">
        <f aca="false">ABS($T218-$AX$4)+ABS($U218-$AY$4)+ABS($V218-$AZ$4)</f>
        <v>28027.6037735849</v>
      </c>
      <c r="BF218" s="7" t="n">
        <f aca="false">MIN(BC218:BE218)</f>
        <v>3118.64406779661</v>
      </c>
      <c r="BG218" s="4" t="n">
        <f aca="false">MATCH(BF218,BC218:BE218,0)</f>
        <v>2</v>
      </c>
      <c r="BH218" s="8" t="n">
        <v>2</v>
      </c>
      <c r="BI218" s="4" t="n">
        <f aca="false">IF(BG218=BH218,0,1)</f>
        <v>0</v>
      </c>
      <c r="BK218" s="8" t="n">
        <v>2</v>
      </c>
      <c r="BL218" s="8" t="n">
        <v>2</v>
      </c>
      <c r="BM218" s="8" t="n">
        <v>2</v>
      </c>
    </row>
    <row r="219" customFormat="false" ht="15" hidden="false" customHeight="false" outlineLevel="0" collapsed="false">
      <c r="A219" s="3" t="n">
        <v>218</v>
      </c>
      <c r="B219" s="3" t="s">
        <v>38</v>
      </c>
      <c r="C219" s="3" t="n">
        <v>1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4</v>
      </c>
      <c r="I219" s="3" t="n">
        <v>4</v>
      </c>
      <c r="J219" s="3" t="n">
        <v>5</v>
      </c>
      <c r="K219" s="3" t="n">
        <v>5</v>
      </c>
      <c r="L219" s="3" t="n">
        <v>5</v>
      </c>
      <c r="M219" s="3" t="n">
        <v>4</v>
      </c>
      <c r="N219" s="3" t="n">
        <v>4</v>
      </c>
      <c r="O219" s="3" t="n">
        <v>4</v>
      </c>
      <c r="P219" s="3" t="n">
        <v>4</v>
      </c>
      <c r="Q219" s="3" t="n">
        <v>5</v>
      </c>
      <c r="R219" s="3" t="n">
        <v>5</v>
      </c>
      <c r="S219" s="3" t="n">
        <v>4</v>
      </c>
      <c r="T219" s="3" t="n">
        <v>0</v>
      </c>
      <c r="U219" s="3" t="n">
        <v>48</v>
      </c>
      <c r="V219" s="3" t="n">
        <v>40464</v>
      </c>
      <c r="W219" s="3" t="n">
        <v>2</v>
      </c>
      <c r="X219" s="3" t="n">
        <v>3</v>
      </c>
      <c r="Y219" s="3" t="n">
        <v>1</v>
      </c>
      <c r="Z219" s="3" t="n">
        <v>1</v>
      </c>
      <c r="AA219" s="4" t="n">
        <f aca="false">IF($B219=AA$1,1,0)</f>
        <v>0</v>
      </c>
      <c r="AB219" s="4" t="n">
        <f aca="false">IF($B219=AB$1,1,0)</f>
        <v>0</v>
      </c>
      <c r="AC219" s="4" t="n">
        <f aca="false">IF($B219=AC$1,1,0)</f>
        <v>0</v>
      </c>
      <c r="AD219" s="4" t="n">
        <f aca="false">IF($B219=AD$1,1,0)</f>
        <v>0</v>
      </c>
      <c r="AE219" s="4" t="n">
        <f aca="false">IF($B219=AE$1,1,0)</f>
        <v>0</v>
      </c>
      <c r="AF219" s="4" t="n">
        <f aca="false">IF($B219=AF$1,1,0)</f>
        <v>0</v>
      </c>
      <c r="AG219" s="4" t="n">
        <f aca="false">IF($B219=AG$1,1,0)</f>
        <v>0</v>
      </c>
      <c r="AH219" s="4" t="n">
        <f aca="false">IF($B219=AH$1,1,0)</f>
        <v>0</v>
      </c>
      <c r="AI219" s="4" t="n">
        <f aca="false">IF($B219=AI$1,1,0)</f>
        <v>0</v>
      </c>
      <c r="AJ219" s="4" t="n">
        <f aca="false">IF($B219=AJ$1,1,0)</f>
        <v>0</v>
      </c>
      <c r="AK219" s="4" t="n">
        <f aca="false">IF($B219=AK$1,1,0)</f>
        <v>0</v>
      </c>
      <c r="AL219" s="4" t="n">
        <f aca="false">IF($B219=AL$1,1,0)</f>
        <v>0</v>
      </c>
      <c r="AM219" s="4" t="n">
        <f aca="false">IF($B219=AM$1,1,0)</f>
        <v>1</v>
      </c>
      <c r="AN219" s="4" t="n">
        <f aca="false">IF($B219=AN$1,1,0)</f>
        <v>0</v>
      </c>
      <c r="AO219" s="4" t="n">
        <f aca="false">IF($B219=AO$1,1,0)</f>
        <v>0</v>
      </c>
      <c r="AP219" s="4" t="n">
        <f aca="false">IF($B219=AP$1,1,0)</f>
        <v>0</v>
      </c>
      <c r="AQ219" s="4" t="n">
        <f aca="false">IF($B219=AQ$1,1,0)</f>
        <v>0</v>
      </c>
      <c r="AR219" s="4" t="n">
        <f aca="false">IF($B219=AR$1,1,0)</f>
        <v>0</v>
      </c>
      <c r="AS219" s="4" t="n">
        <f aca="false">IF($B219=AS$1,1,0)</f>
        <v>0</v>
      </c>
      <c r="AT219" s="4" t="n">
        <f aca="false">IF($B219=AT$1,1,0)</f>
        <v>0</v>
      </c>
      <c r="BB219" s="4" t="n">
        <f aca="false">A219</f>
        <v>218</v>
      </c>
      <c r="BC219" s="7" t="n">
        <f aca="false">ABS($T219-$AX$2)+ABS($U219-$AY$2)+ABS($V219-$AZ$2)</f>
        <v>17639.2887323944</v>
      </c>
      <c r="BD219" s="7" t="n">
        <f aca="false">ABS($T219-$AX$3)+ABS($U219-$AY$3)+ABS($V219-$AZ$3)</f>
        <v>6205.96610169492</v>
      </c>
      <c r="BE219" s="7" t="n">
        <f aca="false">ABS($T219-$AX$4)+ABS($U219-$AY$4)+ABS($V219-$AZ$4)</f>
        <v>37336.6037735849</v>
      </c>
      <c r="BF219" s="7" t="n">
        <f aca="false">MIN(BC219:BE219)</f>
        <v>6205.96610169492</v>
      </c>
      <c r="BG219" s="4" t="n">
        <f aca="false">MATCH(BF219,BC219:BE219,0)</f>
        <v>2</v>
      </c>
      <c r="BH219" s="8" t="n">
        <v>2</v>
      </c>
      <c r="BI219" s="4" t="n">
        <f aca="false">IF(BG219=BH219,0,1)</f>
        <v>0</v>
      </c>
      <c r="BK219" s="8" t="n">
        <v>2</v>
      </c>
      <c r="BL219" s="8" t="n">
        <v>2</v>
      </c>
      <c r="BM219" s="8" t="n">
        <v>2</v>
      </c>
    </row>
    <row r="220" customFormat="false" ht="15" hidden="false" customHeight="false" outlineLevel="0" collapsed="false">
      <c r="A220" s="3" t="n">
        <v>219</v>
      </c>
      <c r="B220" s="3" t="s">
        <v>35</v>
      </c>
      <c r="C220" s="3" t="n">
        <v>1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5</v>
      </c>
      <c r="I220" s="3" t="n">
        <v>5</v>
      </c>
      <c r="J220" s="3" t="n">
        <v>5</v>
      </c>
      <c r="K220" s="3" t="n">
        <v>5</v>
      </c>
      <c r="L220" s="3" t="n">
        <v>5</v>
      </c>
      <c r="M220" s="3" t="n">
        <v>4</v>
      </c>
      <c r="N220" s="3" t="n">
        <v>2</v>
      </c>
      <c r="O220" s="3" t="n">
        <v>2</v>
      </c>
      <c r="P220" s="3" t="n">
        <v>3</v>
      </c>
      <c r="Q220" s="3" t="n">
        <v>5</v>
      </c>
      <c r="R220" s="3" t="n">
        <v>4</v>
      </c>
      <c r="S220" s="3" t="n">
        <v>3</v>
      </c>
      <c r="T220" s="3" t="n">
        <v>0</v>
      </c>
      <c r="U220" s="3" t="n">
        <v>49</v>
      </c>
      <c r="V220" s="3" t="n">
        <v>39729</v>
      </c>
      <c r="W220" s="3" t="n">
        <v>2</v>
      </c>
      <c r="X220" s="3" t="n">
        <v>3</v>
      </c>
      <c r="Y220" s="3" t="n">
        <v>1</v>
      </c>
      <c r="Z220" s="3" t="n">
        <v>2</v>
      </c>
      <c r="AA220" s="4" t="n">
        <f aca="false">IF($B220=AA$1,1,0)</f>
        <v>0</v>
      </c>
      <c r="AB220" s="4" t="n">
        <f aca="false">IF($B220=AB$1,1,0)</f>
        <v>0</v>
      </c>
      <c r="AC220" s="4" t="n">
        <f aca="false">IF($B220=AC$1,1,0)</f>
        <v>0</v>
      </c>
      <c r="AD220" s="4" t="n">
        <f aca="false">IF($B220=AD$1,1,0)</f>
        <v>0</v>
      </c>
      <c r="AE220" s="4" t="n">
        <f aca="false">IF($B220=AE$1,1,0)</f>
        <v>0</v>
      </c>
      <c r="AF220" s="4" t="n">
        <f aca="false">IF($B220=AF$1,1,0)</f>
        <v>0</v>
      </c>
      <c r="AG220" s="4" t="n">
        <f aca="false">IF($B220=AG$1,1,0)</f>
        <v>0</v>
      </c>
      <c r="AH220" s="4" t="n">
        <f aca="false">IF($B220=AH$1,1,0)</f>
        <v>0</v>
      </c>
      <c r="AI220" s="4" t="n">
        <f aca="false">IF($B220=AI$1,1,0)</f>
        <v>0</v>
      </c>
      <c r="AJ220" s="4" t="n">
        <f aca="false">IF($B220=AJ$1,1,0)</f>
        <v>1</v>
      </c>
      <c r="AK220" s="4" t="n">
        <f aca="false">IF($B220=AK$1,1,0)</f>
        <v>0</v>
      </c>
      <c r="AL220" s="4" t="n">
        <f aca="false">IF($B220=AL$1,1,0)</f>
        <v>0</v>
      </c>
      <c r="AM220" s="4" t="n">
        <f aca="false">IF($B220=AM$1,1,0)</f>
        <v>0</v>
      </c>
      <c r="AN220" s="4" t="n">
        <f aca="false">IF($B220=AN$1,1,0)</f>
        <v>0</v>
      </c>
      <c r="AO220" s="4" t="n">
        <f aca="false">IF($B220=AO$1,1,0)</f>
        <v>0</v>
      </c>
      <c r="AP220" s="4" t="n">
        <f aca="false">IF($B220=AP$1,1,0)</f>
        <v>0</v>
      </c>
      <c r="AQ220" s="4" t="n">
        <f aca="false">IF($B220=AQ$1,1,0)</f>
        <v>0</v>
      </c>
      <c r="AR220" s="4" t="n">
        <f aca="false">IF($B220=AR$1,1,0)</f>
        <v>0</v>
      </c>
      <c r="AS220" s="4" t="n">
        <f aca="false">IF($B220=AS$1,1,0)</f>
        <v>0</v>
      </c>
      <c r="AT220" s="4" t="n">
        <f aca="false">IF($B220=AT$1,1,0)</f>
        <v>0</v>
      </c>
      <c r="BB220" s="4" t="n">
        <f aca="false">A220</f>
        <v>219</v>
      </c>
      <c r="BC220" s="7" t="n">
        <f aca="false">ABS($T220-$AX$2)+ABS($U220-$AY$2)+ABS($V220-$AZ$2)</f>
        <v>16905.2887323944</v>
      </c>
      <c r="BD220" s="7" t="n">
        <f aca="false">ABS($T220-$AX$3)+ABS($U220-$AY$3)+ABS($V220-$AZ$3)</f>
        <v>6941.96610169492</v>
      </c>
      <c r="BE220" s="7" t="n">
        <f aca="false">ABS($T220-$AX$4)+ABS($U220-$AY$4)+ABS($V220-$AZ$4)</f>
        <v>38072.6037735849</v>
      </c>
      <c r="BF220" s="7" t="n">
        <f aca="false">MIN(BC220:BE220)</f>
        <v>6941.96610169492</v>
      </c>
      <c r="BG220" s="4" t="n">
        <f aca="false">MATCH(BF220,BC220:BE220,0)</f>
        <v>2</v>
      </c>
      <c r="BH220" s="8" t="n">
        <v>2</v>
      </c>
      <c r="BI220" s="4" t="n">
        <f aca="false">IF(BG220=BH220,0,1)</f>
        <v>0</v>
      </c>
      <c r="BK220" s="8" t="n">
        <v>2</v>
      </c>
      <c r="BL220" s="8" t="n">
        <v>2</v>
      </c>
      <c r="BM220" s="8" t="n">
        <v>2</v>
      </c>
    </row>
    <row r="221" customFormat="false" ht="15" hidden="false" customHeight="false" outlineLevel="0" collapsed="false">
      <c r="A221" s="3" t="n">
        <v>220</v>
      </c>
      <c r="B221" s="3" t="s">
        <v>31</v>
      </c>
      <c r="C221" s="3" t="n">
        <v>1</v>
      </c>
      <c r="D221" s="3" t="n">
        <v>0</v>
      </c>
      <c r="E221" s="3" t="n">
        <v>0</v>
      </c>
      <c r="F221" s="3" t="n">
        <v>0</v>
      </c>
      <c r="G221" s="3" t="n">
        <v>1</v>
      </c>
      <c r="H221" s="3" t="n">
        <v>5</v>
      </c>
      <c r="I221" s="3" t="n">
        <v>4</v>
      </c>
      <c r="J221" s="3" t="n">
        <v>5</v>
      </c>
      <c r="K221" s="3" t="n">
        <v>5</v>
      </c>
      <c r="L221" s="3" t="n">
        <v>5</v>
      </c>
      <c r="M221" s="3" t="n">
        <v>4</v>
      </c>
      <c r="N221" s="3" t="n">
        <v>3</v>
      </c>
      <c r="O221" s="3" t="n">
        <v>3</v>
      </c>
      <c r="P221" s="3" t="n">
        <v>3</v>
      </c>
      <c r="Q221" s="3" t="n">
        <v>4</v>
      </c>
      <c r="R221" s="3" t="n">
        <v>4</v>
      </c>
      <c r="S221" s="3" t="n">
        <v>4</v>
      </c>
      <c r="T221" s="3" t="n">
        <v>0</v>
      </c>
      <c r="U221" s="3" t="n">
        <v>22</v>
      </c>
      <c r="V221" s="3" t="n">
        <v>11102</v>
      </c>
      <c r="W221" s="3" t="n">
        <v>2</v>
      </c>
      <c r="X221" s="3" t="n">
        <v>2</v>
      </c>
      <c r="Y221" s="3" t="n">
        <v>2</v>
      </c>
      <c r="Z221" s="3" t="n">
        <v>2</v>
      </c>
      <c r="AA221" s="4" t="n">
        <f aca="false">IF($B221=AA$1,1,0)</f>
        <v>0</v>
      </c>
      <c r="AB221" s="4" t="n">
        <f aca="false">IF($B221=AB$1,1,0)</f>
        <v>0</v>
      </c>
      <c r="AC221" s="4" t="n">
        <f aca="false">IF($B221=AC$1,1,0)</f>
        <v>0</v>
      </c>
      <c r="AD221" s="4" t="n">
        <f aca="false">IF($B221=AD$1,1,0)</f>
        <v>0</v>
      </c>
      <c r="AE221" s="4" t="n">
        <f aca="false">IF($B221=AE$1,1,0)</f>
        <v>0</v>
      </c>
      <c r="AF221" s="4" t="n">
        <f aca="false">IF($B221=AF$1,1,0)</f>
        <v>1</v>
      </c>
      <c r="AG221" s="4" t="n">
        <f aca="false">IF($B221=AG$1,1,0)</f>
        <v>0</v>
      </c>
      <c r="AH221" s="4" t="n">
        <f aca="false">IF($B221=AH$1,1,0)</f>
        <v>0</v>
      </c>
      <c r="AI221" s="4" t="n">
        <f aca="false">IF($B221=AI$1,1,0)</f>
        <v>0</v>
      </c>
      <c r="AJ221" s="4" t="n">
        <f aca="false">IF($B221=AJ$1,1,0)</f>
        <v>0</v>
      </c>
      <c r="AK221" s="4" t="n">
        <f aca="false">IF($B221=AK$1,1,0)</f>
        <v>0</v>
      </c>
      <c r="AL221" s="4" t="n">
        <f aca="false">IF($B221=AL$1,1,0)</f>
        <v>0</v>
      </c>
      <c r="AM221" s="4" t="n">
        <f aca="false">IF($B221=AM$1,1,0)</f>
        <v>0</v>
      </c>
      <c r="AN221" s="4" t="n">
        <f aca="false">IF($B221=AN$1,1,0)</f>
        <v>0</v>
      </c>
      <c r="AO221" s="4" t="n">
        <f aca="false">IF($B221=AO$1,1,0)</f>
        <v>0</v>
      </c>
      <c r="AP221" s="4" t="n">
        <f aca="false">IF($B221=AP$1,1,0)</f>
        <v>0</v>
      </c>
      <c r="AQ221" s="4" t="n">
        <f aca="false">IF($B221=AQ$1,1,0)</f>
        <v>0</v>
      </c>
      <c r="AR221" s="4" t="n">
        <f aca="false">IF($B221=AR$1,1,0)</f>
        <v>0</v>
      </c>
      <c r="AS221" s="4" t="n">
        <f aca="false">IF($B221=AS$1,1,0)</f>
        <v>0</v>
      </c>
      <c r="AT221" s="4" t="n">
        <f aca="false">IF($B221=AT$1,1,0)</f>
        <v>0</v>
      </c>
      <c r="BB221" s="4" t="n">
        <f aca="false">A221</f>
        <v>220</v>
      </c>
      <c r="BC221" s="7" t="n">
        <f aca="false">ABS($T221-$AX$2)+ABS($U221-$AY$2)+ABS($V221-$AZ$2)</f>
        <v>11749.1478873239</v>
      </c>
      <c r="BD221" s="7" t="n">
        <f aca="false">ABS($T221-$AX$3)+ABS($U221-$AY$3)+ABS($V221-$AZ$3)</f>
        <v>35580.7288135593</v>
      </c>
      <c r="BE221" s="7" t="n">
        <f aca="false">ABS($T221-$AX$4)+ABS($U221-$AY$4)+ABS($V221-$AZ$4)</f>
        <v>66712.641509434</v>
      </c>
      <c r="BF221" s="7" t="n">
        <f aca="false">MIN(BC221:BE221)</f>
        <v>11749.1478873239</v>
      </c>
      <c r="BG221" s="4" t="n">
        <f aca="false">MATCH(BF221,BC221:BE221,0)</f>
        <v>1</v>
      </c>
      <c r="BH221" s="8" t="n">
        <v>1</v>
      </c>
      <c r="BI221" s="4" t="n">
        <f aca="false">IF(BG221=BH221,0,1)</f>
        <v>0</v>
      </c>
      <c r="BK221" s="8" t="n">
        <v>1</v>
      </c>
      <c r="BL221" s="8" t="n">
        <v>1</v>
      </c>
      <c r="BM221" s="8" t="n">
        <v>1</v>
      </c>
    </row>
    <row r="222" customFormat="false" ht="15" hidden="false" customHeight="false" outlineLevel="0" collapsed="false">
      <c r="A222" s="3" t="n">
        <v>221</v>
      </c>
      <c r="B222" s="3" t="s">
        <v>31</v>
      </c>
      <c r="C222" s="3" t="n">
        <v>1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4</v>
      </c>
      <c r="I222" s="3" t="n">
        <v>5</v>
      </c>
      <c r="J222" s="3" t="n">
        <v>5</v>
      </c>
      <c r="K222" s="3" t="n">
        <v>4</v>
      </c>
      <c r="L222" s="3" t="n">
        <v>5</v>
      </c>
      <c r="M222" s="3" t="n">
        <v>5</v>
      </c>
      <c r="N222" s="3" t="n">
        <v>3</v>
      </c>
      <c r="O222" s="3" t="n">
        <v>4</v>
      </c>
      <c r="P222" s="3" t="n">
        <v>4</v>
      </c>
      <c r="Q222" s="3" t="n">
        <v>5</v>
      </c>
      <c r="R222" s="3" t="n">
        <v>3</v>
      </c>
      <c r="S222" s="3" t="n">
        <v>2</v>
      </c>
      <c r="T222" s="3" t="n">
        <v>0</v>
      </c>
      <c r="U222" s="3" t="n">
        <v>35</v>
      </c>
      <c r="V222" s="3" t="n">
        <v>48537</v>
      </c>
      <c r="W222" s="3" t="n">
        <v>3</v>
      </c>
      <c r="X222" s="3" t="n">
        <v>4</v>
      </c>
      <c r="Y222" s="3" t="n">
        <v>2</v>
      </c>
      <c r="Z222" s="3" t="n">
        <v>2</v>
      </c>
      <c r="AA222" s="4" t="n">
        <f aca="false">IF($B222=AA$1,1,0)</f>
        <v>0</v>
      </c>
      <c r="AB222" s="4" t="n">
        <f aca="false">IF($B222=AB$1,1,0)</f>
        <v>0</v>
      </c>
      <c r="AC222" s="4" t="n">
        <f aca="false">IF($B222=AC$1,1,0)</f>
        <v>0</v>
      </c>
      <c r="AD222" s="4" t="n">
        <f aca="false">IF($B222=AD$1,1,0)</f>
        <v>0</v>
      </c>
      <c r="AE222" s="4" t="n">
        <f aca="false">IF($B222=AE$1,1,0)</f>
        <v>0</v>
      </c>
      <c r="AF222" s="4" t="n">
        <f aca="false">IF($B222=AF$1,1,0)</f>
        <v>1</v>
      </c>
      <c r="AG222" s="4" t="n">
        <f aca="false">IF($B222=AG$1,1,0)</f>
        <v>0</v>
      </c>
      <c r="AH222" s="4" t="n">
        <f aca="false">IF($B222=AH$1,1,0)</f>
        <v>0</v>
      </c>
      <c r="AI222" s="4" t="n">
        <f aca="false">IF($B222=AI$1,1,0)</f>
        <v>0</v>
      </c>
      <c r="AJ222" s="4" t="n">
        <f aca="false">IF($B222=AJ$1,1,0)</f>
        <v>0</v>
      </c>
      <c r="AK222" s="4" t="n">
        <f aca="false">IF($B222=AK$1,1,0)</f>
        <v>0</v>
      </c>
      <c r="AL222" s="4" t="n">
        <f aca="false">IF($B222=AL$1,1,0)</f>
        <v>0</v>
      </c>
      <c r="AM222" s="4" t="n">
        <f aca="false">IF($B222=AM$1,1,0)</f>
        <v>0</v>
      </c>
      <c r="AN222" s="4" t="n">
        <f aca="false">IF($B222=AN$1,1,0)</f>
        <v>0</v>
      </c>
      <c r="AO222" s="4" t="n">
        <f aca="false">IF($B222=AO$1,1,0)</f>
        <v>0</v>
      </c>
      <c r="AP222" s="4" t="n">
        <f aca="false">IF($B222=AP$1,1,0)</f>
        <v>0</v>
      </c>
      <c r="AQ222" s="4" t="n">
        <f aca="false">IF($B222=AQ$1,1,0)</f>
        <v>0</v>
      </c>
      <c r="AR222" s="4" t="n">
        <f aca="false">IF($B222=AR$1,1,0)</f>
        <v>0</v>
      </c>
      <c r="AS222" s="4" t="n">
        <f aca="false">IF($B222=AS$1,1,0)</f>
        <v>0</v>
      </c>
      <c r="AT222" s="4" t="n">
        <f aca="false">IF($B222=AT$1,1,0)</f>
        <v>0</v>
      </c>
      <c r="BB222" s="4" t="n">
        <f aca="false">A222</f>
        <v>221</v>
      </c>
      <c r="BC222" s="7" t="n">
        <f aca="false">ABS($T222-$AX$2)+ABS($U222-$AY$2)+ABS($V222-$AZ$2)</f>
        <v>25706.7676056338</v>
      </c>
      <c r="BD222" s="7" t="n">
        <f aca="false">ABS($T222-$AX$3)+ABS($U222-$AY$3)+ABS($V222-$AZ$3)</f>
        <v>1880.40677966102</v>
      </c>
      <c r="BE222" s="7" t="n">
        <f aca="false">ABS($T222-$AX$4)+ABS($U222-$AY$4)+ABS($V222-$AZ$4)</f>
        <v>29264.641509434</v>
      </c>
      <c r="BF222" s="7" t="n">
        <f aca="false">MIN(BC222:BE222)</f>
        <v>1880.40677966102</v>
      </c>
      <c r="BG222" s="4" t="n">
        <f aca="false">MATCH(BF222,BC222:BE222,0)</f>
        <v>2</v>
      </c>
      <c r="BH222" s="8" t="n">
        <v>2</v>
      </c>
      <c r="BI222" s="4" t="n">
        <f aca="false">IF(BG222=BH222,0,1)</f>
        <v>0</v>
      </c>
      <c r="BK222" s="8" t="n">
        <v>2</v>
      </c>
      <c r="BL222" s="8" t="n">
        <v>2</v>
      </c>
      <c r="BM222" s="8" t="n">
        <v>2</v>
      </c>
    </row>
    <row r="223" customFormat="false" ht="15" hidden="false" customHeight="false" outlineLevel="0" collapsed="false">
      <c r="A223" s="3" t="n">
        <v>222</v>
      </c>
      <c r="B223" s="3" t="s">
        <v>30</v>
      </c>
      <c r="C223" s="3" t="n">
        <v>0</v>
      </c>
      <c r="D223" s="3" t="n">
        <v>0</v>
      </c>
      <c r="E223" s="3" t="n">
        <v>1</v>
      </c>
      <c r="F223" s="3" t="n">
        <v>0</v>
      </c>
      <c r="G223" s="3" t="n">
        <v>0</v>
      </c>
      <c r="H223" s="3" t="n">
        <v>5</v>
      </c>
      <c r="I223" s="3" t="n">
        <v>5</v>
      </c>
      <c r="J223" s="3" t="n">
        <v>4</v>
      </c>
      <c r="K223" s="3" t="n">
        <v>5</v>
      </c>
      <c r="L223" s="3" t="n">
        <v>5</v>
      </c>
      <c r="M223" s="3" t="n">
        <v>5</v>
      </c>
      <c r="N223" s="3" t="n">
        <v>3</v>
      </c>
      <c r="O223" s="3" t="n">
        <v>4</v>
      </c>
      <c r="P223" s="3" t="n">
        <v>3</v>
      </c>
      <c r="Q223" s="3" t="n">
        <v>5</v>
      </c>
      <c r="R223" s="3" t="n">
        <v>4</v>
      </c>
      <c r="S223" s="3" t="n">
        <v>3</v>
      </c>
      <c r="T223" s="3" t="n">
        <v>0</v>
      </c>
      <c r="U223" s="3" t="n">
        <v>56</v>
      </c>
      <c r="V223" s="3" t="n">
        <v>67113</v>
      </c>
      <c r="W223" s="3" t="n">
        <v>2</v>
      </c>
      <c r="X223" s="3" t="n">
        <v>4</v>
      </c>
      <c r="Y223" s="3" t="n">
        <v>2</v>
      </c>
      <c r="Z223" s="3" t="n">
        <v>2</v>
      </c>
      <c r="AA223" s="4" t="n">
        <f aca="false">IF($B223=AA$1,1,0)</f>
        <v>0</v>
      </c>
      <c r="AB223" s="4" t="n">
        <f aca="false">IF($B223=AB$1,1,0)</f>
        <v>0</v>
      </c>
      <c r="AC223" s="4" t="n">
        <f aca="false">IF($B223=AC$1,1,0)</f>
        <v>0</v>
      </c>
      <c r="AD223" s="4" t="n">
        <f aca="false">IF($B223=AD$1,1,0)</f>
        <v>0</v>
      </c>
      <c r="AE223" s="4" t="n">
        <f aca="false">IF($B223=AE$1,1,0)</f>
        <v>1</v>
      </c>
      <c r="AF223" s="4" t="n">
        <f aca="false">IF($B223=AF$1,1,0)</f>
        <v>0</v>
      </c>
      <c r="AG223" s="4" t="n">
        <f aca="false">IF($B223=AG$1,1,0)</f>
        <v>0</v>
      </c>
      <c r="AH223" s="4" t="n">
        <f aca="false">IF($B223=AH$1,1,0)</f>
        <v>0</v>
      </c>
      <c r="AI223" s="4" t="n">
        <f aca="false">IF($B223=AI$1,1,0)</f>
        <v>0</v>
      </c>
      <c r="AJ223" s="4" t="n">
        <f aca="false">IF($B223=AJ$1,1,0)</f>
        <v>0</v>
      </c>
      <c r="AK223" s="4" t="n">
        <f aca="false">IF($B223=AK$1,1,0)</f>
        <v>0</v>
      </c>
      <c r="AL223" s="4" t="n">
        <f aca="false">IF($B223=AL$1,1,0)</f>
        <v>0</v>
      </c>
      <c r="AM223" s="4" t="n">
        <f aca="false">IF($B223=AM$1,1,0)</f>
        <v>0</v>
      </c>
      <c r="AN223" s="4" t="n">
        <f aca="false">IF($B223=AN$1,1,0)</f>
        <v>0</v>
      </c>
      <c r="AO223" s="4" t="n">
        <f aca="false">IF($B223=AO$1,1,0)</f>
        <v>0</v>
      </c>
      <c r="AP223" s="4" t="n">
        <f aca="false">IF($B223=AP$1,1,0)</f>
        <v>0</v>
      </c>
      <c r="AQ223" s="4" t="n">
        <f aca="false">IF($B223=AQ$1,1,0)</f>
        <v>0</v>
      </c>
      <c r="AR223" s="4" t="n">
        <f aca="false">IF($B223=AR$1,1,0)</f>
        <v>0</v>
      </c>
      <c r="AS223" s="4" t="n">
        <f aca="false">IF($B223=AS$1,1,0)</f>
        <v>0</v>
      </c>
      <c r="AT223" s="4" t="n">
        <f aca="false">IF($B223=AT$1,1,0)</f>
        <v>0</v>
      </c>
      <c r="BB223" s="4" t="n">
        <f aca="false">A223</f>
        <v>222</v>
      </c>
      <c r="BC223" s="7" t="n">
        <f aca="false">ABS($T223-$AX$2)+ABS($U223-$AY$2)+ABS($V223-$AZ$2)</f>
        <v>44296.2887323944</v>
      </c>
      <c r="BD223" s="7" t="n">
        <f aca="false">ABS($T223-$AX$3)+ABS($U223-$AY$3)+ABS($V223-$AZ$3)</f>
        <v>20464.6440677966</v>
      </c>
      <c r="BE223" s="7" t="n">
        <f aca="false">ABS($T223-$AX$4)+ABS($U223-$AY$4)+ABS($V223-$AZ$4)</f>
        <v>10695.6037735849</v>
      </c>
      <c r="BF223" s="7" t="n">
        <f aca="false">MIN(BC223:BE223)</f>
        <v>10695.6037735849</v>
      </c>
      <c r="BG223" s="4" t="n">
        <f aca="false">MATCH(BF223,BC223:BE223,0)</f>
        <v>3</v>
      </c>
      <c r="BH223" s="8" t="n">
        <v>3</v>
      </c>
      <c r="BI223" s="4" t="n">
        <f aca="false">IF(BG223=BH223,0,1)</f>
        <v>0</v>
      </c>
      <c r="BK223" s="8" t="n">
        <v>3</v>
      </c>
      <c r="BL223" s="8" t="n">
        <v>3</v>
      </c>
      <c r="BM223" s="8" t="n">
        <v>3</v>
      </c>
    </row>
    <row r="224" customFormat="false" ht="15" hidden="false" customHeight="false" outlineLevel="0" collapsed="false">
      <c r="A224" s="3" t="n">
        <v>223</v>
      </c>
      <c r="B224" s="3" t="s">
        <v>31</v>
      </c>
      <c r="C224" s="3" t="n">
        <v>0</v>
      </c>
      <c r="D224" s="3" t="n">
        <v>0</v>
      </c>
      <c r="E224" s="3" t="n">
        <v>1</v>
      </c>
      <c r="F224" s="3" t="n">
        <v>0</v>
      </c>
      <c r="G224" s="3" t="n">
        <v>0</v>
      </c>
      <c r="H224" s="3" t="n">
        <v>5</v>
      </c>
      <c r="I224" s="3" t="n">
        <v>5</v>
      </c>
      <c r="J224" s="3" t="n">
        <v>5</v>
      </c>
      <c r="K224" s="3" t="n">
        <v>5</v>
      </c>
      <c r="L224" s="3" t="n">
        <v>5</v>
      </c>
      <c r="M224" s="3" t="n">
        <v>5</v>
      </c>
      <c r="N224" s="3" t="n">
        <v>5</v>
      </c>
      <c r="O224" s="3" t="n">
        <v>5</v>
      </c>
      <c r="P224" s="3" t="n">
        <v>5</v>
      </c>
      <c r="Q224" s="3" t="n">
        <v>5</v>
      </c>
      <c r="R224" s="3" t="n">
        <v>5</v>
      </c>
      <c r="S224" s="3" t="n">
        <v>5</v>
      </c>
      <c r="T224" s="3" t="n">
        <v>0</v>
      </c>
      <c r="U224" s="3" t="n">
        <v>34</v>
      </c>
      <c r="V224" s="3" t="n">
        <v>15315</v>
      </c>
      <c r="W224" s="3" t="n">
        <v>3</v>
      </c>
      <c r="X224" s="3" t="n">
        <v>4</v>
      </c>
      <c r="Y224" s="3" t="n">
        <v>1</v>
      </c>
      <c r="Z224" s="3" t="n">
        <v>1</v>
      </c>
      <c r="AA224" s="4" t="n">
        <f aca="false">IF($B224=AA$1,1,0)</f>
        <v>0</v>
      </c>
      <c r="AB224" s="4" t="n">
        <f aca="false">IF($B224=AB$1,1,0)</f>
        <v>0</v>
      </c>
      <c r="AC224" s="4" t="n">
        <f aca="false">IF($B224=AC$1,1,0)</f>
        <v>0</v>
      </c>
      <c r="AD224" s="4" t="n">
        <f aca="false">IF($B224=AD$1,1,0)</f>
        <v>0</v>
      </c>
      <c r="AE224" s="4" t="n">
        <f aca="false">IF($B224=AE$1,1,0)</f>
        <v>0</v>
      </c>
      <c r="AF224" s="4" t="n">
        <f aca="false">IF($B224=AF$1,1,0)</f>
        <v>1</v>
      </c>
      <c r="AG224" s="4" t="n">
        <f aca="false">IF($B224=AG$1,1,0)</f>
        <v>0</v>
      </c>
      <c r="AH224" s="4" t="n">
        <f aca="false">IF($B224=AH$1,1,0)</f>
        <v>0</v>
      </c>
      <c r="AI224" s="4" t="n">
        <f aca="false">IF($B224=AI$1,1,0)</f>
        <v>0</v>
      </c>
      <c r="AJ224" s="4" t="n">
        <f aca="false">IF($B224=AJ$1,1,0)</f>
        <v>0</v>
      </c>
      <c r="AK224" s="4" t="n">
        <f aca="false">IF($B224=AK$1,1,0)</f>
        <v>0</v>
      </c>
      <c r="AL224" s="4" t="n">
        <f aca="false">IF($B224=AL$1,1,0)</f>
        <v>0</v>
      </c>
      <c r="AM224" s="4" t="n">
        <f aca="false">IF($B224=AM$1,1,0)</f>
        <v>0</v>
      </c>
      <c r="AN224" s="4" t="n">
        <f aca="false">IF($B224=AN$1,1,0)</f>
        <v>0</v>
      </c>
      <c r="AO224" s="4" t="n">
        <f aca="false">IF($B224=AO$1,1,0)</f>
        <v>0</v>
      </c>
      <c r="AP224" s="4" t="n">
        <f aca="false">IF($B224=AP$1,1,0)</f>
        <v>0</v>
      </c>
      <c r="AQ224" s="4" t="n">
        <f aca="false">IF($B224=AQ$1,1,0)</f>
        <v>0</v>
      </c>
      <c r="AR224" s="4" t="n">
        <f aca="false">IF($B224=AR$1,1,0)</f>
        <v>0</v>
      </c>
      <c r="AS224" s="4" t="n">
        <f aca="false">IF($B224=AS$1,1,0)</f>
        <v>0</v>
      </c>
      <c r="AT224" s="4" t="n">
        <f aca="false">IF($B224=AT$1,1,0)</f>
        <v>0</v>
      </c>
      <c r="BB224" s="4" t="n">
        <f aca="false">A224</f>
        <v>223</v>
      </c>
      <c r="BC224" s="7" t="n">
        <f aca="false">ABS($T224-$AX$2)+ABS($U224-$AY$2)+ABS($V224-$AZ$2)</f>
        <v>7524.14788732395</v>
      </c>
      <c r="BD224" s="7" t="n">
        <f aca="false">ABS($T224-$AX$3)+ABS($U224-$AY$3)+ABS($V224-$AZ$3)</f>
        <v>31355.7288135593</v>
      </c>
      <c r="BE224" s="7" t="n">
        <f aca="false">ABS($T224-$AX$4)+ABS($U224-$AY$4)+ABS($V224-$AZ$4)</f>
        <v>62487.641509434</v>
      </c>
      <c r="BF224" s="7" t="n">
        <f aca="false">MIN(BC224:BE224)</f>
        <v>7524.14788732395</v>
      </c>
      <c r="BG224" s="4" t="n">
        <f aca="false">MATCH(BF224,BC224:BE224,0)</f>
        <v>1</v>
      </c>
      <c r="BH224" s="8" t="n">
        <v>1</v>
      </c>
      <c r="BI224" s="4" t="n">
        <f aca="false">IF(BG224=BH224,0,1)</f>
        <v>0</v>
      </c>
      <c r="BK224" s="8" t="n">
        <v>1</v>
      </c>
      <c r="BL224" s="8" t="n">
        <v>1</v>
      </c>
      <c r="BM224" s="8" t="n">
        <v>1</v>
      </c>
    </row>
    <row r="225" customFormat="false" ht="15" hidden="false" customHeight="false" outlineLevel="0" collapsed="false">
      <c r="A225" s="3" t="n">
        <v>224</v>
      </c>
      <c r="B225" s="3" t="s">
        <v>31</v>
      </c>
      <c r="C225" s="3" t="n">
        <v>0</v>
      </c>
      <c r="D225" s="3" t="n">
        <v>0</v>
      </c>
      <c r="E225" s="3" t="n">
        <v>1</v>
      </c>
      <c r="F225" s="3" t="n">
        <v>0</v>
      </c>
      <c r="G225" s="3" t="n">
        <v>0</v>
      </c>
      <c r="H225" s="3" t="n">
        <v>5</v>
      </c>
      <c r="I225" s="3" t="n">
        <v>5</v>
      </c>
      <c r="J225" s="3" t="n">
        <v>5</v>
      </c>
      <c r="K225" s="3" t="n">
        <v>5</v>
      </c>
      <c r="L225" s="3" t="n">
        <v>5</v>
      </c>
      <c r="M225" s="3" t="n">
        <v>5</v>
      </c>
      <c r="N225" s="3" t="n">
        <v>3</v>
      </c>
      <c r="O225" s="3" t="n">
        <v>5</v>
      </c>
      <c r="P225" s="3" t="n">
        <v>5</v>
      </c>
      <c r="Q225" s="3" t="n">
        <v>5</v>
      </c>
      <c r="R225" s="3" t="n">
        <v>5</v>
      </c>
      <c r="S225" s="3" t="n">
        <v>3</v>
      </c>
      <c r="T225" s="3" t="n">
        <v>1</v>
      </c>
      <c r="U225" s="3" t="n">
        <v>53</v>
      </c>
      <c r="V225" s="3" t="n">
        <v>50400</v>
      </c>
      <c r="W225" s="3" t="n">
        <v>3</v>
      </c>
      <c r="X225" s="3" t="n">
        <v>2</v>
      </c>
      <c r="Y225" s="3" t="n">
        <v>1</v>
      </c>
      <c r="Z225" s="3" t="n">
        <v>1</v>
      </c>
      <c r="AA225" s="4" t="n">
        <f aca="false">IF($B225=AA$1,1,0)</f>
        <v>0</v>
      </c>
      <c r="AB225" s="4" t="n">
        <f aca="false">IF($B225=AB$1,1,0)</f>
        <v>0</v>
      </c>
      <c r="AC225" s="4" t="n">
        <f aca="false">IF($B225=AC$1,1,0)</f>
        <v>0</v>
      </c>
      <c r="AD225" s="4" t="n">
        <f aca="false">IF($B225=AD$1,1,0)</f>
        <v>0</v>
      </c>
      <c r="AE225" s="4" t="n">
        <f aca="false">IF($B225=AE$1,1,0)</f>
        <v>0</v>
      </c>
      <c r="AF225" s="4" t="n">
        <f aca="false">IF($B225=AF$1,1,0)</f>
        <v>1</v>
      </c>
      <c r="AG225" s="4" t="n">
        <f aca="false">IF($B225=AG$1,1,0)</f>
        <v>0</v>
      </c>
      <c r="AH225" s="4" t="n">
        <f aca="false">IF($B225=AH$1,1,0)</f>
        <v>0</v>
      </c>
      <c r="AI225" s="4" t="n">
        <f aca="false">IF($B225=AI$1,1,0)</f>
        <v>0</v>
      </c>
      <c r="AJ225" s="4" t="n">
        <f aca="false">IF($B225=AJ$1,1,0)</f>
        <v>0</v>
      </c>
      <c r="AK225" s="4" t="n">
        <f aca="false">IF($B225=AK$1,1,0)</f>
        <v>0</v>
      </c>
      <c r="AL225" s="4" t="n">
        <f aca="false">IF($B225=AL$1,1,0)</f>
        <v>0</v>
      </c>
      <c r="AM225" s="4" t="n">
        <f aca="false">IF($B225=AM$1,1,0)</f>
        <v>0</v>
      </c>
      <c r="AN225" s="4" t="n">
        <f aca="false">IF($B225=AN$1,1,0)</f>
        <v>0</v>
      </c>
      <c r="AO225" s="4" t="n">
        <f aca="false">IF($B225=AO$1,1,0)</f>
        <v>0</v>
      </c>
      <c r="AP225" s="4" t="n">
        <f aca="false">IF($B225=AP$1,1,0)</f>
        <v>0</v>
      </c>
      <c r="AQ225" s="4" t="n">
        <f aca="false">IF($B225=AQ$1,1,0)</f>
        <v>0</v>
      </c>
      <c r="AR225" s="4" t="n">
        <f aca="false">IF($B225=AR$1,1,0)</f>
        <v>0</v>
      </c>
      <c r="AS225" s="4" t="n">
        <f aca="false">IF($B225=AS$1,1,0)</f>
        <v>0</v>
      </c>
      <c r="AT225" s="4" t="n">
        <f aca="false">IF($B225=AT$1,1,0)</f>
        <v>0</v>
      </c>
      <c r="BB225" s="4" t="n">
        <f aca="false">A225</f>
        <v>224</v>
      </c>
      <c r="BC225" s="7" t="n">
        <f aca="false">ABS($T225-$AX$2)+ABS($U225-$AY$2)+ABS($V225-$AZ$2)</f>
        <v>27580.8521126761</v>
      </c>
      <c r="BD225" s="7" t="n">
        <f aca="false">ABS($T225-$AX$3)+ABS($U225-$AY$3)+ABS($V225-$AZ$3)</f>
        <v>3749.27118644068</v>
      </c>
      <c r="BE225" s="7" t="n">
        <f aca="false">ABS($T225-$AX$4)+ABS($U225-$AY$4)+ABS($V225-$AZ$4)</f>
        <v>27406.0754716981</v>
      </c>
      <c r="BF225" s="7" t="n">
        <f aca="false">MIN(BC225:BE225)</f>
        <v>3749.27118644068</v>
      </c>
      <c r="BG225" s="4" t="n">
        <f aca="false">MATCH(BF225,BC225:BE225,0)</f>
        <v>2</v>
      </c>
      <c r="BH225" s="8" t="n">
        <v>2</v>
      </c>
      <c r="BI225" s="4" t="n">
        <f aca="false">IF(BG225=BH225,0,1)</f>
        <v>0</v>
      </c>
      <c r="BK225" s="8" t="n">
        <v>2</v>
      </c>
      <c r="BL225" s="8" t="n">
        <v>2</v>
      </c>
      <c r="BM225" s="8" t="n">
        <v>2</v>
      </c>
    </row>
    <row r="226" customFormat="false" ht="15" hidden="false" customHeight="false" outlineLevel="0" collapsed="false">
      <c r="A226" s="3" t="n">
        <v>225</v>
      </c>
      <c r="B226" s="3" t="s">
        <v>31</v>
      </c>
      <c r="C226" s="3" t="n">
        <v>1</v>
      </c>
      <c r="D226" s="3" t="n">
        <v>0</v>
      </c>
      <c r="E226" s="3" t="n">
        <v>0</v>
      </c>
      <c r="F226" s="3" t="n">
        <v>0</v>
      </c>
      <c r="G226" s="3" t="n">
        <v>2</v>
      </c>
      <c r="H226" s="3" t="n">
        <v>4</v>
      </c>
      <c r="I226" s="3" t="n">
        <v>3</v>
      </c>
      <c r="J226" s="3" t="n">
        <v>5</v>
      </c>
      <c r="K226" s="3" t="n">
        <v>4</v>
      </c>
      <c r="L226" s="3" t="n">
        <v>5</v>
      </c>
      <c r="M226" s="3" t="n">
        <v>4</v>
      </c>
      <c r="N226" s="3" t="n">
        <v>3</v>
      </c>
      <c r="O226" s="3" t="n">
        <v>3</v>
      </c>
      <c r="P226" s="3" t="n">
        <v>2</v>
      </c>
      <c r="Q226" s="3" t="n">
        <v>4</v>
      </c>
      <c r="R226" s="3" t="n">
        <v>3</v>
      </c>
      <c r="S226" s="3" t="n">
        <v>3</v>
      </c>
      <c r="T226" s="3" t="n">
        <v>0</v>
      </c>
      <c r="U226" s="3" t="n">
        <v>52</v>
      </c>
      <c r="V226" s="3" t="n">
        <v>33460</v>
      </c>
      <c r="W226" s="3" t="n">
        <v>2</v>
      </c>
      <c r="X226" s="3" t="n">
        <v>4</v>
      </c>
      <c r="Y226" s="3" t="n">
        <v>2</v>
      </c>
      <c r="Z226" s="3" t="n">
        <v>1</v>
      </c>
      <c r="AA226" s="4" t="n">
        <f aca="false">IF($B226=AA$1,1,0)</f>
        <v>0</v>
      </c>
      <c r="AB226" s="4" t="n">
        <f aca="false">IF($B226=AB$1,1,0)</f>
        <v>0</v>
      </c>
      <c r="AC226" s="4" t="n">
        <f aca="false">IF($B226=AC$1,1,0)</f>
        <v>0</v>
      </c>
      <c r="AD226" s="4" t="n">
        <f aca="false">IF($B226=AD$1,1,0)</f>
        <v>0</v>
      </c>
      <c r="AE226" s="4" t="n">
        <f aca="false">IF($B226=AE$1,1,0)</f>
        <v>0</v>
      </c>
      <c r="AF226" s="4" t="n">
        <f aca="false">IF($B226=AF$1,1,0)</f>
        <v>1</v>
      </c>
      <c r="AG226" s="4" t="n">
        <f aca="false">IF($B226=AG$1,1,0)</f>
        <v>0</v>
      </c>
      <c r="AH226" s="4" t="n">
        <f aca="false">IF($B226=AH$1,1,0)</f>
        <v>0</v>
      </c>
      <c r="AI226" s="4" t="n">
        <f aca="false">IF($B226=AI$1,1,0)</f>
        <v>0</v>
      </c>
      <c r="AJ226" s="4" t="n">
        <f aca="false">IF($B226=AJ$1,1,0)</f>
        <v>0</v>
      </c>
      <c r="AK226" s="4" t="n">
        <f aca="false">IF($B226=AK$1,1,0)</f>
        <v>0</v>
      </c>
      <c r="AL226" s="4" t="n">
        <f aca="false">IF($B226=AL$1,1,0)</f>
        <v>0</v>
      </c>
      <c r="AM226" s="4" t="n">
        <f aca="false">IF($B226=AM$1,1,0)</f>
        <v>0</v>
      </c>
      <c r="AN226" s="4" t="n">
        <f aca="false">IF($B226=AN$1,1,0)</f>
        <v>0</v>
      </c>
      <c r="AO226" s="4" t="n">
        <f aca="false">IF($B226=AO$1,1,0)</f>
        <v>0</v>
      </c>
      <c r="AP226" s="4" t="n">
        <f aca="false">IF($B226=AP$1,1,0)</f>
        <v>0</v>
      </c>
      <c r="AQ226" s="4" t="n">
        <f aca="false">IF($B226=AQ$1,1,0)</f>
        <v>0</v>
      </c>
      <c r="AR226" s="4" t="n">
        <f aca="false">IF($B226=AR$1,1,0)</f>
        <v>0</v>
      </c>
      <c r="AS226" s="4" t="n">
        <f aca="false">IF($B226=AS$1,1,0)</f>
        <v>0</v>
      </c>
      <c r="AT226" s="4" t="n">
        <f aca="false">IF($B226=AT$1,1,0)</f>
        <v>0</v>
      </c>
      <c r="BB226" s="4" t="n">
        <f aca="false">A226</f>
        <v>225</v>
      </c>
      <c r="BC226" s="7" t="n">
        <f aca="false">ABS($T226-$AX$2)+ABS($U226-$AY$2)+ABS($V226-$AZ$2)</f>
        <v>10639.2887323944</v>
      </c>
      <c r="BD226" s="7" t="n">
        <f aca="false">ABS($T226-$AX$3)+ABS($U226-$AY$3)+ABS($V226-$AZ$3)</f>
        <v>13213.9661016949</v>
      </c>
      <c r="BE226" s="7" t="n">
        <f aca="false">ABS($T226-$AX$4)+ABS($U226-$AY$4)+ABS($V226-$AZ$4)</f>
        <v>44344.6037735849</v>
      </c>
      <c r="BF226" s="7" t="n">
        <f aca="false">MIN(BC226:BE226)</f>
        <v>10639.2887323944</v>
      </c>
      <c r="BG226" s="4" t="n">
        <f aca="false">MATCH(BF226,BC226:BE226,0)</f>
        <v>1</v>
      </c>
      <c r="BH226" s="8" t="n">
        <v>1</v>
      </c>
      <c r="BI226" s="4" t="n">
        <f aca="false">IF(BG226=BH226,0,1)</f>
        <v>0</v>
      </c>
      <c r="BK226" s="8" t="n">
        <v>2</v>
      </c>
      <c r="BL226" s="8" t="n">
        <v>1</v>
      </c>
      <c r="BM226" s="8" t="n">
        <v>1</v>
      </c>
    </row>
    <row r="227" customFormat="false" ht="15" hidden="false" customHeight="false" outlineLevel="0" collapsed="false">
      <c r="A227" s="3" t="n">
        <v>226</v>
      </c>
      <c r="B227" s="3" t="s">
        <v>30</v>
      </c>
      <c r="C227" s="3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4</v>
      </c>
      <c r="I227" s="3" t="n">
        <v>4</v>
      </c>
      <c r="J227" s="3" t="n">
        <v>5</v>
      </c>
      <c r="K227" s="3" t="n">
        <v>5</v>
      </c>
      <c r="L227" s="3" t="n">
        <v>5</v>
      </c>
      <c r="M227" s="3" t="n">
        <v>4</v>
      </c>
      <c r="N227" s="3" t="n">
        <v>3</v>
      </c>
      <c r="O227" s="3" t="n">
        <v>2</v>
      </c>
      <c r="P227" s="3" t="n">
        <v>4</v>
      </c>
      <c r="Q227" s="3" t="n">
        <v>5</v>
      </c>
      <c r="R227" s="3" t="n">
        <v>4</v>
      </c>
      <c r="S227" s="3" t="n">
        <v>3</v>
      </c>
      <c r="T227" s="3" t="n">
        <v>1</v>
      </c>
      <c r="U227" s="3" t="n">
        <v>51</v>
      </c>
      <c r="V227" s="3" t="n">
        <v>58698</v>
      </c>
      <c r="W227" s="3" t="n">
        <v>1</v>
      </c>
      <c r="X227" s="3" t="n">
        <v>3</v>
      </c>
      <c r="Y227" s="3" t="n">
        <v>2</v>
      </c>
      <c r="Z227" s="3" t="n">
        <v>2</v>
      </c>
      <c r="AA227" s="4" t="n">
        <f aca="false">IF($B227=AA$1,1,0)</f>
        <v>0</v>
      </c>
      <c r="AB227" s="4" t="n">
        <f aca="false">IF($B227=AB$1,1,0)</f>
        <v>0</v>
      </c>
      <c r="AC227" s="4" t="n">
        <f aca="false">IF($B227=AC$1,1,0)</f>
        <v>0</v>
      </c>
      <c r="AD227" s="4" t="n">
        <f aca="false">IF($B227=AD$1,1,0)</f>
        <v>0</v>
      </c>
      <c r="AE227" s="4" t="n">
        <f aca="false">IF($B227=AE$1,1,0)</f>
        <v>1</v>
      </c>
      <c r="AF227" s="4" t="n">
        <f aca="false">IF($B227=AF$1,1,0)</f>
        <v>0</v>
      </c>
      <c r="AG227" s="4" t="n">
        <f aca="false">IF($B227=AG$1,1,0)</f>
        <v>0</v>
      </c>
      <c r="AH227" s="4" t="n">
        <f aca="false">IF($B227=AH$1,1,0)</f>
        <v>0</v>
      </c>
      <c r="AI227" s="4" t="n">
        <f aca="false">IF($B227=AI$1,1,0)</f>
        <v>0</v>
      </c>
      <c r="AJ227" s="4" t="n">
        <f aca="false">IF($B227=AJ$1,1,0)</f>
        <v>0</v>
      </c>
      <c r="AK227" s="4" t="n">
        <f aca="false">IF($B227=AK$1,1,0)</f>
        <v>0</v>
      </c>
      <c r="AL227" s="4" t="n">
        <f aca="false">IF($B227=AL$1,1,0)</f>
        <v>0</v>
      </c>
      <c r="AM227" s="4" t="n">
        <f aca="false">IF($B227=AM$1,1,0)</f>
        <v>0</v>
      </c>
      <c r="AN227" s="4" t="n">
        <f aca="false">IF($B227=AN$1,1,0)</f>
        <v>0</v>
      </c>
      <c r="AO227" s="4" t="n">
        <f aca="false">IF($B227=AO$1,1,0)</f>
        <v>0</v>
      </c>
      <c r="AP227" s="4" t="n">
        <f aca="false">IF($B227=AP$1,1,0)</f>
        <v>0</v>
      </c>
      <c r="AQ227" s="4" t="n">
        <f aca="false">IF($B227=AQ$1,1,0)</f>
        <v>0</v>
      </c>
      <c r="AR227" s="4" t="n">
        <f aca="false">IF($B227=AR$1,1,0)</f>
        <v>0</v>
      </c>
      <c r="AS227" s="4" t="n">
        <f aca="false">IF($B227=AS$1,1,0)</f>
        <v>0</v>
      </c>
      <c r="AT227" s="4" t="n">
        <f aca="false">IF($B227=AT$1,1,0)</f>
        <v>0</v>
      </c>
      <c r="BB227" s="4" t="n">
        <f aca="false">A227</f>
        <v>226</v>
      </c>
      <c r="BC227" s="7" t="n">
        <f aca="false">ABS($T227-$AX$2)+ABS($U227-$AY$2)+ABS($V227-$AZ$2)</f>
        <v>35876.8521126761</v>
      </c>
      <c r="BD227" s="7" t="n">
        <f aca="false">ABS($T227-$AX$3)+ABS($U227-$AY$3)+ABS($V227-$AZ$3)</f>
        <v>12045.2711864407</v>
      </c>
      <c r="BE227" s="7" t="n">
        <f aca="false">ABS($T227-$AX$4)+ABS($U227-$AY$4)+ABS($V227-$AZ$4)</f>
        <v>19106.0754716981</v>
      </c>
      <c r="BF227" s="7" t="n">
        <f aca="false">MIN(BC227:BE227)</f>
        <v>12045.2711864407</v>
      </c>
      <c r="BG227" s="4" t="n">
        <f aca="false">MATCH(BF227,BC227:BE227,0)</f>
        <v>2</v>
      </c>
      <c r="BH227" s="8" t="n">
        <v>2</v>
      </c>
      <c r="BI227" s="4" t="n">
        <f aca="false">IF(BG227=BH227,0,1)</f>
        <v>0</v>
      </c>
      <c r="BK227" s="8" t="n">
        <v>2</v>
      </c>
      <c r="BL227" s="8" t="n">
        <v>2</v>
      </c>
      <c r="BM227" s="8" t="n">
        <v>2</v>
      </c>
    </row>
    <row r="228" customFormat="false" ht="15" hidden="false" customHeight="false" outlineLevel="0" collapsed="false">
      <c r="A228" s="3" t="n">
        <v>227</v>
      </c>
      <c r="B228" s="3" t="s">
        <v>33</v>
      </c>
      <c r="C228" s="3" t="n">
        <v>1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5</v>
      </c>
      <c r="I228" s="3" t="n">
        <v>5</v>
      </c>
      <c r="J228" s="3" t="n">
        <v>5</v>
      </c>
      <c r="K228" s="3" t="n">
        <v>5</v>
      </c>
      <c r="L228" s="3" t="n">
        <v>5</v>
      </c>
      <c r="M228" s="3" t="n">
        <v>5</v>
      </c>
      <c r="N228" s="3" t="n">
        <v>5</v>
      </c>
      <c r="O228" s="3" t="n">
        <v>5</v>
      </c>
      <c r="P228" s="3" t="n">
        <v>5</v>
      </c>
      <c r="Q228" s="3" t="n">
        <v>5</v>
      </c>
      <c r="R228" s="3" t="n">
        <v>5</v>
      </c>
      <c r="S228" s="3" t="n">
        <v>5</v>
      </c>
      <c r="T228" s="3" t="n">
        <v>0</v>
      </c>
      <c r="U228" s="3" t="n">
        <v>33</v>
      </c>
      <c r="V228" s="3" t="n">
        <v>27951</v>
      </c>
      <c r="W228" s="3" t="n">
        <v>1</v>
      </c>
      <c r="X228" s="3" t="n">
        <v>1</v>
      </c>
      <c r="Y228" s="3" t="n">
        <v>1</v>
      </c>
      <c r="Z228" s="3" t="n">
        <v>1</v>
      </c>
      <c r="AA228" s="4" t="n">
        <f aca="false">IF($B228=AA$1,1,0)</f>
        <v>0</v>
      </c>
      <c r="AB228" s="4" t="n">
        <f aca="false">IF($B228=AB$1,1,0)</f>
        <v>0</v>
      </c>
      <c r="AC228" s="4" t="n">
        <f aca="false">IF($B228=AC$1,1,0)</f>
        <v>0</v>
      </c>
      <c r="AD228" s="4" t="n">
        <f aca="false">IF($B228=AD$1,1,0)</f>
        <v>0</v>
      </c>
      <c r="AE228" s="4" t="n">
        <f aca="false">IF($B228=AE$1,1,0)</f>
        <v>0</v>
      </c>
      <c r="AF228" s="4" t="n">
        <f aca="false">IF($B228=AF$1,1,0)</f>
        <v>0</v>
      </c>
      <c r="AG228" s="4" t="n">
        <f aca="false">IF($B228=AG$1,1,0)</f>
        <v>0</v>
      </c>
      <c r="AH228" s="4" t="n">
        <f aca="false">IF($B228=AH$1,1,0)</f>
        <v>1</v>
      </c>
      <c r="AI228" s="4" t="n">
        <f aca="false">IF($B228=AI$1,1,0)</f>
        <v>0</v>
      </c>
      <c r="AJ228" s="4" t="n">
        <f aca="false">IF($B228=AJ$1,1,0)</f>
        <v>0</v>
      </c>
      <c r="AK228" s="4" t="n">
        <f aca="false">IF($B228=AK$1,1,0)</f>
        <v>0</v>
      </c>
      <c r="AL228" s="4" t="n">
        <f aca="false">IF($B228=AL$1,1,0)</f>
        <v>0</v>
      </c>
      <c r="AM228" s="4" t="n">
        <f aca="false">IF($B228=AM$1,1,0)</f>
        <v>0</v>
      </c>
      <c r="AN228" s="4" t="n">
        <f aca="false">IF($B228=AN$1,1,0)</f>
        <v>0</v>
      </c>
      <c r="AO228" s="4" t="n">
        <f aca="false">IF($B228=AO$1,1,0)</f>
        <v>0</v>
      </c>
      <c r="AP228" s="4" t="n">
        <f aca="false">IF($B228=AP$1,1,0)</f>
        <v>0</v>
      </c>
      <c r="AQ228" s="4" t="n">
        <f aca="false">IF($B228=AQ$1,1,0)</f>
        <v>0</v>
      </c>
      <c r="AR228" s="4" t="n">
        <f aca="false">IF($B228=AR$1,1,0)</f>
        <v>0</v>
      </c>
      <c r="AS228" s="4" t="n">
        <f aca="false">IF($B228=AS$1,1,0)</f>
        <v>0</v>
      </c>
      <c r="AT228" s="4" t="n">
        <f aca="false">IF($B228=AT$1,1,0)</f>
        <v>0</v>
      </c>
      <c r="BB228" s="4" t="n">
        <f aca="false">A228</f>
        <v>227</v>
      </c>
      <c r="BC228" s="7" t="n">
        <f aca="false">ABS($T228-$AX$2)+ABS($U228-$AY$2)+ABS($V228-$AZ$2)</f>
        <v>5122.7676056338</v>
      </c>
      <c r="BD228" s="7" t="n">
        <f aca="false">ABS($T228-$AX$3)+ABS($U228-$AY$3)+ABS($V228-$AZ$3)</f>
        <v>18720.7288135593</v>
      </c>
      <c r="BE228" s="7" t="n">
        <f aca="false">ABS($T228-$AX$4)+ABS($U228-$AY$4)+ABS($V228-$AZ$4)</f>
        <v>49852.641509434</v>
      </c>
      <c r="BF228" s="7" t="n">
        <f aca="false">MIN(BC228:BE228)</f>
        <v>5122.7676056338</v>
      </c>
      <c r="BG228" s="4" t="n">
        <f aca="false">MATCH(BF228,BC228:BE228,0)</f>
        <v>1</v>
      </c>
      <c r="BH228" s="8" t="n">
        <v>1</v>
      </c>
      <c r="BI228" s="4" t="n">
        <f aca="false">IF(BG228=BH228,0,1)</f>
        <v>0</v>
      </c>
      <c r="BK228" s="8" t="n">
        <v>1</v>
      </c>
      <c r="BL228" s="8" t="n">
        <v>1</v>
      </c>
      <c r="BM228" s="8" t="n">
        <v>1</v>
      </c>
    </row>
    <row r="229" customFormat="false" ht="15" hidden="false" customHeight="false" outlineLevel="0" collapsed="false">
      <c r="A229" s="3" t="n">
        <v>228</v>
      </c>
      <c r="B229" s="3" t="s">
        <v>33</v>
      </c>
      <c r="C229" s="3" t="n">
        <v>0</v>
      </c>
      <c r="D229" s="3" t="n">
        <v>0</v>
      </c>
      <c r="E229" s="3" t="n">
        <v>1</v>
      </c>
      <c r="F229" s="3" t="n">
        <v>0</v>
      </c>
      <c r="G229" s="3" t="n">
        <v>0</v>
      </c>
      <c r="H229" s="3" t="n">
        <v>3</v>
      </c>
      <c r="I229" s="3" t="n">
        <v>3</v>
      </c>
      <c r="J229" s="3" t="n">
        <v>4</v>
      </c>
      <c r="K229" s="3" t="n">
        <v>4</v>
      </c>
      <c r="L229" s="3" t="n">
        <v>4</v>
      </c>
      <c r="M229" s="3" t="n">
        <v>4</v>
      </c>
      <c r="N229" s="3" t="n">
        <v>2</v>
      </c>
      <c r="O229" s="3" t="n">
        <v>3</v>
      </c>
      <c r="P229" s="3" t="n">
        <v>3</v>
      </c>
      <c r="Q229" s="3" t="n">
        <v>3</v>
      </c>
      <c r="R229" s="3" t="n">
        <v>4</v>
      </c>
      <c r="S229" s="3" t="n">
        <v>3</v>
      </c>
      <c r="T229" s="3" t="n">
        <v>1</v>
      </c>
      <c r="U229" s="3" t="n">
        <v>69</v>
      </c>
      <c r="V229" s="3" t="n">
        <v>51750</v>
      </c>
      <c r="W229" s="3" t="n">
        <v>2</v>
      </c>
      <c r="X229" s="3" t="n">
        <v>4</v>
      </c>
      <c r="Y229" s="3" t="n">
        <v>2</v>
      </c>
      <c r="Z229" s="3" t="n">
        <v>2</v>
      </c>
      <c r="AA229" s="4" t="n">
        <f aca="false">IF($B229=AA$1,1,0)</f>
        <v>0</v>
      </c>
      <c r="AB229" s="4" t="n">
        <f aca="false">IF($B229=AB$1,1,0)</f>
        <v>0</v>
      </c>
      <c r="AC229" s="4" t="n">
        <f aca="false">IF($B229=AC$1,1,0)</f>
        <v>0</v>
      </c>
      <c r="AD229" s="4" t="n">
        <f aca="false">IF($B229=AD$1,1,0)</f>
        <v>0</v>
      </c>
      <c r="AE229" s="4" t="n">
        <f aca="false">IF($B229=AE$1,1,0)</f>
        <v>0</v>
      </c>
      <c r="AF229" s="4" t="n">
        <f aca="false">IF($B229=AF$1,1,0)</f>
        <v>0</v>
      </c>
      <c r="AG229" s="4" t="n">
        <f aca="false">IF($B229=AG$1,1,0)</f>
        <v>0</v>
      </c>
      <c r="AH229" s="4" t="n">
        <f aca="false">IF($B229=AH$1,1,0)</f>
        <v>1</v>
      </c>
      <c r="AI229" s="4" t="n">
        <f aca="false">IF($B229=AI$1,1,0)</f>
        <v>0</v>
      </c>
      <c r="AJ229" s="4" t="n">
        <f aca="false">IF($B229=AJ$1,1,0)</f>
        <v>0</v>
      </c>
      <c r="AK229" s="4" t="n">
        <f aca="false">IF($B229=AK$1,1,0)</f>
        <v>0</v>
      </c>
      <c r="AL229" s="4" t="n">
        <f aca="false">IF($B229=AL$1,1,0)</f>
        <v>0</v>
      </c>
      <c r="AM229" s="4" t="n">
        <f aca="false">IF($B229=AM$1,1,0)</f>
        <v>0</v>
      </c>
      <c r="AN229" s="4" t="n">
        <f aca="false">IF($B229=AN$1,1,0)</f>
        <v>0</v>
      </c>
      <c r="AO229" s="4" t="n">
        <f aca="false">IF($B229=AO$1,1,0)</f>
        <v>0</v>
      </c>
      <c r="AP229" s="4" t="n">
        <f aca="false">IF($B229=AP$1,1,0)</f>
        <v>0</v>
      </c>
      <c r="AQ229" s="4" t="n">
        <f aca="false">IF($B229=AQ$1,1,0)</f>
        <v>0</v>
      </c>
      <c r="AR229" s="4" t="n">
        <f aca="false">IF($B229=AR$1,1,0)</f>
        <v>0</v>
      </c>
      <c r="AS229" s="4" t="n">
        <f aca="false">IF($B229=AS$1,1,0)</f>
        <v>0</v>
      </c>
      <c r="AT229" s="4" t="n">
        <f aca="false">IF($B229=AT$1,1,0)</f>
        <v>0</v>
      </c>
      <c r="BB229" s="4" t="n">
        <f aca="false">A229</f>
        <v>228</v>
      </c>
      <c r="BC229" s="7" t="n">
        <f aca="false">ABS($T229-$AX$2)+ABS($U229-$AY$2)+ABS($V229-$AZ$2)</f>
        <v>28946.8521126761</v>
      </c>
      <c r="BD229" s="7" t="n">
        <f aca="false">ABS($T229-$AX$3)+ABS($U229-$AY$3)+ABS($V229-$AZ$3)</f>
        <v>5115.27118644068</v>
      </c>
      <c r="BE229" s="7" t="n">
        <f aca="false">ABS($T229-$AX$4)+ABS($U229-$AY$4)+ABS($V229-$AZ$4)</f>
        <v>26072.0754716981</v>
      </c>
      <c r="BF229" s="7" t="n">
        <f aca="false">MIN(BC229:BE229)</f>
        <v>5115.27118644068</v>
      </c>
      <c r="BG229" s="4" t="n">
        <f aca="false">MATCH(BF229,BC229:BE229,0)</f>
        <v>2</v>
      </c>
      <c r="BH229" s="8" t="n">
        <v>2</v>
      </c>
      <c r="BI229" s="4" t="n">
        <f aca="false">IF(BG229=BH229,0,1)</f>
        <v>0</v>
      </c>
      <c r="BK229" s="8" t="n">
        <v>2</v>
      </c>
      <c r="BL229" s="8" t="n">
        <v>2</v>
      </c>
      <c r="BM229" s="8" t="n">
        <v>2</v>
      </c>
    </row>
    <row r="230" customFormat="false" ht="15" hidden="false" customHeight="false" outlineLevel="0" collapsed="false">
      <c r="A230" s="3" t="n">
        <v>229</v>
      </c>
      <c r="B230" s="3" t="s">
        <v>30</v>
      </c>
      <c r="C230" s="3" t="n">
        <v>1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5</v>
      </c>
      <c r="I230" s="3" t="n">
        <v>4</v>
      </c>
      <c r="J230" s="3" t="n">
        <v>5</v>
      </c>
      <c r="K230" s="3" t="n">
        <v>5</v>
      </c>
      <c r="L230" s="3" t="n">
        <v>5</v>
      </c>
      <c r="M230" s="3" t="n">
        <v>5</v>
      </c>
      <c r="N230" s="3" t="n">
        <v>5</v>
      </c>
      <c r="O230" s="3" t="n">
        <v>3</v>
      </c>
      <c r="P230" s="3" t="n">
        <v>5</v>
      </c>
      <c r="Q230" s="3" t="n">
        <v>5</v>
      </c>
      <c r="R230" s="3" t="n">
        <v>4</v>
      </c>
      <c r="S230" s="3" t="n">
        <v>4</v>
      </c>
      <c r="T230" s="3" t="n">
        <v>0</v>
      </c>
      <c r="U230" s="3" t="n">
        <v>52</v>
      </c>
      <c r="V230" s="3" t="n">
        <v>32170</v>
      </c>
      <c r="W230" s="3" t="n">
        <v>3</v>
      </c>
      <c r="X230" s="3" t="n">
        <v>3</v>
      </c>
      <c r="Y230" s="3" t="n">
        <v>2</v>
      </c>
      <c r="Z230" s="3" t="n">
        <v>2</v>
      </c>
      <c r="AA230" s="4" t="n">
        <f aca="false">IF($B230=AA$1,1,0)</f>
        <v>0</v>
      </c>
      <c r="AB230" s="4" t="n">
        <f aca="false">IF($B230=AB$1,1,0)</f>
        <v>0</v>
      </c>
      <c r="AC230" s="4" t="n">
        <f aca="false">IF($B230=AC$1,1,0)</f>
        <v>0</v>
      </c>
      <c r="AD230" s="4" t="n">
        <f aca="false">IF($B230=AD$1,1,0)</f>
        <v>0</v>
      </c>
      <c r="AE230" s="4" t="n">
        <f aca="false">IF($B230=AE$1,1,0)</f>
        <v>1</v>
      </c>
      <c r="AF230" s="4" t="n">
        <f aca="false">IF($B230=AF$1,1,0)</f>
        <v>0</v>
      </c>
      <c r="AG230" s="4" t="n">
        <f aca="false">IF($B230=AG$1,1,0)</f>
        <v>0</v>
      </c>
      <c r="AH230" s="4" t="n">
        <f aca="false">IF($B230=AH$1,1,0)</f>
        <v>0</v>
      </c>
      <c r="AI230" s="4" t="n">
        <f aca="false">IF($B230=AI$1,1,0)</f>
        <v>0</v>
      </c>
      <c r="AJ230" s="4" t="n">
        <f aca="false">IF($B230=AJ$1,1,0)</f>
        <v>0</v>
      </c>
      <c r="AK230" s="4" t="n">
        <f aca="false">IF($B230=AK$1,1,0)</f>
        <v>0</v>
      </c>
      <c r="AL230" s="4" t="n">
        <f aca="false">IF($B230=AL$1,1,0)</f>
        <v>0</v>
      </c>
      <c r="AM230" s="4" t="n">
        <f aca="false">IF($B230=AM$1,1,0)</f>
        <v>0</v>
      </c>
      <c r="AN230" s="4" t="n">
        <f aca="false">IF($B230=AN$1,1,0)</f>
        <v>0</v>
      </c>
      <c r="AO230" s="4" t="n">
        <f aca="false">IF($B230=AO$1,1,0)</f>
        <v>0</v>
      </c>
      <c r="AP230" s="4" t="n">
        <f aca="false">IF($B230=AP$1,1,0)</f>
        <v>0</v>
      </c>
      <c r="AQ230" s="4" t="n">
        <f aca="false">IF($B230=AQ$1,1,0)</f>
        <v>0</v>
      </c>
      <c r="AR230" s="4" t="n">
        <f aca="false">IF($B230=AR$1,1,0)</f>
        <v>0</v>
      </c>
      <c r="AS230" s="4" t="n">
        <f aca="false">IF($B230=AS$1,1,0)</f>
        <v>0</v>
      </c>
      <c r="AT230" s="4" t="n">
        <f aca="false">IF($B230=AT$1,1,0)</f>
        <v>0</v>
      </c>
      <c r="BB230" s="4" t="n">
        <f aca="false">A230</f>
        <v>229</v>
      </c>
      <c r="BC230" s="7" t="n">
        <f aca="false">ABS($T230-$AX$2)+ABS($U230-$AY$2)+ABS($V230-$AZ$2)</f>
        <v>9349.28873239437</v>
      </c>
      <c r="BD230" s="7" t="n">
        <f aca="false">ABS($T230-$AX$3)+ABS($U230-$AY$3)+ABS($V230-$AZ$3)</f>
        <v>14503.9661016949</v>
      </c>
      <c r="BE230" s="7" t="n">
        <f aca="false">ABS($T230-$AX$4)+ABS($U230-$AY$4)+ABS($V230-$AZ$4)</f>
        <v>45634.6037735849</v>
      </c>
      <c r="BF230" s="7" t="n">
        <f aca="false">MIN(BC230:BE230)</f>
        <v>9349.28873239437</v>
      </c>
      <c r="BG230" s="4" t="n">
        <f aca="false">MATCH(BF230,BC230:BE230,0)</f>
        <v>1</v>
      </c>
      <c r="BH230" s="8" t="n">
        <v>1</v>
      </c>
      <c r="BI230" s="4" t="n">
        <f aca="false">IF(BG230=BH230,0,1)</f>
        <v>0</v>
      </c>
      <c r="BK230" s="8" t="n">
        <v>2</v>
      </c>
      <c r="BL230" s="8" t="n">
        <v>1</v>
      </c>
      <c r="BM230" s="8" t="n">
        <v>1</v>
      </c>
    </row>
    <row r="231" customFormat="false" ht="15" hidden="false" customHeight="false" outlineLevel="0" collapsed="false">
      <c r="A231" s="3" t="n">
        <v>230</v>
      </c>
      <c r="B231" s="3" t="s">
        <v>33</v>
      </c>
      <c r="C231" s="3" t="n">
        <v>0</v>
      </c>
      <c r="D231" s="3" t="n">
        <v>1</v>
      </c>
      <c r="E231" s="3" t="n">
        <v>0</v>
      </c>
      <c r="F231" s="3" t="n">
        <v>0</v>
      </c>
      <c r="G231" s="3" t="n">
        <v>0</v>
      </c>
      <c r="H231" s="3" t="n">
        <v>5</v>
      </c>
      <c r="I231" s="3" t="n">
        <v>4</v>
      </c>
      <c r="J231" s="3" t="n">
        <v>4</v>
      </c>
      <c r="K231" s="3" t="n">
        <v>4</v>
      </c>
      <c r="L231" s="3" t="n">
        <v>4</v>
      </c>
      <c r="M231" s="3" t="n">
        <v>3</v>
      </c>
      <c r="N231" s="3" t="n">
        <v>1</v>
      </c>
      <c r="O231" s="3" t="n">
        <v>4</v>
      </c>
      <c r="P231" s="3" t="n">
        <v>3</v>
      </c>
      <c r="Q231" s="3" t="n">
        <v>4</v>
      </c>
      <c r="R231" s="3" t="n">
        <v>4</v>
      </c>
      <c r="S231" s="3" t="n">
        <v>3</v>
      </c>
      <c r="T231" s="3" t="n">
        <v>0</v>
      </c>
      <c r="U231" s="3" t="n">
        <v>34</v>
      </c>
      <c r="V231" s="3" t="n">
        <v>28436</v>
      </c>
      <c r="W231" s="3" t="n">
        <v>2</v>
      </c>
      <c r="X231" s="3" t="n">
        <v>3</v>
      </c>
      <c r="Y231" s="3" t="n">
        <v>2</v>
      </c>
      <c r="Z231" s="3" t="n">
        <v>2</v>
      </c>
      <c r="AA231" s="4" t="n">
        <f aca="false">IF($B231=AA$1,1,0)</f>
        <v>0</v>
      </c>
      <c r="AB231" s="4" t="n">
        <f aca="false">IF($B231=AB$1,1,0)</f>
        <v>0</v>
      </c>
      <c r="AC231" s="4" t="n">
        <f aca="false">IF($B231=AC$1,1,0)</f>
        <v>0</v>
      </c>
      <c r="AD231" s="4" t="n">
        <f aca="false">IF($B231=AD$1,1,0)</f>
        <v>0</v>
      </c>
      <c r="AE231" s="4" t="n">
        <f aca="false">IF($B231=AE$1,1,0)</f>
        <v>0</v>
      </c>
      <c r="AF231" s="4" t="n">
        <f aca="false">IF($B231=AF$1,1,0)</f>
        <v>0</v>
      </c>
      <c r="AG231" s="4" t="n">
        <f aca="false">IF($B231=AG$1,1,0)</f>
        <v>0</v>
      </c>
      <c r="AH231" s="4" t="n">
        <f aca="false">IF($B231=AH$1,1,0)</f>
        <v>1</v>
      </c>
      <c r="AI231" s="4" t="n">
        <f aca="false">IF($B231=AI$1,1,0)</f>
        <v>0</v>
      </c>
      <c r="AJ231" s="4" t="n">
        <f aca="false">IF($B231=AJ$1,1,0)</f>
        <v>0</v>
      </c>
      <c r="AK231" s="4" t="n">
        <f aca="false">IF($B231=AK$1,1,0)</f>
        <v>0</v>
      </c>
      <c r="AL231" s="4" t="n">
        <f aca="false">IF($B231=AL$1,1,0)</f>
        <v>0</v>
      </c>
      <c r="AM231" s="4" t="n">
        <f aca="false">IF($B231=AM$1,1,0)</f>
        <v>0</v>
      </c>
      <c r="AN231" s="4" t="n">
        <f aca="false">IF($B231=AN$1,1,0)</f>
        <v>0</v>
      </c>
      <c r="AO231" s="4" t="n">
        <f aca="false">IF($B231=AO$1,1,0)</f>
        <v>0</v>
      </c>
      <c r="AP231" s="4" t="n">
        <f aca="false">IF($B231=AP$1,1,0)</f>
        <v>0</v>
      </c>
      <c r="AQ231" s="4" t="n">
        <f aca="false">IF($B231=AQ$1,1,0)</f>
        <v>0</v>
      </c>
      <c r="AR231" s="4" t="n">
        <f aca="false">IF($B231=AR$1,1,0)</f>
        <v>0</v>
      </c>
      <c r="AS231" s="4" t="n">
        <f aca="false">IF($B231=AS$1,1,0)</f>
        <v>0</v>
      </c>
      <c r="AT231" s="4" t="n">
        <f aca="false">IF($B231=AT$1,1,0)</f>
        <v>0</v>
      </c>
      <c r="BB231" s="4" t="n">
        <f aca="false">A231</f>
        <v>230</v>
      </c>
      <c r="BC231" s="7" t="n">
        <f aca="false">ABS($T231-$AX$2)+ABS($U231-$AY$2)+ABS($V231-$AZ$2)</f>
        <v>5606.7676056338</v>
      </c>
      <c r="BD231" s="7" t="n">
        <f aca="false">ABS($T231-$AX$3)+ABS($U231-$AY$3)+ABS($V231-$AZ$3)</f>
        <v>18234.7288135593</v>
      </c>
      <c r="BE231" s="7" t="n">
        <f aca="false">ABS($T231-$AX$4)+ABS($U231-$AY$4)+ABS($V231-$AZ$4)</f>
        <v>49366.641509434</v>
      </c>
      <c r="BF231" s="7" t="n">
        <f aca="false">MIN(BC231:BE231)</f>
        <v>5606.7676056338</v>
      </c>
      <c r="BG231" s="4" t="n">
        <f aca="false">MATCH(BF231,BC231:BE231,0)</f>
        <v>1</v>
      </c>
      <c r="BH231" s="8" t="n">
        <v>1</v>
      </c>
      <c r="BI231" s="4" t="n">
        <f aca="false">IF(BG231=BH231,0,1)</f>
        <v>0</v>
      </c>
      <c r="BK231" s="8" t="n">
        <v>1</v>
      </c>
      <c r="BL231" s="8" t="n">
        <v>1</v>
      </c>
      <c r="BM231" s="8" t="n">
        <v>1</v>
      </c>
    </row>
    <row r="232" customFormat="false" ht="15" hidden="false" customHeight="false" outlineLevel="0" collapsed="false">
      <c r="A232" s="3" t="n">
        <v>231</v>
      </c>
      <c r="B232" s="3" t="s">
        <v>33</v>
      </c>
      <c r="C232" s="3" t="n">
        <v>1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5</v>
      </c>
      <c r="I232" s="3" t="n">
        <v>3</v>
      </c>
      <c r="J232" s="3" t="n">
        <v>4</v>
      </c>
      <c r="K232" s="3" t="n">
        <v>5</v>
      </c>
      <c r="L232" s="3" t="n">
        <v>5</v>
      </c>
      <c r="M232" s="3" t="n">
        <v>4</v>
      </c>
      <c r="N232" s="3" t="n">
        <v>5</v>
      </c>
      <c r="O232" s="3" t="n">
        <v>3</v>
      </c>
      <c r="P232" s="3" t="n">
        <v>1</v>
      </c>
      <c r="Q232" s="3" t="n">
        <v>5</v>
      </c>
      <c r="R232" s="3" t="n">
        <v>4</v>
      </c>
      <c r="S232" s="3" t="n">
        <v>4</v>
      </c>
      <c r="T232" s="3" t="n">
        <v>0</v>
      </c>
      <c r="U232" s="3" t="n">
        <v>20</v>
      </c>
      <c r="V232" s="3" t="n">
        <v>19401</v>
      </c>
      <c r="W232" s="3" t="n">
        <v>1</v>
      </c>
      <c r="X232" s="3" t="n">
        <v>3</v>
      </c>
      <c r="Y232" s="3" t="n">
        <v>2</v>
      </c>
      <c r="Z232" s="3" t="n">
        <v>1</v>
      </c>
      <c r="AA232" s="4" t="n">
        <f aca="false">IF($B232=AA$1,1,0)</f>
        <v>0</v>
      </c>
      <c r="AB232" s="4" t="n">
        <f aca="false">IF($B232=AB$1,1,0)</f>
        <v>0</v>
      </c>
      <c r="AC232" s="4" t="n">
        <f aca="false">IF($B232=AC$1,1,0)</f>
        <v>0</v>
      </c>
      <c r="AD232" s="4" t="n">
        <f aca="false">IF($B232=AD$1,1,0)</f>
        <v>0</v>
      </c>
      <c r="AE232" s="4" t="n">
        <f aca="false">IF($B232=AE$1,1,0)</f>
        <v>0</v>
      </c>
      <c r="AF232" s="4" t="n">
        <f aca="false">IF($B232=AF$1,1,0)</f>
        <v>0</v>
      </c>
      <c r="AG232" s="4" t="n">
        <f aca="false">IF($B232=AG$1,1,0)</f>
        <v>0</v>
      </c>
      <c r="AH232" s="4" t="n">
        <f aca="false">IF($B232=AH$1,1,0)</f>
        <v>1</v>
      </c>
      <c r="AI232" s="4" t="n">
        <f aca="false">IF($B232=AI$1,1,0)</f>
        <v>0</v>
      </c>
      <c r="AJ232" s="4" t="n">
        <f aca="false">IF($B232=AJ$1,1,0)</f>
        <v>0</v>
      </c>
      <c r="AK232" s="4" t="n">
        <f aca="false">IF($B232=AK$1,1,0)</f>
        <v>0</v>
      </c>
      <c r="AL232" s="4" t="n">
        <f aca="false">IF($B232=AL$1,1,0)</f>
        <v>0</v>
      </c>
      <c r="AM232" s="4" t="n">
        <f aca="false">IF($B232=AM$1,1,0)</f>
        <v>0</v>
      </c>
      <c r="AN232" s="4" t="n">
        <f aca="false">IF($B232=AN$1,1,0)</f>
        <v>0</v>
      </c>
      <c r="AO232" s="4" t="n">
        <f aca="false">IF($B232=AO$1,1,0)</f>
        <v>0</v>
      </c>
      <c r="AP232" s="4" t="n">
        <f aca="false">IF($B232=AP$1,1,0)</f>
        <v>0</v>
      </c>
      <c r="AQ232" s="4" t="n">
        <f aca="false">IF($B232=AQ$1,1,0)</f>
        <v>0</v>
      </c>
      <c r="AR232" s="4" t="n">
        <f aca="false">IF($B232=AR$1,1,0)</f>
        <v>0</v>
      </c>
      <c r="AS232" s="4" t="n">
        <f aca="false">IF($B232=AS$1,1,0)</f>
        <v>0</v>
      </c>
      <c r="AT232" s="4" t="n">
        <f aca="false">IF($B232=AT$1,1,0)</f>
        <v>0</v>
      </c>
      <c r="BB232" s="4" t="n">
        <f aca="false">A232</f>
        <v>231</v>
      </c>
      <c r="BC232" s="7" t="n">
        <f aca="false">ABS($T232-$AX$2)+ABS($U232-$AY$2)+ABS($V232-$AZ$2)</f>
        <v>3452.14788732395</v>
      </c>
      <c r="BD232" s="7" t="n">
        <f aca="false">ABS($T232-$AX$3)+ABS($U232-$AY$3)+ABS($V232-$AZ$3)</f>
        <v>27283.7288135593</v>
      </c>
      <c r="BE232" s="7" t="n">
        <f aca="false">ABS($T232-$AX$4)+ABS($U232-$AY$4)+ABS($V232-$AZ$4)</f>
        <v>58415.641509434</v>
      </c>
      <c r="BF232" s="7" t="n">
        <f aca="false">MIN(BC232:BE232)</f>
        <v>3452.14788732395</v>
      </c>
      <c r="BG232" s="4" t="n">
        <f aca="false">MATCH(BF232,BC232:BE232,0)</f>
        <v>1</v>
      </c>
      <c r="BH232" s="8" t="n">
        <v>1</v>
      </c>
      <c r="BI232" s="4" t="n">
        <f aca="false">IF(BG232=BH232,0,1)</f>
        <v>0</v>
      </c>
      <c r="BK232" s="8" t="n">
        <v>1</v>
      </c>
      <c r="BL232" s="8" t="n">
        <v>1</v>
      </c>
      <c r="BM232" s="8" t="n">
        <v>1</v>
      </c>
    </row>
    <row r="233" customFormat="false" ht="15" hidden="false" customHeight="false" outlineLevel="0" collapsed="false">
      <c r="A233" s="3" t="n">
        <v>232</v>
      </c>
      <c r="B233" s="3" t="s">
        <v>38</v>
      </c>
      <c r="C233" s="3" t="n">
        <v>1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5</v>
      </c>
      <c r="I233" s="3" t="n">
        <v>4</v>
      </c>
      <c r="J233" s="3" t="n">
        <v>4</v>
      </c>
      <c r="K233" s="3" t="n">
        <v>4</v>
      </c>
      <c r="L233" s="3" t="n">
        <v>4</v>
      </c>
      <c r="M233" s="3" t="n">
        <v>4</v>
      </c>
      <c r="N233" s="3" t="n">
        <v>4</v>
      </c>
      <c r="O233" s="3" t="n">
        <v>4</v>
      </c>
      <c r="P233" s="3" t="n">
        <v>3</v>
      </c>
      <c r="Q233" s="3" t="n">
        <v>3</v>
      </c>
      <c r="R233" s="3" t="n">
        <v>4</v>
      </c>
      <c r="S233" s="3" t="n">
        <v>3</v>
      </c>
      <c r="T233" s="3" t="n">
        <v>1</v>
      </c>
      <c r="U233" s="3" t="n">
        <v>67</v>
      </c>
      <c r="V233" s="3" t="n">
        <v>32272</v>
      </c>
      <c r="W233" s="3" t="n">
        <v>2</v>
      </c>
      <c r="X233" s="3" t="n">
        <v>2</v>
      </c>
      <c r="Y233" s="3" t="n">
        <v>1</v>
      </c>
      <c r="Z233" s="3" t="n">
        <v>2</v>
      </c>
      <c r="AA233" s="4" t="n">
        <f aca="false">IF($B233=AA$1,1,0)</f>
        <v>0</v>
      </c>
      <c r="AB233" s="4" t="n">
        <f aca="false">IF($B233=AB$1,1,0)</f>
        <v>0</v>
      </c>
      <c r="AC233" s="4" t="n">
        <f aca="false">IF($B233=AC$1,1,0)</f>
        <v>0</v>
      </c>
      <c r="AD233" s="4" t="n">
        <f aca="false">IF($B233=AD$1,1,0)</f>
        <v>0</v>
      </c>
      <c r="AE233" s="4" t="n">
        <f aca="false">IF($B233=AE$1,1,0)</f>
        <v>0</v>
      </c>
      <c r="AF233" s="4" t="n">
        <f aca="false">IF($B233=AF$1,1,0)</f>
        <v>0</v>
      </c>
      <c r="AG233" s="4" t="n">
        <f aca="false">IF($B233=AG$1,1,0)</f>
        <v>0</v>
      </c>
      <c r="AH233" s="4" t="n">
        <f aca="false">IF($B233=AH$1,1,0)</f>
        <v>0</v>
      </c>
      <c r="AI233" s="4" t="n">
        <f aca="false">IF($B233=AI$1,1,0)</f>
        <v>0</v>
      </c>
      <c r="AJ233" s="4" t="n">
        <f aca="false">IF($B233=AJ$1,1,0)</f>
        <v>0</v>
      </c>
      <c r="AK233" s="4" t="n">
        <f aca="false">IF($B233=AK$1,1,0)</f>
        <v>0</v>
      </c>
      <c r="AL233" s="4" t="n">
        <f aca="false">IF($B233=AL$1,1,0)</f>
        <v>0</v>
      </c>
      <c r="AM233" s="4" t="n">
        <f aca="false">IF($B233=AM$1,1,0)</f>
        <v>1</v>
      </c>
      <c r="AN233" s="4" t="n">
        <f aca="false">IF($B233=AN$1,1,0)</f>
        <v>0</v>
      </c>
      <c r="AO233" s="4" t="n">
        <f aca="false">IF($B233=AO$1,1,0)</f>
        <v>0</v>
      </c>
      <c r="AP233" s="4" t="n">
        <f aca="false">IF($B233=AP$1,1,0)</f>
        <v>0</v>
      </c>
      <c r="AQ233" s="4" t="n">
        <f aca="false">IF($B233=AQ$1,1,0)</f>
        <v>0</v>
      </c>
      <c r="AR233" s="4" t="n">
        <f aca="false">IF($B233=AR$1,1,0)</f>
        <v>0</v>
      </c>
      <c r="AS233" s="4" t="n">
        <f aca="false">IF($B233=AS$1,1,0)</f>
        <v>0</v>
      </c>
      <c r="AT233" s="4" t="n">
        <f aca="false">IF($B233=AT$1,1,0)</f>
        <v>0</v>
      </c>
      <c r="BB233" s="4" t="n">
        <f aca="false">A233</f>
        <v>232</v>
      </c>
      <c r="BC233" s="7" t="n">
        <f aca="false">ABS($T233-$AX$2)+ABS($U233-$AY$2)+ABS($V233-$AZ$2)</f>
        <v>9466.85211267606</v>
      </c>
      <c r="BD233" s="7" t="n">
        <f aca="false">ABS($T233-$AX$3)+ABS($U233-$AY$3)+ABS($V233-$AZ$3)</f>
        <v>14417.593220339</v>
      </c>
      <c r="BE233" s="7" t="n">
        <f aca="false">ABS($T233-$AX$4)+ABS($U233-$AY$4)+ABS($V233-$AZ$4)</f>
        <v>45548.0754716981</v>
      </c>
      <c r="BF233" s="7" t="n">
        <f aca="false">MIN(BC233:BE233)</f>
        <v>9466.85211267606</v>
      </c>
      <c r="BG233" s="4" t="n">
        <f aca="false">MATCH(BF233,BC233:BE233,0)</f>
        <v>1</v>
      </c>
      <c r="BH233" s="8" t="n">
        <v>1</v>
      </c>
      <c r="BI233" s="4" t="n">
        <f aca="false">IF(BG233=BH233,0,1)</f>
        <v>0</v>
      </c>
      <c r="BK233" s="8" t="n">
        <v>2</v>
      </c>
      <c r="BL233" s="8" t="n">
        <v>1</v>
      </c>
      <c r="BM233" s="8" t="n">
        <v>1</v>
      </c>
    </row>
    <row r="234" customFormat="false" ht="15" hidden="false" customHeight="false" outlineLevel="0" collapsed="false">
      <c r="A234" s="3" t="n">
        <v>233</v>
      </c>
      <c r="B234" s="3" t="s">
        <v>35</v>
      </c>
      <c r="C234" s="3" t="n">
        <v>0</v>
      </c>
      <c r="D234" s="3" t="n">
        <v>0</v>
      </c>
      <c r="E234" s="3" t="n">
        <v>1</v>
      </c>
      <c r="F234" s="3" t="n">
        <v>0</v>
      </c>
      <c r="G234" s="3" t="n">
        <v>0</v>
      </c>
      <c r="H234" s="3" t="n">
        <v>4</v>
      </c>
      <c r="I234" s="3" t="n">
        <v>4</v>
      </c>
      <c r="J234" s="3" t="n">
        <v>4</v>
      </c>
      <c r="K234" s="3" t="n">
        <v>4</v>
      </c>
      <c r="L234" s="3" t="n">
        <v>5</v>
      </c>
      <c r="M234" s="3" t="n">
        <v>4</v>
      </c>
      <c r="N234" s="3" t="n">
        <v>4</v>
      </c>
      <c r="O234" s="3" t="n">
        <v>3</v>
      </c>
      <c r="P234" s="3" t="n">
        <v>4</v>
      </c>
      <c r="Q234" s="3" t="n">
        <v>3</v>
      </c>
      <c r="R234" s="3" t="n">
        <v>4</v>
      </c>
      <c r="S234" s="3" t="n">
        <v>3</v>
      </c>
      <c r="T234" s="3" t="n">
        <v>0</v>
      </c>
      <c r="U234" s="3" t="n">
        <v>54</v>
      </c>
      <c r="V234" s="3" t="n">
        <v>86769</v>
      </c>
      <c r="W234" s="3" t="n">
        <v>2</v>
      </c>
      <c r="X234" s="3" t="n">
        <v>4</v>
      </c>
      <c r="Y234" s="3" t="n">
        <v>2</v>
      </c>
      <c r="Z234" s="3" t="n">
        <v>2</v>
      </c>
      <c r="AA234" s="4" t="n">
        <f aca="false">IF($B234=AA$1,1,0)</f>
        <v>0</v>
      </c>
      <c r="AB234" s="4" t="n">
        <f aca="false">IF($B234=AB$1,1,0)</f>
        <v>0</v>
      </c>
      <c r="AC234" s="4" t="n">
        <f aca="false">IF($B234=AC$1,1,0)</f>
        <v>0</v>
      </c>
      <c r="AD234" s="4" t="n">
        <f aca="false">IF($B234=AD$1,1,0)</f>
        <v>0</v>
      </c>
      <c r="AE234" s="4" t="n">
        <f aca="false">IF($B234=AE$1,1,0)</f>
        <v>0</v>
      </c>
      <c r="AF234" s="4" t="n">
        <f aca="false">IF($B234=AF$1,1,0)</f>
        <v>0</v>
      </c>
      <c r="AG234" s="4" t="n">
        <f aca="false">IF($B234=AG$1,1,0)</f>
        <v>0</v>
      </c>
      <c r="AH234" s="4" t="n">
        <f aca="false">IF($B234=AH$1,1,0)</f>
        <v>0</v>
      </c>
      <c r="AI234" s="4" t="n">
        <f aca="false">IF($B234=AI$1,1,0)</f>
        <v>0</v>
      </c>
      <c r="AJ234" s="4" t="n">
        <f aca="false">IF($B234=AJ$1,1,0)</f>
        <v>1</v>
      </c>
      <c r="AK234" s="4" t="n">
        <f aca="false">IF($B234=AK$1,1,0)</f>
        <v>0</v>
      </c>
      <c r="AL234" s="4" t="n">
        <f aca="false">IF($B234=AL$1,1,0)</f>
        <v>0</v>
      </c>
      <c r="AM234" s="4" t="n">
        <f aca="false">IF($B234=AM$1,1,0)</f>
        <v>0</v>
      </c>
      <c r="AN234" s="4" t="n">
        <f aca="false">IF($B234=AN$1,1,0)</f>
        <v>0</v>
      </c>
      <c r="AO234" s="4" t="n">
        <f aca="false">IF($B234=AO$1,1,0)</f>
        <v>0</v>
      </c>
      <c r="AP234" s="4" t="n">
        <f aca="false">IF($B234=AP$1,1,0)</f>
        <v>0</v>
      </c>
      <c r="AQ234" s="4" t="n">
        <f aca="false">IF($B234=AQ$1,1,0)</f>
        <v>0</v>
      </c>
      <c r="AR234" s="4" t="n">
        <f aca="false">IF($B234=AR$1,1,0)</f>
        <v>0</v>
      </c>
      <c r="AS234" s="4" t="n">
        <f aca="false">IF($B234=AS$1,1,0)</f>
        <v>0</v>
      </c>
      <c r="AT234" s="4" t="n">
        <f aca="false">IF($B234=AT$1,1,0)</f>
        <v>0</v>
      </c>
      <c r="BB234" s="4" t="n">
        <f aca="false">A234</f>
        <v>233</v>
      </c>
      <c r="BC234" s="7" t="n">
        <f aca="false">ABS($T234-$AX$2)+ABS($U234-$AY$2)+ABS($V234-$AZ$2)</f>
        <v>63950.2887323944</v>
      </c>
      <c r="BD234" s="7" t="n">
        <f aca="false">ABS($T234-$AX$3)+ABS($U234-$AY$3)+ABS($V234-$AZ$3)</f>
        <v>40118.6440677966</v>
      </c>
      <c r="BE234" s="7" t="n">
        <f aca="false">ABS($T234-$AX$4)+ABS($U234-$AY$4)+ABS($V234-$AZ$4)</f>
        <v>8986.88679245283</v>
      </c>
      <c r="BF234" s="7" t="n">
        <f aca="false">MIN(BC234:BE234)</f>
        <v>8986.88679245283</v>
      </c>
      <c r="BG234" s="4" t="n">
        <f aca="false">MATCH(BF234,BC234:BE234,0)</f>
        <v>3</v>
      </c>
      <c r="BH234" s="8" t="n">
        <v>3</v>
      </c>
      <c r="BI234" s="4" t="n">
        <f aca="false">IF(BG234=BH234,0,1)</f>
        <v>0</v>
      </c>
      <c r="BK234" s="8" t="n">
        <v>3</v>
      </c>
      <c r="BL234" s="8" t="n">
        <v>3</v>
      </c>
      <c r="BM234" s="8" t="n">
        <v>3</v>
      </c>
    </row>
    <row r="235" customFormat="false" ht="15" hidden="false" customHeight="false" outlineLevel="0" collapsed="false">
      <c r="A235" s="3" t="n">
        <v>234</v>
      </c>
      <c r="B235" s="3" t="s">
        <v>33</v>
      </c>
      <c r="C235" s="3" t="n">
        <v>1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5</v>
      </c>
      <c r="I235" s="3" t="n">
        <v>5</v>
      </c>
      <c r="J235" s="3" t="n">
        <v>5</v>
      </c>
      <c r="K235" s="3" t="n">
        <v>5</v>
      </c>
      <c r="L235" s="3" t="n">
        <v>5</v>
      </c>
      <c r="M235" s="3" t="n">
        <v>4</v>
      </c>
      <c r="N235" s="3" t="n">
        <v>4</v>
      </c>
      <c r="O235" s="3" t="n">
        <v>4</v>
      </c>
      <c r="P235" s="3" t="n">
        <v>4</v>
      </c>
      <c r="Q235" s="3" t="n">
        <v>5</v>
      </c>
      <c r="R235" s="3" t="n">
        <v>5</v>
      </c>
      <c r="S235" s="3" t="n">
        <v>5</v>
      </c>
      <c r="T235" s="3" t="n">
        <v>0</v>
      </c>
      <c r="U235" s="3" t="n">
        <v>52</v>
      </c>
      <c r="V235" s="3" t="n">
        <v>42532</v>
      </c>
      <c r="W235" s="3" t="n">
        <v>1</v>
      </c>
      <c r="X235" s="3" t="n">
        <v>3</v>
      </c>
      <c r="Y235" s="3" t="n">
        <v>2</v>
      </c>
      <c r="Z235" s="3" t="n">
        <v>1</v>
      </c>
      <c r="AA235" s="4" t="n">
        <f aca="false">IF($B235=AA$1,1,0)</f>
        <v>0</v>
      </c>
      <c r="AB235" s="4" t="n">
        <f aca="false">IF($B235=AB$1,1,0)</f>
        <v>0</v>
      </c>
      <c r="AC235" s="4" t="n">
        <f aca="false">IF($B235=AC$1,1,0)</f>
        <v>0</v>
      </c>
      <c r="AD235" s="4" t="n">
        <f aca="false">IF($B235=AD$1,1,0)</f>
        <v>0</v>
      </c>
      <c r="AE235" s="4" t="n">
        <f aca="false">IF($B235=AE$1,1,0)</f>
        <v>0</v>
      </c>
      <c r="AF235" s="4" t="n">
        <f aca="false">IF($B235=AF$1,1,0)</f>
        <v>0</v>
      </c>
      <c r="AG235" s="4" t="n">
        <f aca="false">IF($B235=AG$1,1,0)</f>
        <v>0</v>
      </c>
      <c r="AH235" s="4" t="n">
        <f aca="false">IF($B235=AH$1,1,0)</f>
        <v>1</v>
      </c>
      <c r="AI235" s="4" t="n">
        <f aca="false">IF($B235=AI$1,1,0)</f>
        <v>0</v>
      </c>
      <c r="AJ235" s="4" t="n">
        <f aca="false">IF($B235=AJ$1,1,0)</f>
        <v>0</v>
      </c>
      <c r="AK235" s="4" t="n">
        <f aca="false">IF($B235=AK$1,1,0)</f>
        <v>0</v>
      </c>
      <c r="AL235" s="4" t="n">
        <f aca="false">IF($B235=AL$1,1,0)</f>
        <v>0</v>
      </c>
      <c r="AM235" s="4" t="n">
        <f aca="false">IF($B235=AM$1,1,0)</f>
        <v>0</v>
      </c>
      <c r="AN235" s="4" t="n">
        <f aca="false">IF($B235=AN$1,1,0)</f>
        <v>0</v>
      </c>
      <c r="AO235" s="4" t="n">
        <f aca="false">IF($B235=AO$1,1,0)</f>
        <v>0</v>
      </c>
      <c r="AP235" s="4" t="n">
        <f aca="false">IF($B235=AP$1,1,0)</f>
        <v>0</v>
      </c>
      <c r="AQ235" s="4" t="n">
        <f aca="false">IF($B235=AQ$1,1,0)</f>
        <v>0</v>
      </c>
      <c r="AR235" s="4" t="n">
        <f aca="false">IF($B235=AR$1,1,0)</f>
        <v>0</v>
      </c>
      <c r="AS235" s="4" t="n">
        <f aca="false">IF($B235=AS$1,1,0)</f>
        <v>0</v>
      </c>
      <c r="AT235" s="4" t="n">
        <f aca="false">IF($B235=AT$1,1,0)</f>
        <v>0</v>
      </c>
      <c r="BB235" s="4" t="n">
        <f aca="false">A235</f>
        <v>234</v>
      </c>
      <c r="BC235" s="7" t="n">
        <f aca="false">ABS($T235-$AX$2)+ABS($U235-$AY$2)+ABS($V235-$AZ$2)</f>
        <v>19711.2887323944</v>
      </c>
      <c r="BD235" s="7" t="n">
        <f aca="false">ABS($T235-$AX$3)+ABS($U235-$AY$3)+ABS($V235-$AZ$3)</f>
        <v>4141.96610169492</v>
      </c>
      <c r="BE235" s="7" t="n">
        <f aca="false">ABS($T235-$AX$4)+ABS($U235-$AY$4)+ABS($V235-$AZ$4)</f>
        <v>35272.6037735849</v>
      </c>
      <c r="BF235" s="7" t="n">
        <f aca="false">MIN(BC235:BE235)</f>
        <v>4141.96610169492</v>
      </c>
      <c r="BG235" s="4" t="n">
        <f aca="false">MATCH(BF235,BC235:BE235,0)</f>
        <v>2</v>
      </c>
      <c r="BH235" s="8" t="n">
        <v>2</v>
      </c>
      <c r="BI235" s="4" t="n">
        <f aca="false">IF(BG235=BH235,0,1)</f>
        <v>0</v>
      </c>
      <c r="BK235" s="8" t="n">
        <v>2</v>
      </c>
      <c r="BL235" s="8" t="n">
        <v>2</v>
      </c>
      <c r="BM235" s="8" t="n">
        <v>2</v>
      </c>
    </row>
    <row r="236" customFormat="false" ht="15" hidden="false" customHeight="false" outlineLevel="0" collapsed="false">
      <c r="A236" s="3" t="n">
        <v>235</v>
      </c>
      <c r="B236" s="3" t="s">
        <v>33</v>
      </c>
      <c r="C236" s="3" t="n">
        <v>1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5</v>
      </c>
      <c r="I236" s="3" t="n">
        <v>4</v>
      </c>
      <c r="J236" s="3" t="n">
        <v>5</v>
      </c>
      <c r="K236" s="3" t="n">
        <v>5</v>
      </c>
      <c r="L236" s="3" t="n">
        <v>5</v>
      </c>
      <c r="M236" s="3" t="n">
        <v>4</v>
      </c>
      <c r="N236" s="3" t="n">
        <v>3</v>
      </c>
      <c r="O236" s="3" t="n">
        <v>3</v>
      </c>
      <c r="P236" s="3" t="n">
        <v>2</v>
      </c>
      <c r="Q236" s="3" t="n">
        <v>3</v>
      </c>
      <c r="R236" s="3" t="n">
        <v>4</v>
      </c>
      <c r="S236" s="3" t="n">
        <v>4</v>
      </c>
      <c r="T236" s="3" t="n">
        <v>0</v>
      </c>
      <c r="U236" s="3" t="n">
        <v>25</v>
      </c>
      <c r="V236" s="3" t="n">
        <v>17758</v>
      </c>
      <c r="W236" s="3" t="n">
        <v>2</v>
      </c>
      <c r="X236" s="3" t="n">
        <v>1</v>
      </c>
      <c r="Y236" s="3" t="n">
        <v>1</v>
      </c>
      <c r="Z236" s="3" t="n">
        <v>1</v>
      </c>
      <c r="AA236" s="4" t="n">
        <f aca="false">IF($B236=AA$1,1,0)</f>
        <v>0</v>
      </c>
      <c r="AB236" s="4" t="n">
        <f aca="false">IF($B236=AB$1,1,0)</f>
        <v>0</v>
      </c>
      <c r="AC236" s="4" t="n">
        <f aca="false">IF($B236=AC$1,1,0)</f>
        <v>0</v>
      </c>
      <c r="AD236" s="4" t="n">
        <f aca="false">IF($B236=AD$1,1,0)</f>
        <v>0</v>
      </c>
      <c r="AE236" s="4" t="n">
        <f aca="false">IF($B236=AE$1,1,0)</f>
        <v>0</v>
      </c>
      <c r="AF236" s="4" t="n">
        <f aca="false">IF($B236=AF$1,1,0)</f>
        <v>0</v>
      </c>
      <c r="AG236" s="4" t="n">
        <f aca="false">IF($B236=AG$1,1,0)</f>
        <v>0</v>
      </c>
      <c r="AH236" s="4" t="n">
        <f aca="false">IF($B236=AH$1,1,0)</f>
        <v>1</v>
      </c>
      <c r="AI236" s="4" t="n">
        <f aca="false">IF($B236=AI$1,1,0)</f>
        <v>0</v>
      </c>
      <c r="AJ236" s="4" t="n">
        <f aca="false">IF($B236=AJ$1,1,0)</f>
        <v>0</v>
      </c>
      <c r="AK236" s="4" t="n">
        <f aca="false">IF($B236=AK$1,1,0)</f>
        <v>0</v>
      </c>
      <c r="AL236" s="4" t="n">
        <f aca="false">IF($B236=AL$1,1,0)</f>
        <v>0</v>
      </c>
      <c r="AM236" s="4" t="n">
        <f aca="false">IF($B236=AM$1,1,0)</f>
        <v>0</v>
      </c>
      <c r="AN236" s="4" t="n">
        <f aca="false">IF($B236=AN$1,1,0)</f>
        <v>0</v>
      </c>
      <c r="AO236" s="4" t="n">
        <f aca="false">IF($B236=AO$1,1,0)</f>
        <v>0</v>
      </c>
      <c r="AP236" s="4" t="n">
        <f aca="false">IF($B236=AP$1,1,0)</f>
        <v>0</v>
      </c>
      <c r="AQ236" s="4" t="n">
        <f aca="false">IF($B236=AQ$1,1,0)</f>
        <v>0</v>
      </c>
      <c r="AR236" s="4" t="n">
        <f aca="false">IF($B236=AR$1,1,0)</f>
        <v>0</v>
      </c>
      <c r="AS236" s="4" t="n">
        <f aca="false">IF($B236=AS$1,1,0)</f>
        <v>0</v>
      </c>
      <c r="AT236" s="4" t="n">
        <f aca="false">IF($B236=AT$1,1,0)</f>
        <v>0</v>
      </c>
      <c r="BB236" s="4" t="n">
        <f aca="false">A236</f>
        <v>235</v>
      </c>
      <c r="BC236" s="7" t="n">
        <f aca="false">ABS($T236-$AX$2)+ABS($U236-$AY$2)+ABS($V236-$AZ$2)</f>
        <v>5090.14788732395</v>
      </c>
      <c r="BD236" s="7" t="n">
        <f aca="false">ABS($T236-$AX$3)+ABS($U236-$AY$3)+ABS($V236-$AZ$3)</f>
        <v>28921.7288135593</v>
      </c>
      <c r="BE236" s="7" t="n">
        <f aca="false">ABS($T236-$AX$4)+ABS($U236-$AY$4)+ABS($V236-$AZ$4)</f>
        <v>60053.641509434</v>
      </c>
      <c r="BF236" s="7" t="n">
        <f aca="false">MIN(BC236:BE236)</f>
        <v>5090.14788732395</v>
      </c>
      <c r="BG236" s="4" t="n">
        <f aca="false">MATCH(BF236,BC236:BE236,0)</f>
        <v>1</v>
      </c>
      <c r="BH236" s="8" t="n">
        <v>1</v>
      </c>
      <c r="BI236" s="4" t="n">
        <f aca="false">IF(BG236=BH236,0,1)</f>
        <v>0</v>
      </c>
      <c r="BK236" s="8" t="n">
        <v>1</v>
      </c>
      <c r="BL236" s="8" t="n">
        <v>1</v>
      </c>
      <c r="BM236" s="8" t="n">
        <v>1</v>
      </c>
    </row>
    <row r="237" customFormat="false" ht="15" hidden="false" customHeight="false" outlineLevel="0" collapsed="false">
      <c r="A237" s="3" t="n">
        <v>236</v>
      </c>
      <c r="B237" s="3" t="s">
        <v>36</v>
      </c>
      <c r="C237" s="3" t="n">
        <v>1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5</v>
      </c>
      <c r="I237" s="3" t="n">
        <v>4</v>
      </c>
      <c r="J237" s="3" t="n">
        <v>5</v>
      </c>
      <c r="K237" s="3" t="n">
        <v>5</v>
      </c>
      <c r="L237" s="3" t="n">
        <v>5</v>
      </c>
      <c r="M237" s="3" t="n">
        <v>5</v>
      </c>
      <c r="N237" s="3" t="n">
        <v>3</v>
      </c>
      <c r="O237" s="3" t="n">
        <v>3</v>
      </c>
      <c r="P237" s="3" t="n">
        <v>3</v>
      </c>
      <c r="Q237" s="3" t="n">
        <v>3</v>
      </c>
      <c r="R237" s="3" t="n">
        <v>3</v>
      </c>
      <c r="S237" s="3" t="n">
        <v>3</v>
      </c>
      <c r="T237" s="3" t="n">
        <v>0</v>
      </c>
      <c r="U237" s="3" t="n">
        <v>46</v>
      </c>
      <c r="V237" s="3" t="n">
        <v>48366</v>
      </c>
      <c r="W237" s="3" t="n">
        <v>3</v>
      </c>
      <c r="X237" s="3" t="n">
        <v>2</v>
      </c>
      <c r="Y237" s="3" t="n">
        <v>2</v>
      </c>
      <c r="Z237" s="3" t="n">
        <v>2</v>
      </c>
      <c r="AA237" s="4" t="n">
        <f aca="false">IF($B237=AA$1,1,0)</f>
        <v>0</v>
      </c>
      <c r="AB237" s="4" t="n">
        <f aca="false">IF($B237=AB$1,1,0)</f>
        <v>0</v>
      </c>
      <c r="AC237" s="4" t="n">
        <f aca="false">IF($B237=AC$1,1,0)</f>
        <v>0</v>
      </c>
      <c r="AD237" s="4" t="n">
        <f aca="false">IF($B237=AD$1,1,0)</f>
        <v>0</v>
      </c>
      <c r="AE237" s="4" t="n">
        <f aca="false">IF($B237=AE$1,1,0)</f>
        <v>0</v>
      </c>
      <c r="AF237" s="4" t="n">
        <f aca="false">IF($B237=AF$1,1,0)</f>
        <v>0</v>
      </c>
      <c r="AG237" s="4" t="n">
        <f aca="false">IF($B237=AG$1,1,0)</f>
        <v>0</v>
      </c>
      <c r="AH237" s="4" t="n">
        <f aca="false">IF($B237=AH$1,1,0)</f>
        <v>0</v>
      </c>
      <c r="AI237" s="4" t="n">
        <f aca="false">IF($B237=AI$1,1,0)</f>
        <v>0</v>
      </c>
      <c r="AJ237" s="4" t="n">
        <f aca="false">IF($B237=AJ$1,1,0)</f>
        <v>0</v>
      </c>
      <c r="AK237" s="4" t="n">
        <f aca="false">IF($B237=AK$1,1,0)</f>
        <v>1</v>
      </c>
      <c r="AL237" s="4" t="n">
        <f aca="false">IF($B237=AL$1,1,0)</f>
        <v>0</v>
      </c>
      <c r="AM237" s="4" t="n">
        <f aca="false">IF($B237=AM$1,1,0)</f>
        <v>0</v>
      </c>
      <c r="AN237" s="4" t="n">
        <f aca="false">IF($B237=AN$1,1,0)</f>
        <v>0</v>
      </c>
      <c r="AO237" s="4" t="n">
        <f aca="false">IF($B237=AO$1,1,0)</f>
        <v>0</v>
      </c>
      <c r="AP237" s="4" t="n">
        <f aca="false">IF($B237=AP$1,1,0)</f>
        <v>0</v>
      </c>
      <c r="AQ237" s="4" t="n">
        <f aca="false">IF($B237=AQ$1,1,0)</f>
        <v>0</v>
      </c>
      <c r="AR237" s="4" t="n">
        <f aca="false">IF($B237=AR$1,1,0)</f>
        <v>0</v>
      </c>
      <c r="AS237" s="4" t="n">
        <f aca="false">IF($B237=AS$1,1,0)</f>
        <v>0</v>
      </c>
      <c r="AT237" s="4" t="n">
        <f aca="false">IF($B237=AT$1,1,0)</f>
        <v>0</v>
      </c>
      <c r="BB237" s="4" t="n">
        <f aca="false">A237</f>
        <v>236</v>
      </c>
      <c r="BC237" s="7" t="n">
        <f aca="false">ABS($T237-$AX$2)+ABS($U237-$AY$2)+ABS($V237-$AZ$2)</f>
        <v>25539.2887323944</v>
      </c>
      <c r="BD237" s="7" t="n">
        <f aca="false">ABS($T237-$AX$3)+ABS($U237-$AY$3)+ABS($V237-$AZ$3)</f>
        <v>1707.64406779661</v>
      </c>
      <c r="BE237" s="7" t="n">
        <f aca="false">ABS($T237-$AX$4)+ABS($U237-$AY$4)+ABS($V237-$AZ$4)</f>
        <v>29432.6037735849</v>
      </c>
      <c r="BF237" s="7" t="n">
        <f aca="false">MIN(BC237:BE237)</f>
        <v>1707.64406779661</v>
      </c>
      <c r="BG237" s="4" t="n">
        <f aca="false">MATCH(BF237,BC237:BE237,0)</f>
        <v>2</v>
      </c>
      <c r="BH237" s="8" t="n">
        <v>2</v>
      </c>
      <c r="BI237" s="4" t="n">
        <f aca="false">IF(BG237=BH237,0,1)</f>
        <v>0</v>
      </c>
      <c r="BK237" s="8" t="n">
        <v>2</v>
      </c>
      <c r="BL237" s="8" t="n">
        <v>2</v>
      </c>
      <c r="BM237" s="8" t="n">
        <v>2</v>
      </c>
    </row>
    <row r="238" customFormat="false" ht="15" hidden="false" customHeight="false" outlineLevel="0" collapsed="false">
      <c r="A238" s="3" t="n">
        <v>237</v>
      </c>
      <c r="B238" s="3" t="s">
        <v>30</v>
      </c>
      <c r="C238" s="3" t="n">
        <v>1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4</v>
      </c>
      <c r="I238" s="3" t="n">
        <v>4</v>
      </c>
      <c r="J238" s="3" t="n">
        <v>5</v>
      </c>
      <c r="K238" s="3" t="n">
        <v>5</v>
      </c>
      <c r="L238" s="3" t="n">
        <v>5</v>
      </c>
      <c r="M238" s="3" t="n">
        <v>4</v>
      </c>
      <c r="N238" s="3" t="n">
        <v>3</v>
      </c>
      <c r="O238" s="3" t="n">
        <v>3</v>
      </c>
      <c r="P238" s="3" t="n">
        <v>4</v>
      </c>
      <c r="Q238" s="3" t="n">
        <v>5</v>
      </c>
      <c r="R238" s="3" t="n">
        <v>4</v>
      </c>
      <c r="S238" s="3" t="n">
        <v>2</v>
      </c>
      <c r="T238" s="3" t="n">
        <v>0</v>
      </c>
      <c r="U238" s="3" t="n">
        <v>31</v>
      </c>
      <c r="V238" s="3" t="n">
        <v>47694</v>
      </c>
      <c r="W238" s="3" t="n">
        <v>1</v>
      </c>
      <c r="X238" s="3" t="n">
        <v>4</v>
      </c>
      <c r="Y238" s="3" t="n">
        <v>2</v>
      </c>
      <c r="Z238" s="3" t="n">
        <v>1</v>
      </c>
      <c r="AA238" s="4" t="n">
        <f aca="false">IF($B238=AA$1,1,0)</f>
        <v>0</v>
      </c>
      <c r="AB238" s="4" t="n">
        <f aca="false">IF($B238=AB$1,1,0)</f>
        <v>0</v>
      </c>
      <c r="AC238" s="4" t="n">
        <f aca="false">IF($B238=AC$1,1,0)</f>
        <v>0</v>
      </c>
      <c r="AD238" s="4" t="n">
        <f aca="false">IF($B238=AD$1,1,0)</f>
        <v>0</v>
      </c>
      <c r="AE238" s="4" t="n">
        <f aca="false">IF($B238=AE$1,1,0)</f>
        <v>1</v>
      </c>
      <c r="AF238" s="4" t="n">
        <f aca="false">IF($B238=AF$1,1,0)</f>
        <v>0</v>
      </c>
      <c r="AG238" s="4" t="n">
        <f aca="false">IF($B238=AG$1,1,0)</f>
        <v>0</v>
      </c>
      <c r="AH238" s="4" t="n">
        <f aca="false">IF($B238=AH$1,1,0)</f>
        <v>0</v>
      </c>
      <c r="AI238" s="4" t="n">
        <f aca="false">IF($B238=AI$1,1,0)</f>
        <v>0</v>
      </c>
      <c r="AJ238" s="4" t="n">
        <f aca="false">IF($B238=AJ$1,1,0)</f>
        <v>0</v>
      </c>
      <c r="AK238" s="4" t="n">
        <f aca="false">IF($B238=AK$1,1,0)</f>
        <v>0</v>
      </c>
      <c r="AL238" s="4" t="n">
        <f aca="false">IF($B238=AL$1,1,0)</f>
        <v>0</v>
      </c>
      <c r="AM238" s="4" t="n">
        <f aca="false">IF($B238=AM$1,1,0)</f>
        <v>0</v>
      </c>
      <c r="AN238" s="4" t="n">
        <f aca="false">IF($B238=AN$1,1,0)</f>
        <v>0</v>
      </c>
      <c r="AO238" s="4" t="n">
        <f aca="false">IF($B238=AO$1,1,0)</f>
        <v>0</v>
      </c>
      <c r="AP238" s="4" t="n">
        <f aca="false">IF($B238=AP$1,1,0)</f>
        <v>0</v>
      </c>
      <c r="AQ238" s="4" t="n">
        <f aca="false">IF($B238=AQ$1,1,0)</f>
        <v>0</v>
      </c>
      <c r="AR238" s="4" t="n">
        <f aca="false">IF($B238=AR$1,1,0)</f>
        <v>0</v>
      </c>
      <c r="AS238" s="4" t="n">
        <f aca="false">IF($B238=AS$1,1,0)</f>
        <v>0</v>
      </c>
      <c r="AT238" s="4" t="n">
        <f aca="false">IF($B238=AT$1,1,0)</f>
        <v>0</v>
      </c>
      <c r="BB238" s="4" t="n">
        <f aca="false">A238</f>
        <v>237</v>
      </c>
      <c r="BC238" s="7" t="n">
        <f aca="false">ABS($T238-$AX$2)+ABS($U238-$AY$2)+ABS($V238-$AZ$2)</f>
        <v>24867.7676056338</v>
      </c>
      <c r="BD238" s="7" t="n">
        <f aca="false">ABS($T238-$AX$3)+ABS($U238-$AY$3)+ABS($V238-$AZ$3)</f>
        <v>1041.40677966102</v>
      </c>
      <c r="BE238" s="7" t="n">
        <f aca="false">ABS($T238-$AX$4)+ABS($U238-$AY$4)+ABS($V238-$AZ$4)</f>
        <v>30111.641509434</v>
      </c>
      <c r="BF238" s="7" t="n">
        <f aca="false">MIN(BC238:BE238)</f>
        <v>1041.40677966102</v>
      </c>
      <c r="BG238" s="4" t="n">
        <f aca="false">MATCH(BF238,BC238:BE238,0)</f>
        <v>2</v>
      </c>
      <c r="BH238" s="8" t="n">
        <v>2</v>
      </c>
      <c r="BI238" s="4" t="n">
        <f aca="false">IF(BG238=BH238,0,1)</f>
        <v>0</v>
      </c>
      <c r="BK238" s="8" t="n">
        <v>2</v>
      </c>
      <c r="BL238" s="8" t="n">
        <v>2</v>
      </c>
      <c r="BM238" s="8" t="n">
        <v>2</v>
      </c>
    </row>
    <row r="239" customFormat="false" ht="15" hidden="false" customHeight="false" outlineLevel="0" collapsed="false">
      <c r="A239" s="3" t="n">
        <v>238</v>
      </c>
      <c r="B239" s="3" t="s">
        <v>38</v>
      </c>
      <c r="C239" s="3" t="n">
        <v>0</v>
      </c>
      <c r="D239" s="3" t="n">
        <v>0</v>
      </c>
      <c r="E239" s="3" t="n">
        <v>1</v>
      </c>
      <c r="F239" s="3" t="n">
        <v>0</v>
      </c>
      <c r="G239" s="3" t="n">
        <v>2</v>
      </c>
      <c r="H239" s="3" t="n">
        <v>5</v>
      </c>
      <c r="I239" s="3" t="n">
        <v>4</v>
      </c>
      <c r="J239" s="3" t="n">
        <v>5</v>
      </c>
      <c r="K239" s="3" t="n">
        <v>4</v>
      </c>
      <c r="L239" s="3" t="n">
        <v>5</v>
      </c>
      <c r="M239" s="3" t="n">
        <v>4</v>
      </c>
      <c r="N239" s="3" t="n">
        <v>4</v>
      </c>
      <c r="O239" s="3" t="n">
        <v>4</v>
      </c>
      <c r="P239" s="3" t="n">
        <v>4</v>
      </c>
      <c r="Q239" s="3" t="n">
        <v>5</v>
      </c>
      <c r="R239" s="3" t="n">
        <v>5</v>
      </c>
      <c r="S239" s="3" t="n">
        <v>4</v>
      </c>
      <c r="T239" s="3" t="n">
        <v>1</v>
      </c>
      <c r="U239" s="3" t="n">
        <v>33</v>
      </c>
      <c r="V239" s="3" t="n">
        <v>37626</v>
      </c>
      <c r="W239" s="3" t="n">
        <v>3</v>
      </c>
      <c r="X239" s="3" t="n">
        <v>2</v>
      </c>
      <c r="Y239" s="3" t="n">
        <v>1</v>
      </c>
      <c r="Z239" s="3" t="n">
        <v>2</v>
      </c>
      <c r="AA239" s="4" t="n">
        <f aca="false">IF($B239=AA$1,1,0)</f>
        <v>0</v>
      </c>
      <c r="AB239" s="4" t="n">
        <f aca="false">IF($B239=AB$1,1,0)</f>
        <v>0</v>
      </c>
      <c r="AC239" s="4" t="n">
        <f aca="false">IF($B239=AC$1,1,0)</f>
        <v>0</v>
      </c>
      <c r="AD239" s="4" t="n">
        <f aca="false">IF($B239=AD$1,1,0)</f>
        <v>0</v>
      </c>
      <c r="AE239" s="4" t="n">
        <f aca="false">IF($B239=AE$1,1,0)</f>
        <v>0</v>
      </c>
      <c r="AF239" s="4" t="n">
        <f aca="false">IF($B239=AF$1,1,0)</f>
        <v>0</v>
      </c>
      <c r="AG239" s="4" t="n">
        <f aca="false">IF($B239=AG$1,1,0)</f>
        <v>0</v>
      </c>
      <c r="AH239" s="4" t="n">
        <f aca="false">IF($B239=AH$1,1,0)</f>
        <v>0</v>
      </c>
      <c r="AI239" s="4" t="n">
        <f aca="false">IF($B239=AI$1,1,0)</f>
        <v>0</v>
      </c>
      <c r="AJ239" s="4" t="n">
        <f aca="false">IF($B239=AJ$1,1,0)</f>
        <v>0</v>
      </c>
      <c r="AK239" s="4" t="n">
        <f aca="false">IF($B239=AK$1,1,0)</f>
        <v>0</v>
      </c>
      <c r="AL239" s="4" t="n">
        <f aca="false">IF($B239=AL$1,1,0)</f>
        <v>0</v>
      </c>
      <c r="AM239" s="4" t="n">
        <f aca="false">IF($B239=AM$1,1,0)</f>
        <v>1</v>
      </c>
      <c r="AN239" s="4" t="n">
        <f aca="false">IF($B239=AN$1,1,0)</f>
        <v>0</v>
      </c>
      <c r="AO239" s="4" t="n">
        <f aca="false">IF($B239=AO$1,1,0)</f>
        <v>0</v>
      </c>
      <c r="AP239" s="4" t="n">
        <f aca="false">IF($B239=AP$1,1,0)</f>
        <v>0</v>
      </c>
      <c r="AQ239" s="4" t="n">
        <f aca="false">IF($B239=AQ$1,1,0)</f>
        <v>0</v>
      </c>
      <c r="AR239" s="4" t="n">
        <f aca="false">IF($B239=AR$1,1,0)</f>
        <v>0</v>
      </c>
      <c r="AS239" s="4" t="n">
        <f aca="false">IF($B239=AS$1,1,0)</f>
        <v>0</v>
      </c>
      <c r="AT239" s="4" t="n">
        <f aca="false">IF($B239=AT$1,1,0)</f>
        <v>0</v>
      </c>
      <c r="BB239" s="4" t="n">
        <f aca="false">A239</f>
        <v>238</v>
      </c>
      <c r="BC239" s="7" t="n">
        <f aca="false">ABS($T239-$AX$2)+ABS($U239-$AY$2)+ABS($V239-$AZ$2)</f>
        <v>14798.3309859155</v>
      </c>
      <c r="BD239" s="7" t="n">
        <f aca="false">ABS($T239-$AX$3)+ABS($U239-$AY$3)+ABS($V239-$AZ$3)</f>
        <v>9046.35593220339</v>
      </c>
      <c r="BE239" s="7" t="n">
        <f aca="false">ABS($T239-$AX$4)+ABS($U239-$AY$4)+ABS($V239-$AZ$4)</f>
        <v>40178.1132075472</v>
      </c>
      <c r="BF239" s="7" t="n">
        <f aca="false">MIN(BC239:BE239)</f>
        <v>9046.35593220339</v>
      </c>
      <c r="BG239" s="4" t="n">
        <f aca="false">MATCH(BF239,BC239:BE239,0)</f>
        <v>2</v>
      </c>
      <c r="BH239" s="8" t="n">
        <v>2</v>
      </c>
      <c r="BI239" s="4" t="n">
        <f aca="false">IF(BG239=BH239,0,1)</f>
        <v>0</v>
      </c>
      <c r="BK239" s="8" t="n">
        <v>2</v>
      </c>
      <c r="BL239" s="8" t="n">
        <v>2</v>
      </c>
      <c r="BM239" s="8" t="n">
        <v>2</v>
      </c>
    </row>
    <row r="240" customFormat="false" ht="15" hidden="false" customHeight="false" outlineLevel="0" collapsed="false">
      <c r="A240" s="3" t="n">
        <v>239</v>
      </c>
      <c r="B240" s="3" t="s">
        <v>38</v>
      </c>
      <c r="C240" s="3" t="n">
        <v>1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2</v>
      </c>
      <c r="I240" s="3" t="n">
        <v>5</v>
      </c>
      <c r="J240" s="3" t="n">
        <v>5</v>
      </c>
      <c r="K240" s="3" t="n">
        <v>5</v>
      </c>
      <c r="L240" s="3" t="n">
        <v>5</v>
      </c>
      <c r="M240" s="3" t="n">
        <v>4</v>
      </c>
      <c r="N240" s="3" t="n">
        <v>5</v>
      </c>
      <c r="O240" s="3" t="n">
        <v>5</v>
      </c>
      <c r="P240" s="3" t="n">
        <v>3</v>
      </c>
      <c r="Q240" s="3" t="n">
        <v>5</v>
      </c>
      <c r="R240" s="3" t="n">
        <v>5</v>
      </c>
      <c r="S240" s="3" t="n">
        <v>4</v>
      </c>
      <c r="T240" s="3" t="n">
        <v>0</v>
      </c>
      <c r="U240" s="3" t="n">
        <v>34</v>
      </c>
      <c r="V240" s="3" t="n">
        <v>61260</v>
      </c>
      <c r="W240" s="3" t="n">
        <v>2</v>
      </c>
      <c r="X240" s="3" t="n">
        <v>2</v>
      </c>
      <c r="Y240" s="3" t="n">
        <v>3</v>
      </c>
      <c r="Z240" s="3" t="n">
        <v>1</v>
      </c>
      <c r="AA240" s="4" t="n">
        <f aca="false">IF($B240=AA$1,1,0)</f>
        <v>0</v>
      </c>
      <c r="AB240" s="4" t="n">
        <f aca="false">IF($B240=AB$1,1,0)</f>
        <v>0</v>
      </c>
      <c r="AC240" s="4" t="n">
        <f aca="false">IF($B240=AC$1,1,0)</f>
        <v>0</v>
      </c>
      <c r="AD240" s="4" t="n">
        <f aca="false">IF($B240=AD$1,1,0)</f>
        <v>0</v>
      </c>
      <c r="AE240" s="4" t="n">
        <f aca="false">IF($B240=AE$1,1,0)</f>
        <v>0</v>
      </c>
      <c r="AF240" s="4" t="n">
        <f aca="false">IF($B240=AF$1,1,0)</f>
        <v>0</v>
      </c>
      <c r="AG240" s="4" t="n">
        <f aca="false">IF($B240=AG$1,1,0)</f>
        <v>0</v>
      </c>
      <c r="AH240" s="4" t="n">
        <f aca="false">IF($B240=AH$1,1,0)</f>
        <v>0</v>
      </c>
      <c r="AI240" s="4" t="n">
        <f aca="false">IF($B240=AI$1,1,0)</f>
        <v>0</v>
      </c>
      <c r="AJ240" s="4" t="n">
        <f aca="false">IF($B240=AJ$1,1,0)</f>
        <v>0</v>
      </c>
      <c r="AK240" s="4" t="n">
        <f aca="false">IF($B240=AK$1,1,0)</f>
        <v>0</v>
      </c>
      <c r="AL240" s="4" t="n">
        <f aca="false">IF($B240=AL$1,1,0)</f>
        <v>0</v>
      </c>
      <c r="AM240" s="4" t="n">
        <f aca="false">IF($B240=AM$1,1,0)</f>
        <v>1</v>
      </c>
      <c r="AN240" s="4" t="n">
        <f aca="false">IF($B240=AN$1,1,0)</f>
        <v>0</v>
      </c>
      <c r="AO240" s="4" t="n">
        <f aca="false">IF($B240=AO$1,1,0)</f>
        <v>0</v>
      </c>
      <c r="AP240" s="4" t="n">
        <f aca="false">IF($B240=AP$1,1,0)</f>
        <v>0</v>
      </c>
      <c r="AQ240" s="4" t="n">
        <f aca="false">IF($B240=AQ$1,1,0)</f>
        <v>0</v>
      </c>
      <c r="AR240" s="4" t="n">
        <f aca="false">IF($B240=AR$1,1,0)</f>
        <v>0</v>
      </c>
      <c r="AS240" s="4" t="n">
        <f aca="false">IF($B240=AS$1,1,0)</f>
        <v>0</v>
      </c>
      <c r="AT240" s="4" t="n">
        <f aca="false">IF($B240=AT$1,1,0)</f>
        <v>0</v>
      </c>
      <c r="BB240" s="4" t="n">
        <f aca="false">A240</f>
        <v>239</v>
      </c>
      <c r="BC240" s="7" t="n">
        <f aca="false">ABS($T240-$AX$2)+ABS($U240-$AY$2)+ABS($V240-$AZ$2)</f>
        <v>38430.7676056338</v>
      </c>
      <c r="BD240" s="7" t="n">
        <f aca="false">ABS($T240-$AX$3)+ABS($U240-$AY$3)+ABS($V240-$AZ$3)</f>
        <v>14604.406779661</v>
      </c>
      <c r="BE240" s="7" t="n">
        <f aca="false">ABS($T240-$AX$4)+ABS($U240-$AY$4)+ABS($V240-$AZ$4)</f>
        <v>16542.641509434</v>
      </c>
      <c r="BF240" s="7" t="n">
        <f aca="false">MIN(BC240:BE240)</f>
        <v>14604.406779661</v>
      </c>
      <c r="BG240" s="4" t="n">
        <f aca="false">MATCH(BF240,BC240:BE240,0)</f>
        <v>2</v>
      </c>
      <c r="BH240" s="8" t="n">
        <v>2</v>
      </c>
      <c r="BI240" s="4" t="n">
        <f aca="false">IF(BG240=BH240,0,1)</f>
        <v>0</v>
      </c>
      <c r="BK240" s="8" t="n">
        <v>2</v>
      </c>
      <c r="BL240" s="8" t="n">
        <v>2</v>
      </c>
      <c r="BM240" s="8" t="n">
        <v>2</v>
      </c>
    </row>
    <row r="241" customFormat="false" ht="15" hidden="false" customHeight="false" outlineLevel="0" collapsed="false">
      <c r="A241" s="3" t="n">
        <v>240</v>
      </c>
      <c r="B241" s="3" t="s">
        <v>38</v>
      </c>
      <c r="C241" s="3" t="n">
        <v>1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5</v>
      </c>
      <c r="I241" s="3" t="n">
        <v>5</v>
      </c>
      <c r="J241" s="3" t="n">
        <v>5</v>
      </c>
      <c r="K241" s="3" t="n">
        <v>5</v>
      </c>
      <c r="L241" s="3" t="n">
        <v>5</v>
      </c>
      <c r="M241" s="3" t="n">
        <v>5</v>
      </c>
      <c r="N241" s="3" t="n">
        <v>5</v>
      </c>
      <c r="O241" s="3" t="n">
        <v>5</v>
      </c>
      <c r="P241" s="3" t="n">
        <v>5</v>
      </c>
      <c r="Q241" s="3" t="n">
        <v>5</v>
      </c>
      <c r="R241" s="3" t="n">
        <v>5</v>
      </c>
      <c r="S241" s="3" t="n">
        <v>5</v>
      </c>
      <c r="T241" s="3" t="n">
        <v>1</v>
      </c>
      <c r="U241" s="3" t="n">
        <v>23</v>
      </c>
      <c r="V241" s="3" t="n">
        <v>20712</v>
      </c>
      <c r="W241" s="3" t="n">
        <v>1</v>
      </c>
      <c r="X241" s="3" t="n">
        <v>3</v>
      </c>
      <c r="Y241" s="3" t="n">
        <v>1</v>
      </c>
      <c r="Z241" s="3" t="n">
        <v>1</v>
      </c>
      <c r="AA241" s="4" t="n">
        <f aca="false">IF($B241=AA$1,1,0)</f>
        <v>0</v>
      </c>
      <c r="AB241" s="4" t="n">
        <f aca="false">IF($B241=AB$1,1,0)</f>
        <v>0</v>
      </c>
      <c r="AC241" s="4" t="n">
        <f aca="false">IF($B241=AC$1,1,0)</f>
        <v>0</v>
      </c>
      <c r="AD241" s="4" t="n">
        <f aca="false">IF($B241=AD$1,1,0)</f>
        <v>0</v>
      </c>
      <c r="AE241" s="4" t="n">
        <f aca="false">IF($B241=AE$1,1,0)</f>
        <v>0</v>
      </c>
      <c r="AF241" s="4" t="n">
        <f aca="false">IF($B241=AF$1,1,0)</f>
        <v>0</v>
      </c>
      <c r="AG241" s="4" t="n">
        <f aca="false">IF($B241=AG$1,1,0)</f>
        <v>0</v>
      </c>
      <c r="AH241" s="4" t="n">
        <f aca="false">IF($B241=AH$1,1,0)</f>
        <v>0</v>
      </c>
      <c r="AI241" s="4" t="n">
        <f aca="false">IF($B241=AI$1,1,0)</f>
        <v>0</v>
      </c>
      <c r="AJ241" s="4" t="n">
        <f aca="false">IF($B241=AJ$1,1,0)</f>
        <v>0</v>
      </c>
      <c r="AK241" s="4" t="n">
        <f aca="false">IF($B241=AK$1,1,0)</f>
        <v>0</v>
      </c>
      <c r="AL241" s="4" t="n">
        <f aca="false">IF($B241=AL$1,1,0)</f>
        <v>0</v>
      </c>
      <c r="AM241" s="4" t="n">
        <f aca="false">IF($B241=AM$1,1,0)</f>
        <v>1</v>
      </c>
      <c r="AN241" s="4" t="n">
        <f aca="false">IF($B241=AN$1,1,0)</f>
        <v>0</v>
      </c>
      <c r="AO241" s="4" t="n">
        <f aca="false">IF($B241=AO$1,1,0)</f>
        <v>0</v>
      </c>
      <c r="AP241" s="4" t="n">
        <f aca="false">IF($B241=AP$1,1,0)</f>
        <v>0</v>
      </c>
      <c r="AQ241" s="4" t="n">
        <f aca="false">IF($B241=AQ$1,1,0)</f>
        <v>0</v>
      </c>
      <c r="AR241" s="4" t="n">
        <f aca="false">IF($B241=AR$1,1,0)</f>
        <v>0</v>
      </c>
      <c r="AS241" s="4" t="n">
        <f aca="false">IF($B241=AS$1,1,0)</f>
        <v>0</v>
      </c>
      <c r="AT241" s="4" t="n">
        <f aca="false">IF($B241=AT$1,1,0)</f>
        <v>0</v>
      </c>
      <c r="BB241" s="4" t="n">
        <f aca="false">A241</f>
        <v>240</v>
      </c>
      <c r="BC241" s="7" t="n">
        <f aca="false">ABS($T241-$AX$2)+ABS($U241-$AY$2)+ABS($V241-$AZ$2)</f>
        <v>2138.71126760564</v>
      </c>
      <c r="BD241" s="7" t="n">
        <f aca="false">ABS($T241-$AX$3)+ABS($U241-$AY$3)+ABS($V241-$AZ$3)</f>
        <v>25970.3559322034</v>
      </c>
      <c r="BE241" s="7" t="n">
        <f aca="false">ABS($T241-$AX$4)+ABS($U241-$AY$4)+ABS($V241-$AZ$4)</f>
        <v>57102.1132075472</v>
      </c>
      <c r="BF241" s="7" t="n">
        <f aca="false">MIN(BC241:BE241)</f>
        <v>2138.71126760564</v>
      </c>
      <c r="BG241" s="4" t="n">
        <f aca="false">MATCH(BF241,BC241:BE241,0)</f>
        <v>1</v>
      </c>
      <c r="BH241" s="8" t="n">
        <v>1</v>
      </c>
      <c r="BI241" s="4" t="n">
        <f aca="false">IF(BG241=BH241,0,1)</f>
        <v>0</v>
      </c>
      <c r="BK241" s="8" t="n">
        <v>1</v>
      </c>
      <c r="BL241" s="8" t="n">
        <v>1</v>
      </c>
      <c r="BM241" s="8" t="n">
        <v>1</v>
      </c>
    </row>
    <row r="242" customFormat="false" ht="15" hidden="false" customHeight="false" outlineLevel="0" collapsed="false">
      <c r="A242" s="3" t="n">
        <v>241</v>
      </c>
      <c r="B242" s="3" t="s">
        <v>30</v>
      </c>
      <c r="C242" s="3" t="n">
        <v>1</v>
      </c>
      <c r="D242" s="3" t="n">
        <v>1</v>
      </c>
      <c r="E242" s="3" t="n">
        <v>0</v>
      </c>
      <c r="F242" s="3" t="n">
        <v>0</v>
      </c>
      <c r="G242" s="3" t="n">
        <v>0</v>
      </c>
      <c r="H242" s="3" t="n">
        <v>5</v>
      </c>
      <c r="I242" s="3" t="n">
        <v>5</v>
      </c>
      <c r="J242" s="3" t="n">
        <v>5</v>
      </c>
      <c r="K242" s="3" t="n">
        <v>5</v>
      </c>
      <c r="L242" s="3" t="n">
        <v>5</v>
      </c>
      <c r="M242" s="3" t="n">
        <v>5</v>
      </c>
      <c r="N242" s="3" t="n">
        <v>5</v>
      </c>
      <c r="O242" s="3" t="n">
        <v>5</v>
      </c>
      <c r="P242" s="3" t="n">
        <v>5</v>
      </c>
      <c r="Q242" s="3" t="n">
        <v>5</v>
      </c>
      <c r="R242" s="3" t="n">
        <v>5</v>
      </c>
      <c r="S242" s="3" t="n">
        <v>5</v>
      </c>
      <c r="T242" s="3" t="n">
        <v>0</v>
      </c>
      <c r="U242" s="3" t="n">
        <v>22</v>
      </c>
      <c r="V242" s="3" t="n">
        <v>19033</v>
      </c>
      <c r="W242" s="3" t="n">
        <v>2</v>
      </c>
      <c r="X242" s="3" t="n">
        <v>3</v>
      </c>
      <c r="Y242" s="3" t="n">
        <v>3</v>
      </c>
      <c r="Z242" s="3" t="n">
        <v>1</v>
      </c>
      <c r="AA242" s="4" t="n">
        <f aca="false">IF($B242=AA$1,1,0)</f>
        <v>0</v>
      </c>
      <c r="AB242" s="4" t="n">
        <f aca="false">IF($B242=AB$1,1,0)</f>
        <v>0</v>
      </c>
      <c r="AC242" s="4" t="n">
        <f aca="false">IF($B242=AC$1,1,0)</f>
        <v>0</v>
      </c>
      <c r="AD242" s="4" t="n">
        <f aca="false">IF($B242=AD$1,1,0)</f>
        <v>0</v>
      </c>
      <c r="AE242" s="4" t="n">
        <f aca="false">IF($B242=AE$1,1,0)</f>
        <v>1</v>
      </c>
      <c r="AF242" s="4" t="n">
        <f aca="false">IF($B242=AF$1,1,0)</f>
        <v>0</v>
      </c>
      <c r="AG242" s="4" t="n">
        <f aca="false">IF($B242=AG$1,1,0)</f>
        <v>0</v>
      </c>
      <c r="AH242" s="4" t="n">
        <f aca="false">IF($B242=AH$1,1,0)</f>
        <v>0</v>
      </c>
      <c r="AI242" s="4" t="n">
        <f aca="false">IF($B242=AI$1,1,0)</f>
        <v>0</v>
      </c>
      <c r="AJ242" s="4" t="n">
        <f aca="false">IF($B242=AJ$1,1,0)</f>
        <v>0</v>
      </c>
      <c r="AK242" s="4" t="n">
        <f aca="false">IF($B242=AK$1,1,0)</f>
        <v>0</v>
      </c>
      <c r="AL242" s="4" t="n">
        <f aca="false">IF($B242=AL$1,1,0)</f>
        <v>0</v>
      </c>
      <c r="AM242" s="4" t="n">
        <f aca="false">IF($B242=AM$1,1,0)</f>
        <v>0</v>
      </c>
      <c r="AN242" s="4" t="n">
        <f aca="false">IF($B242=AN$1,1,0)</f>
        <v>0</v>
      </c>
      <c r="AO242" s="4" t="n">
        <f aca="false">IF($B242=AO$1,1,0)</f>
        <v>0</v>
      </c>
      <c r="AP242" s="4" t="n">
        <f aca="false">IF($B242=AP$1,1,0)</f>
        <v>0</v>
      </c>
      <c r="AQ242" s="4" t="n">
        <f aca="false">IF($B242=AQ$1,1,0)</f>
        <v>0</v>
      </c>
      <c r="AR242" s="4" t="n">
        <f aca="false">IF($B242=AR$1,1,0)</f>
        <v>0</v>
      </c>
      <c r="AS242" s="4" t="n">
        <f aca="false">IF($B242=AS$1,1,0)</f>
        <v>0</v>
      </c>
      <c r="AT242" s="4" t="n">
        <f aca="false">IF($B242=AT$1,1,0)</f>
        <v>0</v>
      </c>
      <c r="BB242" s="4" t="n">
        <f aca="false">A242</f>
        <v>241</v>
      </c>
      <c r="BC242" s="7" t="n">
        <f aca="false">ABS($T242-$AX$2)+ABS($U242-$AY$2)+ABS($V242-$AZ$2)</f>
        <v>3818.14788732395</v>
      </c>
      <c r="BD242" s="7" t="n">
        <f aca="false">ABS($T242-$AX$3)+ABS($U242-$AY$3)+ABS($V242-$AZ$3)</f>
        <v>27649.7288135593</v>
      </c>
      <c r="BE242" s="7" t="n">
        <f aca="false">ABS($T242-$AX$4)+ABS($U242-$AY$4)+ABS($V242-$AZ$4)</f>
        <v>58781.641509434</v>
      </c>
      <c r="BF242" s="7" t="n">
        <f aca="false">MIN(BC242:BE242)</f>
        <v>3818.14788732395</v>
      </c>
      <c r="BG242" s="4" t="n">
        <f aca="false">MATCH(BF242,BC242:BE242,0)</f>
        <v>1</v>
      </c>
      <c r="BH242" s="8" t="n">
        <v>1</v>
      </c>
      <c r="BI242" s="4" t="n">
        <f aca="false">IF(BG242=BH242,0,1)</f>
        <v>0</v>
      </c>
      <c r="BK242" s="8" t="n">
        <v>1</v>
      </c>
      <c r="BL242" s="8" t="n">
        <v>1</v>
      </c>
      <c r="BM242" s="8" t="n">
        <v>1</v>
      </c>
    </row>
    <row r="243" customFormat="false" ht="15" hidden="false" customHeight="false" outlineLevel="0" collapsed="false">
      <c r="A243" s="3" t="n">
        <v>242</v>
      </c>
      <c r="B243" s="3" t="s">
        <v>30</v>
      </c>
      <c r="C243" s="3" t="n">
        <v>1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5</v>
      </c>
      <c r="I243" s="3" t="n">
        <v>3</v>
      </c>
      <c r="J243" s="3" t="n">
        <v>3</v>
      </c>
      <c r="K243" s="3" t="n">
        <v>3</v>
      </c>
      <c r="L243" s="3" t="n">
        <v>5</v>
      </c>
      <c r="M243" s="3" t="n">
        <v>3</v>
      </c>
      <c r="N243" s="3" t="n">
        <v>4</v>
      </c>
      <c r="O243" s="3" t="n">
        <v>3</v>
      </c>
      <c r="P243" s="3" t="n">
        <v>3</v>
      </c>
      <c r="Q243" s="3" t="n">
        <v>3</v>
      </c>
      <c r="R243" s="3" t="n">
        <v>4</v>
      </c>
      <c r="S243" s="3" t="n">
        <v>2</v>
      </c>
      <c r="T243" s="3" t="n">
        <v>0</v>
      </c>
      <c r="U243" s="3" t="n">
        <v>28</v>
      </c>
      <c r="V243" s="3" t="n">
        <v>59410</v>
      </c>
      <c r="W243" s="3" t="n">
        <v>1</v>
      </c>
      <c r="X243" s="3" t="n">
        <v>3</v>
      </c>
      <c r="Y243" s="3" t="n">
        <v>1</v>
      </c>
      <c r="Z243" s="3" t="n">
        <v>2</v>
      </c>
      <c r="AA243" s="4" t="n">
        <f aca="false">IF($B243=AA$1,1,0)</f>
        <v>0</v>
      </c>
      <c r="AB243" s="4" t="n">
        <f aca="false">IF($B243=AB$1,1,0)</f>
        <v>0</v>
      </c>
      <c r="AC243" s="4" t="n">
        <f aca="false">IF($B243=AC$1,1,0)</f>
        <v>0</v>
      </c>
      <c r="AD243" s="4" t="n">
        <f aca="false">IF($B243=AD$1,1,0)</f>
        <v>0</v>
      </c>
      <c r="AE243" s="4" t="n">
        <f aca="false">IF($B243=AE$1,1,0)</f>
        <v>1</v>
      </c>
      <c r="AF243" s="4" t="n">
        <f aca="false">IF($B243=AF$1,1,0)</f>
        <v>0</v>
      </c>
      <c r="AG243" s="4" t="n">
        <f aca="false">IF($B243=AG$1,1,0)</f>
        <v>0</v>
      </c>
      <c r="AH243" s="4" t="n">
        <f aca="false">IF($B243=AH$1,1,0)</f>
        <v>0</v>
      </c>
      <c r="AI243" s="4" t="n">
        <f aca="false">IF($B243=AI$1,1,0)</f>
        <v>0</v>
      </c>
      <c r="AJ243" s="4" t="n">
        <f aca="false">IF($B243=AJ$1,1,0)</f>
        <v>0</v>
      </c>
      <c r="AK243" s="4" t="n">
        <f aca="false">IF($B243=AK$1,1,0)</f>
        <v>0</v>
      </c>
      <c r="AL243" s="4" t="n">
        <f aca="false">IF($B243=AL$1,1,0)</f>
        <v>0</v>
      </c>
      <c r="AM243" s="4" t="n">
        <f aca="false">IF($B243=AM$1,1,0)</f>
        <v>0</v>
      </c>
      <c r="AN243" s="4" t="n">
        <f aca="false">IF($B243=AN$1,1,0)</f>
        <v>0</v>
      </c>
      <c r="AO243" s="4" t="n">
        <f aca="false">IF($B243=AO$1,1,0)</f>
        <v>0</v>
      </c>
      <c r="AP243" s="4" t="n">
        <f aca="false">IF($B243=AP$1,1,0)</f>
        <v>0</v>
      </c>
      <c r="AQ243" s="4" t="n">
        <f aca="false">IF($B243=AQ$1,1,0)</f>
        <v>0</v>
      </c>
      <c r="AR243" s="4" t="n">
        <f aca="false">IF($B243=AR$1,1,0)</f>
        <v>0</v>
      </c>
      <c r="AS243" s="4" t="n">
        <f aca="false">IF($B243=AS$1,1,0)</f>
        <v>0</v>
      </c>
      <c r="AT243" s="4" t="n">
        <f aca="false">IF($B243=AT$1,1,0)</f>
        <v>0</v>
      </c>
      <c r="BB243" s="4" t="n">
        <f aca="false">A243</f>
        <v>242</v>
      </c>
      <c r="BC243" s="7" t="n">
        <f aca="false">ABS($T243-$AX$2)+ABS($U243-$AY$2)+ABS($V243-$AZ$2)</f>
        <v>36586.7676056338</v>
      </c>
      <c r="BD243" s="7" t="n">
        <f aca="false">ABS($T243-$AX$3)+ABS($U243-$AY$3)+ABS($V243-$AZ$3)</f>
        <v>12760.406779661</v>
      </c>
      <c r="BE243" s="7" t="n">
        <f aca="false">ABS($T243-$AX$4)+ABS($U243-$AY$4)+ABS($V243-$AZ$4)</f>
        <v>18398.641509434</v>
      </c>
      <c r="BF243" s="7" t="n">
        <f aca="false">MIN(BC243:BE243)</f>
        <v>12760.406779661</v>
      </c>
      <c r="BG243" s="4" t="n">
        <f aca="false">MATCH(BF243,BC243:BE243,0)</f>
        <v>2</v>
      </c>
      <c r="BH243" s="8" t="n">
        <v>2</v>
      </c>
      <c r="BI243" s="4" t="n">
        <f aca="false">IF(BG243=BH243,0,1)</f>
        <v>0</v>
      </c>
      <c r="BK243" s="8" t="n">
        <v>2</v>
      </c>
      <c r="BL243" s="8" t="n">
        <v>2</v>
      </c>
      <c r="BM243" s="8" t="n">
        <v>2</v>
      </c>
    </row>
    <row r="244" customFormat="false" ht="15" hidden="false" customHeight="false" outlineLevel="0" collapsed="false">
      <c r="A244" s="3" t="n">
        <v>243</v>
      </c>
      <c r="B244" s="3" t="s">
        <v>33</v>
      </c>
      <c r="C244" s="3" t="n">
        <v>0</v>
      </c>
      <c r="D244" s="3" t="n">
        <v>0</v>
      </c>
      <c r="E244" s="3" t="n">
        <v>1</v>
      </c>
      <c r="F244" s="3" t="n">
        <v>0</v>
      </c>
      <c r="G244" s="3" t="n">
        <v>4</v>
      </c>
      <c r="H244" s="3" t="n">
        <v>5</v>
      </c>
      <c r="I244" s="3" t="n">
        <v>5</v>
      </c>
      <c r="J244" s="3" t="n">
        <v>5</v>
      </c>
      <c r="K244" s="3" t="n">
        <v>5</v>
      </c>
      <c r="L244" s="3" t="n">
        <v>5</v>
      </c>
      <c r="M244" s="3" t="n">
        <v>4</v>
      </c>
      <c r="N244" s="3" t="n">
        <v>2</v>
      </c>
      <c r="O244" s="3" t="n">
        <v>4</v>
      </c>
      <c r="P244" s="3" t="n">
        <v>3</v>
      </c>
      <c r="Q244" s="3" t="n">
        <v>4</v>
      </c>
      <c r="R244" s="3" t="n">
        <v>5</v>
      </c>
      <c r="S244" s="3" t="n">
        <v>4</v>
      </c>
      <c r="T244" s="3" t="n">
        <v>0</v>
      </c>
      <c r="U244" s="3" t="n">
        <v>22</v>
      </c>
      <c r="V244" s="3" t="n">
        <v>46774</v>
      </c>
      <c r="W244" s="3" t="n">
        <v>2</v>
      </c>
      <c r="X244" s="3" t="n">
        <v>1</v>
      </c>
      <c r="Y244" s="3" t="n">
        <v>2</v>
      </c>
      <c r="Z244" s="3" t="n">
        <v>2</v>
      </c>
      <c r="AA244" s="4" t="n">
        <f aca="false">IF($B244=AA$1,1,0)</f>
        <v>0</v>
      </c>
      <c r="AB244" s="4" t="n">
        <f aca="false">IF($B244=AB$1,1,0)</f>
        <v>0</v>
      </c>
      <c r="AC244" s="4" t="n">
        <f aca="false">IF($B244=AC$1,1,0)</f>
        <v>0</v>
      </c>
      <c r="AD244" s="4" t="n">
        <f aca="false">IF($B244=AD$1,1,0)</f>
        <v>0</v>
      </c>
      <c r="AE244" s="4" t="n">
        <f aca="false">IF($B244=AE$1,1,0)</f>
        <v>0</v>
      </c>
      <c r="AF244" s="4" t="n">
        <f aca="false">IF($B244=AF$1,1,0)</f>
        <v>0</v>
      </c>
      <c r="AG244" s="4" t="n">
        <f aca="false">IF($B244=AG$1,1,0)</f>
        <v>0</v>
      </c>
      <c r="AH244" s="4" t="n">
        <f aca="false">IF($B244=AH$1,1,0)</f>
        <v>1</v>
      </c>
      <c r="AI244" s="4" t="n">
        <f aca="false">IF($B244=AI$1,1,0)</f>
        <v>0</v>
      </c>
      <c r="AJ244" s="4" t="n">
        <f aca="false">IF($B244=AJ$1,1,0)</f>
        <v>0</v>
      </c>
      <c r="AK244" s="4" t="n">
        <f aca="false">IF($B244=AK$1,1,0)</f>
        <v>0</v>
      </c>
      <c r="AL244" s="4" t="n">
        <f aca="false">IF($B244=AL$1,1,0)</f>
        <v>0</v>
      </c>
      <c r="AM244" s="4" t="n">
        <f aca="false">IF($B244=AM$1,1,0)</f>
        <v>0</v>
      </c>
      <c r="AN244" s="4" t="n">
        <f aca="false">IF($B244=AN$1,1,0)</f>
        <v>0</v>
      </c>
      <c r="AO244" s="4" t="n">
        <f aca="false">IF($B244=AO$1,1,0)</f>
        <v>0</v>
      </c>
      <c r="AP244" s="4" t="n">
        <f aca="false">IF($B244=AP$1,1,0)</f>
        <v>0</v>
      </c>
      <c r="AQ244" s="4" t="n">
        <f aca="false">IF($B244=AQ$1,1,0)</f>
        <v>0</v>
      </c>
      <c r="AR244" s="4" t="n">
        <f aca="false">IF($B244=AR$1,1,0)</f>
        <v>0</v>
      </c>
      <c r="AS244" s="4" t="n">
        <f aca="false">IF($B244=AS$1,1,0)</f>
        <v>0</v>
      </c>
      <c r="AT244" s="4" t="n">
        <f aca="false">IF($B244=AT$1,1,0)</f>
        <v>0</v>
      </c>
      <c r="BB244" s="4" t="n">
        <f aca="false">A244</f>
        <v>243</v>
      </c>
      <c r="BC244" s="7" t="n">
        <f aca="false">ABS($T244-$AX$2)+ABS($U244-$AY$2)+ABS($V244-$AZ$2)</f>
        <v>23956.7676056338</v>
      </c>
      <c r="BD244" s="7" t="n">
        <f aca="false">ABS($T244-$AX$3)+ABS($U244-$AY$3)+ABS($V244-$AZ$3)</f>
        <v>130.406779661015</v>
      </c>
      <c r="BE244" s="7" t="n">
        <f aca="false">ABS($T244-$AX$4)+ABS($U244-$AY$4)+ABS($V244-$AZ$4)</f>
        <v>31040.641509434</v>
      </c>
      <c r="BF244" s="7" t="n">
        <f aca="false">MIN(BC244:BE244)</f>
        <v>130.406779661015</v>
      </c>
      <c r="BG244" s="4" t="n">
        <f aca="false">MATCH(BF244,BC244:BE244,0)</f>
        <v>2</v>
      </c>
      <c r="BH244" s="8" t="n">
        <v>2</v>
      </c>
      <c r="BI244" s="4" t="n">
        <f aca="false">IF(BG244=BH244,0,1)</f>
        <v>0</v>
      </c>
      <c r="BK244" s="8" t="n">
        <v>2</v>
      </c>
      <c r="BL244" s="8" t="n">
        <v>2</v>
      </c>
      <c r="BM244" s="8" t="n">
        <v>2</v>
      </c>
    </row>
    <row r="245" customFormat="false" ht="15" hidden="false" customHeight="false" outlineLevel="0" collapsed="false">
      <c r="A245" s="3" t="n">
        <v>244</v>
      </c>
      <c r="B245" s="3" t="s">
        <v>33</v>
      </c>
      <c r="C245" s="3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5</v>
      </c>
      <c r="I245" s="3" t="n">
        <v>4</v>
      </c>
      <c r="J245" s="3" t="n">
        <v>5</v>
      </c>
      <c r="K245" s="3" t="n">
        <v>5</v>
      </c>
      <c r="L245" s="3" t="n">
        <v>5</v>
      </c>
      <c r="M245" s="3" t="n">
        <v>4</v>
      </c>
      <c r="N245" s="3" t="n">
        <v>4</v>
      </c>
      <c r="O245" s="3" t="n">
        <v>4</v>
      </c>
      <c r="P245" s="3" t="n">
        <v>4</v>
      </c>
      <c r="Q245" s="3" t="n">
        <v>4</v>
      </c>
      <c r="R245" s="3" t="n">
        <v>4</v>
      </c>
      <c r="S245" s="3" t="n">
        <v>4</v>
      </c>
      <c r="T245" s="3" t="n">
        <v>0</v>
      </c>
      <c r="U245" s="3" t="n">
        <v>56</v>
      </c>
      <c r="V245" s="3" t="n">
        <v>44952</v>
      </c>
      <c r="W245" s="3" t="n">
        <v>2</v>
      </c>
      <c r="X245" s="3" t="n">
        <v>3</v>
      </c>
      <c r="Y245" s="3" t="n">
        <v>2</v>
      </c>
      <c r="Z245" s="3" t="n">
        <v>1</v>
      </c>
      <c r="AA245" s="4" t="n">
        <f aca="false">IF($B245=AA$1,1,0)</f>
        <v>0</v>
      </c>
      <c r="AB245" s="4" t="n">
        <f aca="false">IF($B245=AB$1,1,0)</f>
        <v>0</v>
      </c>
      <c r="AC245" s="4" t="n">
        <f aca="false">IF($B245=AC$1,1,0)</f>
        <v>0</v>
      </c>
      <c r="AD245" s="4" t="n">
        <f aca="false">IF($B245=AD$1,1,0)</f>
        <v>0</v>
      </c>
      <c r="AE245" s="4" t="n">
        <f aca="false">IF($B245=AE$1,1,0)</f>
        <v>0</v>
      </c>
      <c r="AF245" s="4" t="n">
        <f aca="false">IF($B245=AF$1,1,0)</f>
        <v>0</v>
      </c>
      <c r="AG245" s="4" t="n">
        <f aca="false">IF($B245=AG$1,1,0)</f>
        <v>0</v>
      </c>
      <c r="AH245" s="4" t="n">
        <f aca="false">IF($B245=AH$1,1,0)</f>
        <v>1</v>
      </c>
      <c r="AI245" s="4" t="n">
        <f aca="false">IF($B245=AI$1,1,0)</f>
        <v>0</v>
      </c>
      <c r="AJ245" s="4" t="n">
        <f aca="false">IF($B245=AJ$1,1,0)</f>
        <v>0</v>
      </c>
      <c r="AK245" s="4" t="n">
        <f aca="false">IF($B245=AK$1,1,0)</f>
        <v>0</v>
      </c>
      <c r="AL245" s="4" t="n">
        <f aca="false">IF($B245=AL$1,1,0)</f>
        <v>0</v>
      </c>
      <c r="AM245" s="4" t="n">
        <f aca="false">IF($B245=AM$1,1,0)</f>
        <v>0</v>
      </c>
      <c r="AN245" s="4" t="n">
        <f aca="false">IF($B245=AN$1,1,0)</f>
        <v>0</v>
      </c>
      <c r="AO245" s="4" t="n">
        <f aca="false">IF($B245=AO$1,1,0)</f>
        <v>0</v>
      </c>
      <c r="AP245" s="4" t="n">
        <f aca="false">IF($B245=AP$1,1,0)</f>
        <v>0</v>
      </c>
      <c r="AQ245" s="4" t="n">
        <f aca="false">IF($B245=AQ$1,1,0)</f>
        <v>0</v>
      </c>
      <c r="AR245" s="4" t="n">
        <f aca="false">IF($B245=AR$1,1,0)</f>
        <v>0</v>
      </c>
      <c r="AS245" s="4" t="n">
        <f aca="false">IF($B245=AS$1,1,0)</f>
        <v>0</v>
      </c>
      <c r="AT245" s="4" t="n">
        <f aca="false">IF($B245=AT$1,1,0)</f>
        <v>0</v>
      </c>
      <c r="BB245" s="4" t="n">
        <f aca="false">A245</f>
        <v>244</v>
      </c>
      <c r="BC245" s="7" t="n">
        <f aca="false">ABS($T245-$AX$2)+ABS($U245-$AY$2)+ABS($V245-$AZ$2)</f>
        <v>22135.2887323944</v>
      </c>
      <c r="BD245" s="7" t="n">
        <f aca="false">ABS($T245-$AX$3)+ABS($U245-$AY$3)+ABS($V245-$AZ$3)</f>
        <v>1725.96610169492</v>
      </c>
      <c r="BE245" s="7" t="n">
        <f aca="false">ABS($T245-$AX$4)+ABS($U245-$AY$4)+ABS($V245-$AZ$4)</f>
        <v>32856.6037735849</v>
      </c>
      <c r="BF245" s="7" t="n">
        <f aca="false">MIN(BC245:BE245)</f>
        <v>1725.96610169492</v>
      </c>
      <c r="BG245" s="4" t="n">
        <f aca="false">MATCH(BF245,BC245:BE245,0)</f>
        <v>2</v>
      </c>
      <c r="BH245" s="8" t="n">
        <v>2</v>
      </c>
      <c r="BI245" s="4" t="n">
        <f aca="false">IF(BG245=BH245,0,1)</f>
        <v>0</v>
      </c>
      <c r="BK245" s="8" t="n">
        <v>2</v>
      </c>
      <c r="BL245" s="8" t="n">
        <v>2</v>
      </c>
      <c r="BM245" s="8" t="n">
        <v>2</v>
      </c>
    </row>
    <row r="246" customFormat="false" ht="15" hidden="false" customHeight="false" outlineLevel="0" collapsed="false">
      <c r="A246" s="3" t="n">
        <v>245</v>
      </c>
      <c r="B246" s="3" t="s">
        <v>42</v>
      </c>
      <c r="C246" s="3" t="n">
        <v>0</v>
      </c>
      <c r="D246" s="3" t="n">
        <v>0</v>
      </c>
      <c r="E246" s="3" t="n">
        <v>1</v>
      </c>
      <c r="F246" s="3" t="n">
        <v>0</v>
      </c>
      <c r="G246" s="3" t="n">
        <v>0</v>
      </c>
      <c r="H246" s="3" t="n">
        <v>3</v>
      </c>
      <c r="I246" s="3" t="n">
        <v>4</v>
      </c>
      <c r="J246" s="3" t="n">
        <v>4</v>
      </c>
      <c r="K246" s="3" t="n">
        <v>4</v>
      </c>
      <c r="L246" s="3" t="n">
        <v>5</v>
      </c>
      <c r="M246" s="3" t="n">
        <v>4</v>
      </c>
      <c r="N246" s="3" t="n">
        <v>3</v>
      </c>
      <c r="O246" s="3" t="n">
        <v>5</v>
      </c>
      <c r="P246" s="3" t="n">
        <v>4</v>
      </c>
      <c r="Q246" s="3" t="n">
        <v>4</v>
      </c>
      <c r="R246" s="3" t="n">
        <v>5</v>
      </c>
      <c r="S246" s="3" t="n">
        <v>5</v>
      </c>
      <c r="T246" s="3" t="n">
        <v>1</v>
      </c>
      <c r="U246" s="3" t="n">
        <v>51</v>
      </c>
      <c r="V246" s="3" t="n">
        <v>25063</v>
      </c>
      <c r="W246" s="3" t="n">
        <v>3</v>
      </c>
      <c r="X246" s="3" t="n">
        <v>4</v>
      </c>
      <c r="Y246" s="3" t="n">
        <v>2</v>
      </c>
      <c r="Z246" s="3" t="n">
        <v>2</v>
      </c>
      <c r="AA246" s="4" t="n">
        <f aca="false">IF($B246=AA$1,1,0)</f>
        <v>0</v>
      </c>
      <c r="AB246" s="4" t="n">
        <f aca="false">IF($B246=AB$1,1,0)</f>
        <v>0</v>
      </c>
      <c r="AC246" s="4" t="n">
        <f aca="false">IF($B246=AC$1,1,0)</f>
        <v>0</v>
      </c>
      <c r="AD246" s="4" t="n">
        <f aca="false">IF($B246=AD$1,1,0)</f>
        <v>0</v>
      </c>
      <c r="AE246" s="4" t="n">
        <f aca="false">IF($B246=AE$1,1,0)</f>
        <v>0</v>
      </c>
      <c r="AF246" s="4" t="n">
        <f aca="false">IF($B246=AF$1,1,0)</f>
        <v>0</v>
      </c>
      <c r="AG246" s="4" t="n">
        <f aca="false">IF($B246=AG$1,1,0)</f>
        <v>0</v>
      </c>
      <c r="AH246" s="4" t="n">
        <f aca="false">IF($B246=AH$1,1,0)</f>
        <v>0</v>
      </c>
      <c r="AI246" s="4" t="n">
        <f aca="false">IF($B246=AI$1,1,0)</f>
        <v>0</v>
      </c>
      <c r="AJ246" s="4" t="n">
        <f aca="false">IF($B246=AJ$1,1,0)</f>
        <v>0</v>
      </c>
      <c r="AK246" s="4" t="n">
        <f aca="false">IF($B246=AK$1,1,0)</f>
        <v>0</v>
      </c>
      <c r="AL246" s="4" t="n">
        <f aca="false">IF($B246=AL$1,1,0)</f>
        <v>0</v>
      </c>
      <c r="AM246" s="4" t="n">
        <f aca="false">IF($B246=AM$1,1,0)</f>
        <v>0</v>
      </c>
      <c r="AN246" s="4" t="n">
        <f aca="false">IF($B246=AN$1,1,0)</f>
        <v>0</v>
      </c>
      <c r="AO246" s="4" t="n">
        <f aca="false">IF($B246=AO$1,1,0)</f>
        <v>0</v>
      </c>
      <c r="AP246" s="4" t="n">
        <f aca="false">IF($B246=AP$1,1,0)</f>
        <v>0</v>
      </c>
      <c r="AQ246" s="4" t="n">
        <f aca="false">IF($B246=AQ$1,1,0)</f>
        <v>1</v>
      </c>
      <c r="AR246" s="4" t="n">
        <f aca="false">IF($B246=AR$1,1,0)</f>
        <v>0</v>
      </c>
      <c r="AS246" s="4" t="n">
        <f aca="false">IF($B246=AS$1,1,0)</f>
        <v>0</v>
      </c>
      <c r="AT246" s="4" t="n">
        <f aca="false">IF($B246=AT$1,1,0)</f>
        <v>0</v>
      </c>
      <c r="BB246" s="4" t="n">
        <f aca="false">A246</f>
        <v>245</v>
      </c>
      <c r="BC246" s="7" t="n">
        <f aca="false">ABS($T246-$AX$2)+ABS($U246-$AY$2)+ABS($V246-$AZ$2)</f>
        <v>2241.85211267605</v>
      </c>
      <c r="BD246" s="7" t="n">
        <f aca="false">ABS($T246-$AX$3)+ABS($U246-$AY$3)+ABS($V246-$AZ$3)</f>
        <v>21610.593220339</v>
      </c>
      <c r="BE246" s="7" t="n">
        <f aca="false">ABS($T246-$AX$4)+ABS($U246-$AY$4)+ABS($V246-$AZ$4)</f>
        <v>52741.0754716981</v>
      </c>
      <c r="BF246" s="7" t="n">
        <f aca="false">MIN(BC246:BE246)</f>
        <v>2241.85211267605</v>
      </c>
      <c r="BG246" s="4" t="n">
        <f aca="false">MATCH(BF246,BC246:BE246,0)</f>
        <v>1</v>
      </c>
      <c r="BH246" s="8" t="n">
        <v>1</v>
      </c>
      <c r="BI246" s="4" t="n">
        <f aca="false">IF(BG246=BH246,0,1)</f>
        <v>0</v>
      </c>
      <c r="BK246" s="8" t="n">
        <v>1</v>
      </c>
      <c r="BL246" s="8" t="n">
        <v>1</v>
      </c>
      <c r="BM246" s="8" t="n">
        <v>1</v>
      </c>
    </row>
    <row r="247" customFormat="false" ht="15" hidden="false" customHeight="false" outlineLevel="0" collapsed="false">
      <c r="A247" s="3" t="n">
        <v>246</v>
      </c>
      <c r="B247" s="3" t="s">
        <v>35</v>
      </c>
      <c r="C247" s="3" t="n">
        <v>1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5</v>
      </c>
      <c r="I247" s="3" t="n">
        <v>5</v>
      </c>
      <c r="J247" s="3" t="n">
        <v>5</v>
      </c>
      <c r="K247" s="3" t="n">
        <v>5</v>
      </c>
      <c r="L247" s="3" t="n">
        <v>5</v>
      </c>
      <c r="M247" s="3" t="n">
        <v>5</v>
      </c>
      <c r="N247" s="3" t="n">
        <v>3</v>
      </c>
      <c r="O247" s="3" t="n">
        <v>4</v>
      </c>
      <c r="P247" s="3" t="n">
        <v>3</v>
      </c>
      <c r="Q247" s="3" t="n">
        <v>4</v>
      </c>
      <c r="R247" s="3" t="n">
        <v>5</v>
      </c>
      <c r="S247" s="3" t="n">
        <v>3</v>
      </c>
      <c r="T247" s="3" t="n">
        <v>0</v>
      </c>
      <c r="U247" s="3" t="n">
        <v>33</v>
      </c>
      <c r="V247" s="3" t="n">
        <v>20022</v>
      </c>
      <c r="W247" s="3" t="n">
        <v>1</v>
      </c>
      <c r="X247" s="3" t="n">
        <v>2</v>
      </c>
      <c r="Y247" s="3" t="n">
        <v>2</v>
      </c>
      <c r="Z247" s="3" t="n">
        <v>2</v>
      </c>
      <c r="AA247" s="4" t="n">
        <f aca="false">IF($B247=AA$1,1,0)</f>
        <v>0</v>
      </c>
      <c r="AB247" s="4" t="n">
        <f aca="false">IF($B247=AB$1,1,0)</f>
        <v>0</v>
      </c>
      <c r="AC247" s="4" t="n">
        <f aca="false">IF($B247=AC$1,1,0)</f>
        <v>0</v>
      </c>
      <c r="AD247" s="4" t="n">
        <f aca="false">IF($B247=AD$1,1,0)</f>
        <v>0</v>
      </c>
      <c r="AE247" s="4" t="n">
        <f aca="false">IF($B247=AE$1,1,0)</f>
        <v>0</v>
      </c>
      <c r="AF247" s="4" t="n">
        <f aca="false">IF($B247=AF$1,1,0)</f>
        <v>0</v>
      </c>
      <c r="AG247" s="4" t="n">
        <f aca="false">IF($B247=AG$1,1,0)</f>
        <v>0</v>
      </c>
      <c r="AH247" s="4" t="n">
        <f aca="false">IF($B247=AH$1,1,0)</f>
        <v>0</v>
      </c>
      <c r="AI247" s="4" t="n">
        <f aca="false">IF($B247=AI$1,1,0)</f>
        <v>0</v>
      </c>
      <c r="AJ247" s="4" t="n">
        <f aca="false">IF($B247=AJ$1,1,0)</f>
        <v>1</v>
      </c>
      <c r="AK247" s="4" t="n">
        <f aca="false">IF($B247=AK$1,1,0)</f>
        <v>0</v>
      </c>
      <c r="AL247" s="4" t="n">
        <f aca="false">IF($B247=AL$1,1,0)</f>
        <v>0</v>
      </c>
      <c r="AM247" s="4" t="n">
        <f aca="false">IF($B247=AM$1,1,0)</f>
        <v>0</v>
      </c>
      <c r="AN247" s="4" t="n">
        <f aca="false">IF($B247=AN$1,1,0)</f>
        <v>0</v>
      </c>
      <c r="AO247" s="4" t="n">
        <f aca="false">IF($B247=AO$1,1,0)</f>
        <v>0</v>
      </c>
      <c r="AP247" s="4" t="n">
        <f aca="false">IF($B247=AP$1,1,0)</f>
        <v>0</v>
      </c>
      <c r="AQ247" s="4" t="n">
        <f aca="false">IF($B247=AQ$1,1,0)</f>
        <v>0</v>
      </c>
      <c r="AR247" s="4" t="n">
        <f aca="false">IF($B247=AR$1,1,0)</f>
        <v>0</v>
      </c>
      <c r="AS247" s="4" t="n">
        <f aca="false">IF($B247=AS$1,1,0)</f>
        <v>0</v>
      </c>
      <c r="AT247" s="4" t="n">
        <f aca="false">IF($B247=AT$1,1,0)</f>
        <v>0</v>
      </c>
      <c r="BB247" s="4" t="n">
        <f aca="false">A247</f>
        <v>246</v>
      </c>
      <c r="BC247" s="7" t="n">
        <f aca="false">ABS($T247-$AX$2)+ABS($U247-$AY$2)+ABS($V247-$AZ$2)</f>
        <v>2818.14788732395</v>
      </c>
      <c r="BD247" s="7" t="n">
        <f aca="false">ABS($T247-$AX$3)+ABS($U247-$AY$3)+ABS($V247-$AZ$3)</f>
        <v>26649.7288135593</v>
      </c>
      <c r="BE247" s="7" t="n">
        <f aca="false">ABS($T247-$AX$4)+ABS($U247-$AY$4)+ABS($V247-$AZ$4)</f>
        <v>57781.641509434</v>
      </c>
      <c r="BF247" s="7" t="n">
        <f aca="false">MIN(BC247:BE247)</f>
        <v>2818.14788732395</v>
      </c>
      <c r="BG247" s="4" t="n">
        <f aca="false">MATCH(BF247,BC247:BE247,0)</f>
        <v>1</v>
      </c>
      <c r="BH247" s="8" t="n">
        <v>1</v>
      </c>
      <c r="BI247" s="4" t="n">
        <f aca="false">IF(BG247=BH247,0,1)</f>
        <v>0</v>
      </c>
      <c r="BK247" s="8" t="n">
        <v>1</v>
      </c>
      <c r="BL247" s="8" t="n">
        <v>1</v>
      </c>
      <c r="BM247" s="8" t="n">
        <v>1</v>
      </c>
    </row>
    <row r="248" customFormat="false" ht="15" hidden="false" customHeight="false" outlineLevel="0" collapsed="false">
      <c r="A248" s="3" t="n">
        <v>247</v>
      </c>
      <c r="B248" s="3" t="s">
        <v>33</v>
      </c>
      <c r="C248" s="3" t="n">
        <v>1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5</v>
      </c>
      <c r="I248" s="3" t="n">
        <v>4</v>
      </c>
      <c r="J248" s="3" t="n">
        <v>5</v>
      </c>
      <c r="K248" s="3" t="n">
        <v>4</v>
      </c>
      <c r="L248" s="3" t="n">
        <v>5</v>
      </c>
      <c r="M248" s="3" t="n">
        <v>4</v>
      </c>
      <c r="N248" s="3" t="n">
        <v>5</v>
      </c>
      <c r="O248" s="3" t="n">
        <v>4</v>
      </c>
      <c r="P248" s="3" t="n">
        <v>3</v>
      </c>
      <c r="Q248" s="3" t="n">
        <v>4</v>
      </c>
      <c r="R248" s="3" t="n">
        <v>4</v>
      </c>
      <c r="S248" s="3" t="n">
        <v>3</v>
      </c>
      <c r="T248" s="3" t="n">
        <v>0</v>
      </c>
      <c r="U248" s="3" t="n">
        <v>55</v>
      </c>
      <c r="V248" s="3" t="n">
        <v>39912</v>
      </c>
      <c r="W248" s="3" t="n">
        <v>2</v>
      </c>
      <c r="X248" s="3" t="n">
        <v>4</v>
      </c>
      <c r="Y248" s="3" t="n">
        <v>2</v>
      </c>
      <c r="Z248" s="3" t="n">
        <v>2</v>
      </c>
      <c r="AA248" s="4" t="n">
        <f aca="false">IF($B248=AA$1,1,0)</f>
        <v>0</v>
      </c>
      <c r="AB248" s="4" t="n">
        <f aca="false">IF($B248=AB$1,1,0)</f>
        <v>0</v>
      </c>
      <c r="AC248" s="4" t="n">
        <f aca="false">IF($B248=AC$1,1,0)</f>
        <v>0</v>
      </c>
      <c r="AD248" s="4" t="n">
        <f aca="false">IF($B248=AD$1,1,0)</f>
        <v>0</v>
      </c>
      <c r="AE248" s="4" t="n">
        <f aca="false">IF($B248=AE$1,1,0)</f>
        <v>0</v>
      </c>
      <c r="AF248" s="4" t="n">
        <f aca="false">IF($B248=AF$1,1,0)</f>
        <v>0</v>
      </c>
      <c r="AG248" s="4" t="n">
        <f aca="false">IF($B248=AG$1,1,0)</f>
        <v>0</v>
      </c>
      <c r="AH248" s="4" t="n">
        <f aca="false">IF($B248=AH$1,1,0)</f>
        <v>1</v>
      </c>
      <c r="AI248" s="4" t="n">
        <f aca="false">IF($B248=AI$1,1,0)</f>
        <v>0</v>
      </c>
      <c r="AJ248" s="4" t="n">
        <f aca="false">IF($B248=AJ$1,1,0)</f>
        <v>0</v>
      </c>
      <c r="AK248" s="4" t="n">
        <f aca="false">IF($B248=AK$1,1,0)</f>
        <v>0</v>
      </c>
      <c r="AL248" s="4" t="n">
        <f aca="false">IF($B248=AL$1,1,0)</f>
        <v>0</v>
      </c>
      <c r="AM248" s="4" t="n">
        <f aca="false">IF($B248=AM$1,1,0)</f>
        <v>0</v>
      </c>
      <c r="AN248" s="4" t="n">
        <f aca="false">IF($B248=AN$1,1,0)</f>
        <v>0</v>
      </c>
      <c r="AO248" s="4" t="n">
        <f aca="false">IF($B248=AO$1,1,0)</f>
        <v>0</v>
      </c>
      <c r="AP248" s="4" t="n">
        <f aca="false">IF($B248=AP$1,1,0)</f>
        <v>0</v>
      </c>
      <c r="AQ248" s="4" t="n">
        <f aca="false">IF($B248=AQ$1,1,0)</f>
        <v>0</v>
      </c>
      <c r="AR248" s="4" t="n">
        <f aca="false">IF($B248=AR$1,1,0)</f>
        <v>0</v>
      </c>
      <c r="AS248" s="4" t="n">
        <f aca="false">IF($B248=AS$1,1,0)</f>
        <v>0</v>
      </c>
      <c r="AT248" s="4" t="n">
        <f aca="false">IF($B248=AT$1,1,0)</f>
        <v>0</v>
      </c>
      <c r="BB248" s="4" t="n">
        <f aca="false">A248</f>
        <v>247</v>
      </c>
      <c r="BC248" s="7" t="n">
        <f aca="false">ABS($T248-$AX$2)+ABS($U248-$AY$2)+ABS($V248-$AZ$2)</f>
        <v>17094.2887323944</v>
      </c>
      <c r="BD248" s="7" t="n">
        <f aca="false">ABS($T248-$AX$3)+ABS($U248-$AY$3)+ABS($V248-$AZ$3)</f>
        <v>6764.96610169492</v>
      </c>
      <c r="BE248" s="7" t="n">
        <f aca="false">ABS($T248-$AX$4)+ABS($U248-$AY$4)+ABS($V248-$AZ$4)</f>
        <v>37895.6037735849</v>
      </c>
      <c r="BF248" s="7" t="n">
        <f aca="false">MIN(BC248:BE248)</f>
        <v>6764.96610169492</v>
      </c>
      <c r="BG248" s="4" t="n">
        <f aca="false">MATCH(BF248,BC248:BE248,0)</f>
        <v>2</v>
      </c>
      <c r="BH248" s="8" t="n">
        <v>2</v>
      </c>
      <c r="BI248" s="4" t="n">
        <f aca="false">IF(BG248=BH248,0,1)</f>
        <v>0</v>
      </c>
      <c r="BK248" s="8" t="n">
        <v>2</v>
      </c>
      <c r="BL248" s="8" t="n">
        <v>2</v>
      </c>
      <c r="BM248" s="8" t="n">
        <v>2</v>
      </c>
    </row>
    <row r="249" customFormat="false" ht="15" hidden="false" customHeight="false" outlineLevel="0" collapsed="false">
      <c r="A249" s="3" t="n">
        <v>248</v>
      </c>
      <c r="B249" s="3" t="s">
        <v>42</v>
      </c>
      <c r="C249" s="3" t="n">
        <v>0</v>
      </c>
      <c r="D249" s="3" t="n">
        <v>0</v>
      </c>
      <c r="E249" s="3" t="n">
        <v>1</v>
      </c>
      <c r="F249" s="3" t="n">
        <v>0</v>
      </c>
      <c r="G249" s="3" t="n">
        <v>0</v>
      </c>
      <c r="H249" s="3" t="n">
        <v>5</v>
      </c>
      <c r="I249" s="3" t="n">
        <v>5</v>
      </c>
      <c r="J249" s="3" t="n">
        <v>4</v>
      </c>
      <c r="K249" s="3" t="n">
        <v>4</v>
      </c>
      <c r="L249" s="3" t="n">
        <v>5</v>
      </c>
      <c r="M249" s="3" t="n">
        <v>4</v>
      </c>
      <c r="N249" s="3" t="n">
        <v>5</v>
      </c>
      <c r="O249" s="3" t="n">
        <v>4</v>
      </c>
      <c r="P249" s="3" t="n">
        <v>5</v>
      </c>
      <c r="Q249" s="3" t="n">
        <v>5</v>
      </c>
      <c r="R249" s="3" t="n">
        <v>5</v>
      </c>
      <c r="S249" s="3" t="n">
        <v>5</v>
      </c>
      <c r="T249" s="3" t="n">
        <v>1</v>
      </c>
      <c r="U249" s="3" t="n">
        <v>66</v>
      </c>
      <c r="V249" s="3" t="n">
        <v>16627</v>
      </c>
      <c r="W249" s="3" t="n">
        <v>2</v>
      </c>
      <c r="X249" s="3" t="n">
        <v>2</v>
      </c>
      <c r="Y249" s="3" t="n">
        <v>3</v>
      </c>
      <c r="Z249" s="3" t="n">
        <v>2</v>
      </c>
      <c r="AA249" s="4" t="n">
        <f aca="false">IF($B249=AA$1,1,0)</f>
        <v>0</v>
      </c>
      <c r="AB249" s="4" t="n">
        <f aca="false">IF($B249=AB$1,1,0)</f>
        <v>0</v>
      </c>
      <c r="AC249" s="4" t="n">
        <f aca="false">IF($B249=AC$1,1,0)</f>
        <v>0</v>
      </c>
      <c r="AD249" s="4" t="n">
        <f aca="false">IF($B249=AD$1,1,0)</f>
        <v>0</v>
      </c>
      <c r="AE249" s="4" t="n">
        <f aca="false">IF($B249=AE$1,1,0)</f>
        <v>0</v>
      </c>
      <c r="AF249" s="4" t="n">
        <f aca="false">IF($B249=AF$1,1,0)</f>
        <v>0</v>
      </c>
      <c r="AG249" s="4" t="n">
        <f aca="false">IF($B249=AG$1,1,0)</f>
        <v>0</v>
      </c>
      <c r="AH249" s="4" t="n">
        <f aca="false">IF($B249=AH$1,1,0)</f>
        <v>0</v>
      </c>
      <c r="AI249" s="4" t="n">
        <f aca="false">IF($B249=AI$1,1,0)</f>
        <v>0</v>
      </c>
      <c r="AJ249" s="4" t="n">
        <f aca="false">IF($B249=AJ$1,1,0)</f>
        <v>0</v>
      </c>
      <c r="AK249" s="4" t="n">
        <f aca="false">IF($B249=AK$1,1,0)</f>
        <v>0</v>
      </c>
      <c r="AL249" s="4" t="n">
        <f aca="false">IF($B249=AL$1,1,0)</f>
        <v>0</v>
      </c>
      <c r="AM249" s="4" t="n">
        <f aca="false">IF($B249=AM$1,1,0)</f>
        <v>0</v>
      </c>
      <c r="AN249" s="4" t="n">
        <f aca="false">IF($B249=AN$1,1,0)</f>
        <v>0</v>
      </c>
      <c r="AO249" s="4" t="n">
        <f aca="false">IF($B249=AO$1,1,0)</f>
        <v>0</v>
      </c>
      <c r="AP249" s="4" t="n">
        <f aca="false">IF($B249=AP$1,1,0)</f>
        <v>0</v>
      </c>
      <c r="AQ249" s="4" t="n">
        <f aca="false">IF($B249=AQ$1,1,0)</f>
        <v>1</v>
      </c>
      <c r="AR249" s="4" t="n">
        <f aca="false">IF($B249=AR$1,1,0)</f>
        <v>0</v>
      </c>
      <c r="AS249" s="4" t="n">
        <f aca="false">IF($B249=AS$1,1,0)</f>
        <v>0</v>
      </c>
      <c r="AT249" s="4" t="n">
        <f aca="false">IF($B249=AT$1,1,0)</f>
        <v>0</v>
      </c>
      <c r="BB249" s="4" t="n">
        <f aca="false">A249</f>
        <v>248</v>
      </c>
      <c r="BC249" s="7" t="n">
        <f aca="false">ABS($T249-$AX$2)+ABS($U249-$AY$2)+ABS($V249-$AZ$2)</f>
        <v>6235.2323943662</v>
      </c>
      <c r="BD249" s="7" t="n">
        <f aca="false">ABS($T249-$AX$3)+ABS($U249-$AY$3)+ABS($V249-$AZ$3)</f>
        <v>30061.593220339</v>
      </c>
      <c r="BE249" s="7" t="n">
        <f aca="false">ABS($T249-$AX$4)+ABS($U249-$AY$4)+ABS($V249-$AZ$4)</f>
        <v>61192.0754716981</v>
      </c>
      <c r="BF249" s="7" t="n">
        <f aca="false">MIN(BC249:BE249)</f>
        <v>6235.2323943662</v>
      </c>
      <c r="BG249" s="4" t="n">
        <f aca="false">MATCH(BF249,BC249:BE249,0)</f>
        <v>1</v>
      </c>
      <c r="BH249" s="8" t="n">
        <v>1</v>
      </c>
      <c r="BI249" s="4" t="n">
        <f aca="false">IF(BG249=BH249,0,1)</f>
        <v>0</v>
      </c>
      <c r="BK249" s="8" t="n">
        <v>1</v>
      </c>
      <c r="BL249" s="8" t="n">
        <v>1</v>
      </c>
      <c r="BM249" s="8" t="n">
        <v>1</v>
      </c>
    </row>
    <row r="250" customFormat="false" ht="15" hidden="false" customHeight="false" outlineLevel="0" collapsed="false">
      <c r="A250" s="3" t="n">
        <v>249</v>
      </c>
      <c r="B250" s="3" t="s">
        <v>38</v>
      </c>
      <c r="C250" s="3" t="n">
        <v>0</v>
      </c>
      <c r="D250" s="3" t="n">
        <v>0</v>
      </c>
      <c r="E250" s="3" t="n">
        <v>1</v>
      </c>
      <c r="F250" s="3" t="n">
        <v>0</v>
      </c>
      <c r="G250" s="3" t="n">
        <v>0</v>
      </c>
      <c r="H250" s="3" t="n">
        <v>5</v>
      </c>
      <c r="I250" s="3" t="n">
        <v>4</v>
      </c>
      <c r="J250" s="3" t="n">
        <v>4</v>
      </c>
      <c r="K250" s="3" t="n">
        <v>4</v>
      </c>
      <c r="L250" s="3" t="n">
        <v>4</v>
      </c>
      <c r="M250" s="3" t="n">
        <v>4</v>
      </c>
      <c r="N250" s="3" t="n">
        <v>4</v>
      </c>
      <c r="O250" s="3" t="n">
        <v>3</v>
      </c>
      <c r="P250" s="3" t="n">
        <v>5</v>
      </c>
      <c r="Q250" s="3" t="n">
        <v>5</v>
      </c>
      <c r="R250" s="3" t="n">
        <v>5</v>
      </c>
      <c r="S250" s="3" t="n">
        <v>5</v>
      </c>
      <c r="T250" s="3" t="n">
        <v>1</v>
      </c>
      <c r="U250" s="3" t="n">
        <v>48</v>
      </c>
      <c r="V250" s="3" t="n">
        <v>16897</v>
      </c>
      <c r="W250" s="3" t="n">
        <v>2</v>
      </c>
      <c r="X250" s="3" t="n">
        <v>2</v>
      </c>
      <c r="Y250" s="3" t="n">
        <v>1</v>
      </c>
      <c r="Z250" s="3" t="n">
        <v>2</v>
      </c>
      <c r="AA250" s="4" t="n">
        <f aca="false">IF($B250=AA$1,1,0)</f>
        <v>0</v>
      </c>
      <c r="AB250" s="4" t="n">
        <f aca="false">IF($B250=AB$1,1,0)</f>
        <v>0</v>
      </c>
      <c r="AC250" s="4" t="n">
        <f aca="false">IF($B250=AC$1,1,0)</f>
        <v>0</v>
      </c>
      <c r="AD250" s="4" t="n">
        <f aca="false">IF($B250=AD$1,1,0)</f>
        <v>0</v>
      </c>
      <c r="AE250" s="4" t="n">
        <f aca="false">IF($B250=AE$1,1,0)</f>
        <v>0</v>
      </c>
      <c r="AF250" s="4" t="n">
        <f aca="false">IF($B250=AF$1,1,0)</f>
        <v>0</v>
      </c>
      <c r="AG250" s="4" t="n">
        <f aca="false">IF($B250=AG$1,1,0)</f>
        <v>0</v>
      </c>
      <c r="AH250" s="4" t="n">
        <f aca="false">IF($B250=AH$1,1,0)</f>
        <v>0</v>
      </c>
      <c r="AI250" s="4" t="n">
        <f aca="false">IF($B250=AI$1,1,0)</f>
        <v>0</v>
      </c>
      <c r="AJ250" s="4" t="n">
        <f aca="false">IF($B250=AJ$1,1,0)</f>
        <v>0</v>
      </c>
      <c r="AK250" s="4" t="n">
        <f aca="false">IF($B250=AK$1,1,0)</f>
        <v>0</v>
      </c>
      <c r="AL250" s="4" t="n">
        <f aca="false">IF($B250=AL$1,1,0)</f>
        <v>0</v>
      </c>
      <c r="AM250" s="4" t="n">
        <f aca="false">IF($B250=AM$1,1,0)</f>
        <v>1</v>
      </c>
      <c r="AN250" s="4" t="n">
        <f aca="false">IF($B250=AN$1,1,0)</f>
        <v>0</v>
      </c>
      <c r="AO250" s="4" t="n">
        <f aca="false">IF($B250=AO$1,1,0)</f>
        <v>0</v>
      </c>
      <c r="AP250" s="4" t="n">
        <f aca="false">IF($B250=AP$1,1,0)</f>
        <v>0</v>
      </c>
      <c r="AQ250" s="4" t="n">
        <f aca="false">IF($B250=AQ$1,1,0)</f>
        <v>0</v>
      </c>
      <c r="AR250" s="4" t="n">
        <f aca="false">IF($B250=AR$1,1,0)</f>
        <v>0</v>
      </c>
      <c r="AS250" s="4" t="n">
        <f aca="false">IF($B250=AS$1,1,0)</f>
        <v>0</v>
      </c>
      <c r="AT250" s="4" t="n">
        <f aca="false">IF($B250=AT$1,1,0)</f>
        <v>0</v>
      </c>
      <c r="BB250" s="4" t="n">
        <f aca="false">A250</f>
        <v>249</v>
      </c>
      <c r="BC250" s="7" t="n">
        <f aca="false">ABS($T250-$AX$2)+ABS($U250-$AY$2)+ABS($V250-$AZ$2)</f>
        <v>5947.2323943662</v>
      </c>
      <c r="BD250" s="7" t="n">
        <f aca="false">ABS($T250-$AX$3)+ABS($U250-$AY$3)+ABS($V250-$AZ$3)</f>
        <v>29773.593220339</v>
      </c>
      <c r="BE250" s="7" t="n">
        <f aca="false">ABS($T250-$AX$4)+ABS($U250-$AY$4)+ABS($V250-$AZ$4)</f>
        <v>60904.0754716981</v>
      </c>
      <c r="BF250" s="7" t="n">
        <f aca="false">MIN(BC250:BE250)</f>
        <v>5947.2323943662</v>
      </c>
      <c r="BG250" s="4" t="n">
        <f aca="false">MATCH(BF250,BC250:BE250,0)</f>
        <v>1</v>
      </c>
      <c r="BH250" s="8" t="n">
        <v>1</v>
      </c>
      <c r="BI250" s="4" t="n">
        <f aca="false">IF(BG250=BH250,0,1)</f>
        <v>0</v>
      </c>
      <c r="BK250" s="8" t="n">
        <v>1</v>
      </c>
      <c r="BL250" s="8" t="n">
        <v>1</v>
      </c>
      <c r="BM250" s="8" t="n">
        <v>1</v>
      </c>
    </row>
    <row r="251" customFormat="false" ht="15" hidden="false" customHeight="false" outlineLevel="0" collapsed="false">
      <c r="A251" s="3" t="n">
        <v>250</v>
      </c>
      <c r="B251" s="3" t="s">
        <v>33</v>
      </c>
      <c r="C251" s="3" t="n">
        <v>0</v>
      </c>
      <c r="D251" s="3" t="n">
        <v>1</v>
      </c>
      <c r="E251" s="3" t="n">
        <v>0</v>
      </c>
      <c r="F251" s="3" t="n">
        <v>0</v>
      </c>
      <c r="G251" s="3" t="n">
        <v>2</v>
      </c>
      <c r="H251" s="3" t="n">
        <v>4</v>
      </c>
      <c r="I251" s="3" t="n">
        <v>3</v>
      </c>
      <c r="J251" s="3" t="n">
        <v>3</v>
      </c>
      <c r="K251" s="3" t="n">
        <v>4</v>
      </c>
      <c r="L251" s="3" t="n">
        <v>5</v>
      </c>
      <c r="M251" s="3" t="n">
        <v>4</v>
      </c>
      <c r="N251" s="3" t="n">
        <v>2</v>
      </c>
      <c r="O251" s="3" t="n">
        <v>3</v>
      </c>
      <c r="P251" s="3" t="n">
        <v>3</v>
      </c>
      <c r="Q251" s="3" t="n">
        <v>4</v>
      </c>
      <c r="R251" s="3" t="n">
        <v>3</v>
      </c>
      <c r="S251" s="3" t="n">
        <v>3</v>
      </c>
      <c r="T251" s="3" t="n">
        <v>0</v>
      </c>
      <c r="U251" s="3" t="n">
        <v>33</v>
      </c>
      <c r="V251" s="3" t="n">
        <v>77253</v>
      </c>
      <c r="W251" s="3" t="n">
        <v>3</v>
      </c>
      <c r="X251" s="3" t="n">
        <v>4</v>
      </c>
      <c r="Y251" s="3" t="n">
        <v>2</v>
      </c>
      <c r="Z251" s="3" t="n">
        <v>2</v>
      </c>
      <c r="AA251" s="4" t="n">
        <f aca="false">IF($B251=AA$1,1,0)</f>
        <v>0</v>
      </c>
      <c r="AB251" s="4" t="n">
        <f aca="false">IF($B251=AB$1,1,0)</f>
        <v>0</v>
      </c>
      <c r="AC251" s="4" t="n">
        <f aca="false">IF($B251=AC$1,1,0)</f>
        <v>0</v>
      </c>
      <c r="AD251" s="4" t="n">
        <f aca="false">IF($B251=AD$1,1,0)</f>
        <v>0</v>
      </c>
      <c r="AE251" s="4" t="n">
        <f aca="false">IF($B251=AE$1,1,0)</f>
        <v>0</v>
      </c>
      <c r="AF251" s="4" t="n">
        <f aca="false">IF($B251=AF$1,1,0)</f>
        <v>0</v>
      </c>
      <c r="AG251" s="4" t="n">
        <f aca="false">IF($B251=AG$1,1,0)</f>
        <v>0</v>
      </c>
      <c r="AH251" s="4" t="n">
        <f aca="false">IF($B251=AH$1,1,0)</f>
        <v>1</v>
      </c>
      <c r="AI251" s="4" t="n">
        <f aca="false">IF($B251=AI$1,1,0)</f>
        <v>0</v>
      </c>
      <c r="AJ251" s="4" t="n">
        <f aca="false">IF($B251=AJ$1,1,0)</f>
        <v>0</v>
      </c>
      <c r="AK251" s="4" t="n">
        <f aca="false">IF($B251=AK$1,1,0)</f>
        <v>0</v>
      </c>
      <c r="AL251" s="4" t="n">
        <f aca="false">IF($B251=AL$1,1,0)</f>
        <v>0</v>
      </c>
      <c r="AM251" s="4" t="n">
        <f aca="false">IF($B251=AM$1,1,0)</f>
        <v>0</v>
      </c>
      <c r="AN251" s="4" t="n">
        <f aca="false">IF($B251=AN$1,1,0)</f>
        <v>0</v>
      </c>
      <c r="AO251" s="4" t="n">
        <f aca="false">IF($B251=AO$1,1,0)</f>
        <v>0</v>
      </c>
      <c r="AP251" s="4" t="n">
        <f aca="false">IF($B251=AP$1,1,0)</f>
        <v>0</v>
      </c>
      <c r="AQ251" s="4" t="n">
        <f aca="false">IF($B251=AQ$1,1,0)</f>
        <v>0</v>
      </c>
      <c r="AR251" s="4" t="n">
        <f aca="false">IF($B251=AR$1,1,0)</f>
        <v>0</v>
      </c>
      <c r="AS251" s="4" t="n">
        <f aca="false">IF($B251=AS$1,1,0)</f>
        <v>0</v>
      </c>
      <c r="AT251" s="4" t="n">
        <f aca="false">IF($B251=AT$1,1,0)</f>
        <v>0</v>
      </c>
      <c r="BB251" s="4" t="n">
        <f aca="false">A251</f>
        <v>250</v>
      </c>
      <c r="BC251" s="7" t="n">
        <f aca="false">ABS($T251-$AX$2)+ABS($U251-$AY$2)+ABS($V251-$AZ$2)</f>
        <v>54424.7676056338</v>
      </c>
      <c r="BD251" s="7" t="n">
        <f aca="false">ABS($T251-$AX$3)+ABS($U251-$AY$3)+ABS($V251-$AZ$3)</f>
        <v>30598.406779661</v>
      </c>
      <c r="BE251" s="7" t="n">
        <f aca="false">ABS($T251-$AX$4)+ABS($U251-$AY$4)+ABS($V251-$AZ$4)</f>
        <v>550.641509433964</v>
      </c>
      <c r="BF251" s="7" t="n">
        <f aca="false">MIN(BC251:BE251)</f>
        <v>550.641509433964</v>
      </c>
      <c r="BG251" s="4" t="n">
        <f aca="false">MATCH(BF251,BC251:BE251,0)</f>
        <v>3</v>
      </c>
      <c r="BH251" s="8" t="n">
        <v>3</v>
      </c>
      <c r="BI251" s="4" t="n">
        <f aca="false">IF(BG251=BH251,0,1)</f>
        <v>0</v>
      </c>
      <c r="BK251" s="8" t="n">
        <v>3</v>
      </c>
      <c r="BL251" s="8" t="n">
        <v>3</v>
      </c>
      <c r="BM251" s="8" t="n">
        <v>3</v>
      </c>
    </row>
    <row r="252" customFormat="false" ht="15" hidden="false" customHeight="false" outlineLevel="0" collapsed="false">
      <c r="A252" s="3" t="n">
        <v>251</v>
      </c>
      <c r="B252" s="3" t="s">
        <v>38</v>
      </c>
      <c r="C252" s="3" t="n">
        <v>0</v>
      </c>
      <c r="D252" s="3" t="n">
        <v>0</v>
      </c>
      <c r="E252" s="3" t="n">
        <v>1</v>
      </c>
      <c r="F252" s="3" t="n">
        <v>0</v>
      </c>
      <c r="G252" s="3" t="n">
        <v>0</v>
      </c>
      <c r="H252" s="3" t="n">
        <v>4</v>
      </c>
      <c r="I252" s="3" t="n">
        <v>4</v>
      </c>
      <c r="J252" s="3" t="n">
        <v>5</v>
      </c>
      <c r="K252" s="3" t="n">
        <v>5</v>
      </c>
      <c r="L252" s="3" t="n">
        <v>5</v>
      </c>
      <c r="M252" s="3" t="n">
        <v>5</v>
      </c>
      <c r="N252" s="3" t="n">
        <v>3</v>
      </c>
      <c r="O252" s="3" t="n">
        <v>3</v>
      </c>
      <c r="P252" s="3" t="n">
        <v>3</v>
      </c>
      <c r="Q252" s="3" t="n">
        <v>3</v>
      </c>
      <c r="R252" s="3" t="n">
        <v>3</v>
      </c>
      <c r="S252" s="3" t="n">
        <v>3</v>
      </c>
      <c r="T252" s="3" t="n">
        <v>0</v>
      </c>
      <c r="U252" s="3" t="n">
        <v>49</v>
      </c>
      <c r="V252" s="3" t="n">
        <v>54750</v>
      </c>
      <c r="W252" s="3" t="n">
        <v>1</v>
      </c>
      <c r="X252" s="3" t="n">
        <v>4</v>
      </c>
      <c r="Y252" s="3" t="n">
        <v>2</v>
      </c>
      <c r="Z252" s="3" t="n">
        <v>1</v>
      </c>
      <c r="AA252" s="4" t="n">
        <f aca="false">IF($B252=AA$1,1,0)</f>
        <v>0</v>
      </c>
      <c r="AB252" s="4" t="n">
        <f aca="false">IF($B252=AB$1,1,0)</f>
        <v>0</v>
      </c>
      <c r="AC252" s="4" t="n">
        <f aca="false">IF($B252=AC$1,1,0)</f>
        <v>0</v>
      </c>
      <c r="AD252" s="4" t="n">
        <f aca="false">IF($B252=AD$1,1,0)</f>
        <v>0</v>
      </c>
      <c r="AE252" s="4" t="n">
        <f aca="false">IF($B252=AE$1,1,0)</f>
        <v>0</v>
      </c>
      <c r="AF252" s="4" t="n">
        <f aca="false">IF($B252=AF$1,1,0)</f>
        <v>0</v>
      </c>
      <c r="AG252" s="4" t="n">
        <f aca="false">IF($B252=AG$1,1,0)</f>
        <v>0</v>
      </c>
      <c r="AH252" s="4" t="n">
        <f aca="false">IF($B252=AH$1,1,0)</f>
        <v>0</v>
      </c>
      <c r="AI252" s="4" t="n">
        <f aca="false">IF($B252=AI$1,1,0)</f>
        <v>0</v>
      </c>
      <c r="AJ252" s="4" t="n">
        <f aca="false">IF($B252=AJ$1,1,0)</f>
        <v>0</v>
      </c>
      <c r="AK252" s="4" t="n">
        <f aca="false">IF($B252=AK$1,1,0)</f>
        <v>0</v>
      </c>
      <c r="AL252" s="4" t="n">
        <f aca="false">IF($B252=AL$1,1,0)</f>
        <v>0</v>
      </c>
      <c r="AM252" s="4" t="n">
        <f aca="false">IF($B252=AM$1,1,0)</f>
        <v>1</v>
      </c>
      <c r="AN252" s="4" t="n">
        <f aca="false">IF($B252=AN$1,1,0)</f>
        <v>0</v>
      </c>
      <c r="AO252" s="4" t="n">
        <f aca="false">IF($B252=AO$1,1,0)</f>
        <v>0</v>
      </c>
      <c r="AP252" s="4" t="n">
        <f aca="false">IF($B252=AP$1,1,0)</f>
        <v>0</v>
      </c>
      <c r="AQ252" s="4" t="n">
        <f aca="false">IF($B252=AQ$1,1,0)</f>
        <v>0</v>
      </c>
      <c r="AR252" s="4" t="n">
        <f aca="false">IF($B252=AR$1,1,0)</f>
        <v>0</v>
      </c>
      <c r="AS252" s="4" t="n">
        <f aca="false">IF($B252=AS$1,1,0)</f>
        <v>0</v>
      </c>
      <c r="AT252" s="4" t="n">
        <f aca="false">IF($B252=AT$1,1,0)</f>
        <v>0</v>
      </c>
      <c r="BB252" s="4" t="n">
        <f aca="false">A252</f>
        <v>251</v>
      </c>
      <c r="BC252" s="7" t="n">
        <f aca="false">ABS($T252-$AX$2)+ABS($U252-$AY$2)+ABS($V252-$AZ$2)</f>
        <v>31926.2887323944</v>
      </c>
      <c r="BD252" s="7" t="n">
        <f aca="false">ABS($T252-$AX$3)+ABS($U252-$AY$3)+ABS($V252-$AZ$3)</f>
        <v>8094.64406779661</v>
      </c>
      <c r="BE252" s="7" t="n">
        <f aca="false">ABS($T252-$AX$4)+ABS($U252-$AY$4)+ABS($V252-$AZ$4)</f>
        <v>23051.6037735849</v>
      </c>
      <c r="BF252" s="7" t="n">
        <f aca="false">MIN(BC252:BE252)</f>
        <v>8094.64406779661</v>
      </c>
      <c r="BG252" s="4" t="n">
        <f aca="false">MATCH(BF252,BC252:BE252,0)</f>
        <v>2</v>
      </c>
      <c r="BH252" s="8" t="n">
        <v>2</v>
      </c>
      <c r="BI252" s="4" t="n">
        <f aca="false">IF(BG252=BH252,0,1)</f>
        <v>0</v>
      </c>
      <c r="BK252" s="8" t="n">
        <v>2</v>
      </c>
      <c r="BL252" s="8" t="n">
        <v>2</v>
      </c>
      <c r="BM252" s="8" t="n">
        <v>2</v>
      </c>
    </row>
    <row r="253" customFormat="false" ht="15" hidden="false" customHeight="false" outlineLevel="0" collapsed="false">
      <c r="A253" s="3" t="n">
        <v>252</v>
      </c>
      <c r="B253" s="3" t="s">
        <v>42</v>
      </c>
      <c r="C253" s="3" t="n">
        <v>1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5</v>
      </c>
      <c r="I253" s="3" t="n">
        <v>5</v>
      </c>
      <c r="J253" s="3" t="n">
        <v>5</v>
      </c>
      <c r="K253" s="3" t="n">
        <v>5</v>
      </c>
      <c r="L253" s="3" t="n">
        <v>5</v>
      </c>
      <c r="M253" s="3" t="n">
        <v>5</v>
      </c>
      <c r="N253" s="3" t="n">
        <v>3</v>
      </c>
      <c r="O253" s="3" t="n">
        <v>4</v>
      </c>
      <c r="P253" s="3" t="n">
        <v>3</v>
      </c>
      <c r="Q253" s="3" t="n">
        <v>4</v>
      </c>
      <c r="R253" s="3" t="n">
        <v>4</v>
      </c>
      <c r="S253" s="3" t="n">
        <v>4</v>
      </c>
      <c r="T253" s="3" t="n">
        <v>0</v>
      </c>
      <c r="U253" s="3" t="n">
        <v>29</v>
      </c>
      <c r="V253" s="3" t="n">
        <v>35972</v>
      </c>
      <c r="W253" s="3" t="n">
        <v>1</v>
      </c>
      <c r="X253" s="3" t="n">
        <v>4</v>
      </c>
      <c r="Y253" s="3" t="n">
        <v>1</v>
      </c>
      <c r="Z253" s="3" t="n">
        <v>1</v>
      </c>
      <c r="AA253" s="4" t="n">
        <f aca="false">IF($B253=AA$1,1,0)</f>
        <v>0</v>
      </c>
      <c r="AB253" s="4" t="n">
        <f aca="false">IF($B253=AB$1,1,0)</f>
        <v>0</v>
      </c>
      <c r="AC253" s="4" t="n">
        <f aca="false">IF($B253=AC$1,1,0)</f>
        <v>0</v>
      </c>
      <c r="AD253" s="4" t="n">
        <f aca="false">IF($B253=AD$1,1,0)</f>
        <v>0</v>
      </c>
      <c r="AE253" s="4" t="n">
        <f aca="false">IF($B253=AE$1,1,0)</f>
        <v>0</v>
      </c>
      <c r="AF253" s="4" t="n">
        <f aca="false">IF($B253=AF$1,1,0)</f>
        <v>0</v>
      </c>
      <c r="AG253" s="4" t="n">
        <f aca="false">IF($B253=AG$1,1,0)</f>
        <v>0</v>
      </c>
      <c r="AH253" s="4" t="n">
        <f aca="false">IF($B253=AH$1,1,0)</f>
        <v>0</v>
      </c>
      <c r="AI253" s="4" t="n">
        <f aca="false">IF($B253=AI$1,1,0)</f>
        <v>0</v>
      </c>
      <c r="AJ253" s="4" t="n">
        <f aca="false">IF($B253=AJ$1,1,0)</f>
        <v>0</v>
      </c>
      <c r="AK253" s="4" t="n">
        <f aca="false">IF($B253=AK$1,1,0)</f>
        <v>0</v>
      </c>
      <c r="AL253" s="4" t="n">
        <f aca="false">IF($B253=AL$1,1,0)</f>
        <v>0</v>
      </c>
      <c r="AM253" s="4" t="n">
        <f aca="false">IF($B253=AM$1,1,0)</f>
        <v>0</v>
      </c>
      <c r="AN253" s="4" t="n">
        <f aca="false">IF($B253=AN$1,1,0)</f>
        <v>0</v>
      </c>
      <c r="AO253" s="4" t="n">
        <f aca="false">IF($B253=AO$1,1,0)</f>
        <v>0</v>
      </c>
      <c r="AP253" s="4" t="n">
        <f aca="false">IF($B253=AP$1,1,0)</f>
        <v>0</v>
      </c>
      <c r="AQ253" s="4" t="n">
        <f aca="false">IF($B253=AQ$1,1,0)</f>
        <v>1</v>
      </c>
      <c r="AR253" s="4" t="n">
        <f aca="false">IF($B253=AR$1,1,0)</f>
        <v>0</v>
      </c>
      <c r="AS253" s="4" t="n">
        <f aca="false">IF($B253=AS$1,1,0)</f>
        <v>0</v>
      </c>
      <c r="AT253" s="4" t="n">
        <f aca="false">IF($B253=AT$1,1,0)</f>
        <v>0</v>
      </c>
      <c r="BB253" s="4" t="n">
        <f aca="false">A253</f>
        <v>252</v>
      </c>
      <c r="BC253" s="7" t="n">
        <f aca="false">ABS($T253-$AX$2)+ABS($U253-$AY$2)+ABS($V253-$AZ$2)</f>
        <v>13147.7676056338</v>
      </c>
      <c r="BD253" s="7" t="n">
        <f aca="false">ABS($T253-$AX$3)+ABS($U253-$AY$3)+ABS($V253-$AZ$3)</f>
        <v>10703.7288135593</v>
      </c>
      <c r="BE253" s="7" t="n">
        <f aca="false">ABS($T253-$AX$4)+ABS($U253-$AY$4)+ABS($V253-$AZ$4)</f>
        <v>41835.641509434</v>
      </c>
      <c r="BF253" s="7" t="n">
        <f aca="false">MIN(BC253:BE253)</f>
        <v>10703.7288135593</v>
      </c>
      <c r="BG253" s="4" t="n">
        <f aca="false">MATCH(BF253,BC253:BE253,0)</f>
        <v>2</v>
      </c>
      <c r="BH253" s="8" t="n">
        <v>2</v>
      </c>
      <c r="BI253" s="4" t="n">
        <f aca="false">IF(BG253=BH253,0,1)</f>
        <v>0</v>
      </c>
      <c r="BK253" s="8" t="n">
        <v>2</v>
      </c>
      <c r="BL253" s="8" t="n">
        <v>2</v>
      </c>
      <c r="BM253" s="8" t="n">
        <v>2</v>
      </c>
    </row>
    <row r="254" customFormat="false" ht="15" hidden="false" customHeight="false" outlineLevel="0" collapsed="false">
      <c r="A254" s="3" t="n">
        <v>253</v>
      </c>
      <c r="B254" s="3" t="s">
        <v>42</v>
      </c>
      <c r="C254" s="3" t="n">
        <v>1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4</v>
      </c>
      <c r="I254" s="3" t="n">
        <v>3</v>
      </c>
      <c r="J254" s="3" t="n">
        <v>5</v>
      </c>
      <c r="K254" s="3" t="n">
        <v>5</v>
      </c>
      <c r="L254" s="3" t="n">
        <v>5</v>
      </c>
      <c r="M254" s="3" t="n">
        <v>4</v>
      </c>
      <c r="N254" s="3" t="n">
        <v>3</v>
      </c>
      <c r="O254" s="3" t="n">
        <v>3</v>
      </c>
      <c r="P254" s="3" t="n">
        <v>2</v>
      </c>
      <c r="Q254" s="3" t="n">
        <v>5</v>
      </c>
      <c r="R254" s="3" t="n">
        <v>4</v>
      </c>
      <c r="S254" s="3" t="n">
        <v>4</v>
      </c>
      <c r="T254" s="3" t="n">
        <v>0</v>
      </c>
      <c r="U254" s="3" t="n">
        <v>33</v>
      </c>
      <c r="V254" s="3" t="n">
        <v>35714</v>
      </c>
      <c r="W254" s="3" t="n">
        <v>1</v>
      </c>
      <c r="X254" s="3" t="n">
        <v>3</v>
      </c>
      <c r="Y254" s="3" t="n">
        <v>2</v>
      </c>
      <c r="Z254" s="3" t="n">
        <v>1</v>
      </c>
      <c r="AA254" s="4" t="n">
        <f aca="false">IF($B254=AA$1,1,0)</f>
        <v>0</v>
      </c>
      <c r="AB254" s="4" t="n">
        <f aca="false">IF($B254=AB$1,1,0)</f>
        <v>0</v>
      </c>
      <c r="AC254" s="4" t="n">
        <f aca="false">IF($B254=AC$1,1,0)</f>
        <v>0</v>
      </c>
      <c r="AD254" s="4" t="n">
        <f aca="false">IF($B254=AD$1,1,0)</f>
        <v>0</v>
      </c>
      <c r="AE254" s="4" t="n">
        <f aca="false">IF($B254=AE$1,1,0)</f>
        <v>0</v>
      </c>
      <c r="AF254" s="4" t="n">
        <f aca="false">IF($B254=AF$1,1,0)</f>
        <v>0</v>
      </c>
      <c r="AG254" s="4" t="n">
        <f aca="false">IF($B254=AG$1,1,0)</f>
        <v>0</v>
      </c>
      <c r="AH254" s="4" t="n">
        <f aca="false">IF($B254=AH$1,1,0)</f>
        <v>0</v>
      </c>
      <c r="AI254" s="4" t="n">
        <f aca="false">IF($B254=AI$1,1,0)</f>
        <v>0</v>
      </c>
      <c r="AJ254" s="4" t="n">
        <f aca="false">IF($B254=AJ$1,1,0)</f>
        <v>0</v>
      </c>
      <c r="AK254" s="4" t="n">
        <f aca="false">IF($B254=AK$1,1,0)</f>
        <v>0</v>
      </c>
      <c r="AL254" s="4" t="n">
        <f aca="false">IF($B254=AL$1,1,0)</f>
        <v>0</v>
      </c>
      <c r="AM254" s="4" t="n">
        <f aca="false">IF($B254=AM$1,1,0)</f>
        <v>0</v>
      </c>
      <c r="AN254" s="4" t="n">
        <f aca="false">IF($B254=AN$1,1,0)</f>
        <v>0</v>
      </c>
      <c r="AO254" s="4" t="n">
        <f aca="false">IF($B254=AO$1,1,0)</f>
        <v>0</v>
      </c>
      <c r="AP254" s="4" t="n">
        <f aca="false">IF($B254=AP$1,1,0)</f>
        <v>0</v>
      </c>
      <c r="AQ254" s="4" t="n">
        <f aca="false">IF($B254=AQ$1,1,0)</f>
        <v>1</v>
      </c>
      <c r="AR254" s="4" t="n">
        <f aca="false">IF($B254=AR$1,1,0)</f>
        <v>0</v>
      </c>
      <c r="AS254" s="4" t="n">
        <f aca="false">IF($B254=AS$1,1,0)</f>
        <v>0</v>
      </c>
      <c r="AT254" s="4" t="n">
        <f aca="false">IF($B254=AT$1,1,0)</f>
        <v>0</v>
      </c>
      <c r="BB254" s="4" t="n">
        <f aca="false">A254</f>
        <v>253</v>
      </c>
      <c r="BC254" s="7" t="n">
        <f aca="false">ABS($T254-$AX$2)+ABS($U254-$AY$2)+ABS($V254-$AZ$2)</f>
        <v>12885.7676056338</v>
      </c>
      <c r="BD254" s="7" t="n">
        <f aca="false">ABS($T254-$AX$3)+ABS($U254-$AY$3)+ABS($V254-$AZ$3)</f>
        <v>10957.7288135593</v>
      </c>
      <c r="BE254" s="7" t="n">
        <f aca="false">ABS($T254-$AX$4)+ABS($U254-$AY$4)+ABS($V254-$AZ$4)</f>
        <v>42089.641509434</v>
      </c>
      <c r="BF254" s="7" t="n">
        <f aca="false">MIN(BC254:BE254)</f>
        <v>10957.7288135593</v>
      </c>
      <c r="BG254" s="4" t="n">
        <f aca="false">MATCH(BF254,BC254:BE254,0)</f>
        <v>2</v>
      </c>
      <c r="BH254" s="8" t="n">
        <v>2</v>
      </c>
      <c r="BI254" s="4" t="n">
        <f aca="false">IF(BG254=BH254,0,1)</f>
        <v>0</v>
      </c>
      <c r="BK254" s="8" t="n">
        <v>2</v>
      </c>
      <c r="BL254" s="8" t="n">
        <v>2</v>
      </c>
      <c r="BM254" s="8" t="n">
        <v>2</v>
      </c>
    </row>
    <row r="255" customFormat="false" ht="15" hidden="false" customHeight="false" outlineLevel="0" collapsed="false">
      <c r="A255" s="3" t="n">
        <v>254</v>
      </c>
      <c r="B255" s="3" t="s">
        <v>33</v>
      </c>
      <c r="C255" s="3" t="n">
        <v>1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5</v>
      </c>
      <c r="I255" s="3" t="n">
        <v>5</v>
      </c>
      <c r="J255" s="3" t="n">
        <v>5</v>
      </c>
      <c r="K255" s="3" t="n">
        <v>5</v>
      </c>
      <c r="L255" s="3" t="n">
        <v>5</v>
      </c>
      <c r="M255" s="3" t="n">
        <v>5</v>
      </c>
      <c r="N255" s="3" t="n">
        <v>2</v>
      </c>
      <c r="O255" s="3" t="n">
        <v>2</v>
      </c>
      <c r="P255" s="3" t="n">
        <v>3</v>
      </c>
      <c r="Q255" s="3" t="n">
        <v>4</v>
      </c>
      <c r="R255" s="3" t="n">
        <v>5</v>
      </c>
      <c r="S255" s="3" t="n">
        <v>4</v>
      </c>
      <c r="T255" s="3" t="n">
        <v>0</v>
      </c>
      <c r="U255" s="3" t="n">
        <v>18</v>
      </c>
      <c r="V255" s="3" t="n">
        <v>18631</v>
      </c>
      <c r="W255" s="3" t="n">
        <v>1</v>
      </c>
      <c r="X255" s="3" t="n">
        <v>2</v>
      </c>
      <c r="Y255" s="3" t="n">
        <v>1</v>
      </c>
      <c r="Z255" s="3" t="n">
        <v>2</v>
      </c>
      <c r="AA255" s="4" t="n">
        <f aca="false">IF($B255=AA$1,1,0)</f>
        <v>0</v>
      </c>
      <c r="AB255" s="4" t="n">
        <f aca="false">IF($B255=AB$1,1,0)</f>
        <v>0</v>
      </c>
      <c r="AC255" s="4" t="n">
        <f aca="false">IF($B255=AC$1,1,0)</f>
        <v>0</v>
      </c>
      <c r="AD255" s="4" t="n">
        <f aca="false">IF($B255=AD$1,1,0)</f>
        <v>0</v>
      </c>
      <c r="AE255" s="4" t="n">
        <f aca="false">IF($B255=AE$1,1,0)</f>
        <v>0</v>
      </c>
      <c r="AF255" s="4" t="n">
        <f aca="false">IF($B255=AF$1,1,0)</f>
        <v>0</v>
      </c>
      <c r="AG255" s="4" t="n">
        <f aca="false">IF($B255=AG$1,1,0)</f>
        <v>0</v>
      </c>
      <c r="AH255" s="4" t="n">
        <f aca="false">IF($B255=AH$1,1,0)</f>
        <v>1</v>
      </c>
      <c r="AI255" s="4" t="n">
        <f aca="false">IF($B255=AI$1,1,0)</f>
        <v>0</v>
      </c>
      <c r="AJ255" s="4" t="n">
        <f aca="false">IF($B255=AJ$1,1,0)</f>
        <v>0</v>
      </c>
      <c r="AK255" s="4" t="n">
        <f aca="false">IF($B255=AK$1,1,0)</f>
        <v>0</v>
      </c>
      <c r="AL255" s="4" t="n">
        <f aca="false">IF($B255=AL$1,1,0)</f>
        <v>0</v>
      </c>
      <c r="AM255" s="4" t="n">
        <f aca="false">IF($B255=AM$1,1,0)</f>
        <v>0</v>
      </c>
      <c r="AN255" s="4" t="n">
        <f aca="false">IF($B255=AN$1,1,0)</f>
        <v>0</v>
      </c>
      <c r="AO255" s="4" t="n">
        <f aca="false">IF($B255=AO$1,1,0)</f>
        <v>0</v>
      </c>
      <c r="AP255" s="4" t="n">
        <f aca="false">IF($B255=AP$1,1,0)</f>
        <v>0</v>
      </c>
      <c r="AQ255" s="4" t="n">
        <f aca="false">IF($B255=AQ$1,1,0)</f>
        <v>0</v>
      </c>
      <c r="AR255" s="4" t="n">
        <f aca="false">IF($B255=AR$1,1,0)</f>
        <v>0</v>
      </c>
      <c r="AS255" s="4" t="n">
        <f aca="false">IF($B255=AS$1,1,0)</f>
        <v>0</v>
      </c>
      <c r="AT255" s="4" t="n">
        <f aca="false">IF($B255=AT$1,1,0)</f>
        <v>0</v>
      </c>
      <c r="BB255" s="4" t="n">
        <f aca="false">A255</f>
        <v>254</v>
      </c>
      <c r="BC255" s="7" t="n">
        <f aca="false">ABS($T255-$AX$2)+ABS($U255-$AY$2)+ABS($V255-$AZ$2)</f>
        <v>4224.14788732395</v>
      </c>
      <c r="BD255" s="7" t="n">
        <f aca="false">ABS($T255-$AX$3)+ABS($U255-$AY$3)+ABS($V255-$AZ$3)</f>
        <v>28055.7288135593</v>
      </c>
      <c r="BE255" s="7" t="n">
        <f aca="false">ABS($T255-$AX$4)+ABS($U255-$AY$4)+ABS($V255-$AZ$4)</f>
        <v>59187.641509434</v>
      </c>
      <c r="BF255" s="7" t="n">
        <f aca="false">MIN(BC255:BE255)</f>
        <v>4224.14788732395</v>
      </c>
      <c r="BG255" s="4" t="n">
        <f aca="false">MATCH(BF255,BC255:BE255,0)</f>
        <v>1</v>
      </c>
      <c r="BH255" s="8" t="n">
        <v>1</v>
      </c>
      <c r="BI255" s="4" t="n">
        <f aca="false">IF(BG255=BH255,0,1)</f>
        <v>0</v>
      </c>
      <c r="BK255" s="8" t="n">
        <v>1</v>
      </c>
      <c r="BL255" s="8" t="n">
        <v>1</v>
      </c>
      <c r="BM255" s="8" t="n">
        <v>1</v>
      </c>
    </row>
    <row r="256" customFormat="false" ht="15" hidden="false" customHeight="false" outlineLevel="0" collapsed="false">
      <c r="A256" s="3" t="n">
        <v>255</v>
      </c>
      <c r="B256" s="3" t="s">
        <v>42</v>
      </c>
      <c r="C256" s="3" t="n">
        <v>0</v>
      </c>
      <c r="D256" s="3" t="n">
        <v>0</v>
      </c>
      <c r="E256" s="3" t="n">
        <v>1</v>
      </c>
      <c r="F256" s="3" t="n">
        <v>0</v>
      </c>
      <c r="G256" s="3" t="n">
        <v>0</v>
      </c>
      <c r="H256" s="3" t="n">
        <v>4</v>
      </c>
      <c r="I256" s="3" t="n">
        <v>4</v>
      </c>
      <c r="J256" s="3" t="n">
        <v>4</v>
      </c>
      <c r="K256" s="3" t="n">
        <v>4</v>
      </c>
      <c r="L256" s="3" t="n">
        <v>4</v>
      </c>
      <c r="M256" s="3" t="n">
        <v>4</v>
      </c>
      <c r="N256" s="3" t="n">
        <v>3</v>
      </c>
      <c r="O256" s="3" t="n">
        <v>3</v>
      </c>
      <c r="P256" s="3" t="n">
        <v>3</v>
      </c>
      <c r="Q256" s="3" t="n">
        <v>3</v>
      </c>
      <c r="R256" s="3" t="n">
        <v>3</v>
      </c>
      <c r="S256" s="3" t="n">
        <v>3</v>
      </c>
      <c r="T256" s="3" t="n">
        <v>0</v>
      </c>
      <c r="U256" s="3" t="n">
        <v>49</v>
      </c>
      <c r="V256" s="3" t="n">
        <v>28872</v>
      </c>
      <c r="W256" s="3" t="n">
        <v>2</v>
      </c>
      <c r="X256" s="3" t="n">
        <v>2</v>
      </c>
      <c r="Y256" s="3" t="n">
        <v>2</v>
      </c>
      <c r="Z256" s="3" t="n">
        <v>2</v>
      </c>
      <c r="AA256" s="4" t="n">
        <f aca="false">IF($B256=AA$1,1,0)</f>
        <v>0</v>
      </c>
      <c r="AB256" s="4" t="n">
        <f aca="false">IF($B256=AB$1,1,0)</f>
        <v>0</v>
      </c>
      <c r="AC256" s="4" t="n">
        <f aca="false">IF($B256=AC$1,1,0)</f>
        <v>0</v>
      </c>
      <c r="AD256" s="4" t="n">
        <f aca="false">IF($B256=AD$1,1,0)</f>
        <v>0</v>
      </c>
      <c r="AE256" s="4" t="n">
        <f aca="false">IF($B256=AE$1,1,0)</f>
        <v>0</v>
      </c>
      <c r="AF256" s="4" t="n">
        <f aca="false">IF($B256=AF$1,1,0)</f>
        <v>0</v>
      </c>
      <c r="AG256" s="4" t="n">
        <f aca="false">IF($B256=AG$1,1,0)</f>
        <v>0</v>
      </c>
      <c r="AH256" s="4" t="n">
        <f aca="false">IF($B256=AH$1,1,0)</f>
        <v>0</v>
      </c>
      <c r="AI256" s="4" t="n">
        <f aca="false">IF($B256=AI$1,1,0)</f>
        <v>0</v>
      </c>
      <c r="AJ256" s="4" t="n">
        <f aca="false">IF($B256=AJ$1,1,0)</f>
        <v>0</v>
      </c>
      <c r="AK256" s="4" t="n">
        <f aca="false">IF($B256=AK$1,1,0)</f>
        <v>0</v>
      </c>
      <c r="AL256" s="4" t="n">
        <f aca="false">IF($B256=AL$1,1,0)</f>
        <v>0</v>
      </c>
      <c r="AM256" s="4" t="n">
        <f aca="false">IF($B256=AM$1,1,0)</f>
        <v>0</v>
      </c>
      <c r="AN256" s="4" t="n">
        <f aca="false">IF($B256=AN$1,1,0)</f>
        <v>0</v>
      </c>
      <c r="AO256" s="4" t="n">
        <f aca="false">IF($B256=AO$1,1,0)</f>
        <v>0</v>
      </c>
      <c r="AP256" s="4" t="n">
        <f aca="false">IF($B256=AP$1,1,0)</f>
        <v>0</v>
      </c>
      <c r="AQ256" s="4" t="n">
        <f aca="false">IF($B256=AQ$1,1,0)</f>
        <v>1</v>
      </c>
      <c r="AR256" s="4" t="n">
        <f aca="false">IF($B256=AR$1,1,0)</f>
        <v>0</v>
      </c>
      <c r="AS256" s="4" t="n">
        <f aca="false">IF($B256=AS$1,1,0)</f>
        <v>0</v>
      </c>
      <c r="AT256" s="4" t="n">
        <f aca="false">IF($B256=AT$1,1,0)</f>
        <v>0</v>
      </c>
      <c r="BB256" s="4" t="n">
        <f aca="false">A256</f>
        <v>255</v>
      </c>
      <c r="BC256" s="7" t="n">
        <f aca="false">ABS($T256-$AX$2)+ABS($U256-$AY$2)+ABS($V256-$AZ$2)</f>
        <v>6048.28873239436</v>
      </c>
      <c r="BD256" s="7" t="n">
        <f aca="false">ABS($T256-$AX$3)+ABS($U256-$AY$3)+ABS($V256-$AZ$3)</f>
        <v>17798.9661016949</v>
      </c>
      <c r="BE256" s="7" t="n">
        <f aca="false">ABS($T256-$AX$4)+ABS($U256-$AY$4)+ABS($V256-$AZ$4)</f>
        <v>48929.6037735849</v>
      </c>
      <c r="BF256" s="7" t="n">
        <f aca="false">MIN(BC256:BE256)</f>
        <v>6048.28873239436</v>
      </c>
      <c r="BG256" s="4" t="n">
        <f aca="false">MATCH(BF256,BC256:BE256,0)</f>
        <v>1</v>
      </c>
      <c r="BH256" s="8" t="n">
        <v>1</v>
      </c>
      <c r="BI256" s="4" t="n">
        <f aca="false">IF(BG256=BH256,0,1)</f>
        <v>0</v>
      </c>
      <c r="BK256" s="8" t="n">
        <v>1</v>
      </c>
      <c r="BL256" s="8" t="n">
        <v>1</v>
      </c>
      <c r="BM256" s="8" t="n">
        <v>1</v>
      </c>
    </row>
    <row r="257" customFormat="false" ht="15" hidden="false" customHeight="false" outlineLevel="0" collapsed="false">
      <c r="A257" s="3" t="n">
        <v>256</v>
      </c>
      <c r="B257" s="3" t="s">
        <v>38</v>
      </c>
      <c r="C257" s="3" t="n">
        <v>1</v>
      </c>
      <c r="D257" s="3" t="n">
        <v>0</v>
      </c>
      <c r="E257" s="3" t="n">
        <v>0</v>
      </c>
      <c r="F257" s="3" t="n">
        <v>0</v>
      </c>
      <c r="G257" s="3" t="n">
        <v>0</v>
      </c>
      <c r="H257" s="3" t="n">
        <v>5</v>
      </c>
      <c r="I257" s="3" t="n">
        <v>5</v>
      </c>
      <c r="J257" s="3" t="n">
        <v>5</v>
      </c>
      <c r="K257" s="3" t="n">
        <v>5</v>
      </c>
      <c r="L257" s="3" t="n">
        <v>5</v>
      </c>
      <c r="M257" s="3" t="n">
        <v>4</v>
      </c>
      <c r="N257" s="3" t="n">
        <v>5</v>
      </c>
      <c r="O257" s="3" t="n">
        <v>5</v>
      </c>
      <c r="P257" s="3" t="n">
        <v>3</v>
      </c>
      <c r="Q257" s="3" t="n">
        <v>5</v>
      </c>
      <c r="R257" s="3" t="n">
        <v>5</v>
      </c>
      <c r="S257" s="3" t="n">
        <v>4</v>
      </c>
      <c r="T257" s="3" t="n">
        <v>0</v>
      </c>
      <c r="U257" s="3" t="n">
        <v>40</v>
      </c>
      <c r="V257" s="3" t="n">
        <v>31310</v>
      </c>
      <c r="W257" s="3" t="n">
        <v>1</v>
      </c>
      <c r="X257" s="3" t="n">
        <v>4</v>
      </c>
      <c r="Y257" s="3" t="n">
        <v>2</v>
      </c>
      <c r="Z257" s="3" t="n">
        <v>1</v>
      </c>
      <c r="AA257" s="4" t="n">
        <f aca="false">IF($B257=AA$1,1,0)</f>
        <v>0</v>
      </c>
      <c r="AB257" s="4" t="n">
        <f aca="false">IF($B257=AB$1,1,0)</f>
        <v>0</v>
      </c>
      <c r="AC257" s="4" t="n">
        <f aca="false">IF($B257=AC$1,1,0)</f>
        <v>0</v>
      </c>
      <c r="AD257" s="4" t="n">
        <f aca="false">IF($B257=AD$1,1,0)</f>
        <v>0</v>
      </c>
      <c r="AE257" s="4" t="n">
        <f aca="false">IF($B257=AE$1,1,0)</f>
        <v>0</v>
      </c>
      <c r="AF257" s="4" t="n">
        <f aca="false">IF($B257=AF$1,1,0)</f>
        <v>0</v>
      </c>
      <c r="AG257" s="4" t="n">
        <f aca="false">IF($B257=AG$1,1,0)</f>
        <v>0</v>
      </c>
      <c r="AH257" s="4" t="n">
        <f aca="false">IF($B257=AH$1,1,0)</f>
        <v>0</v>
      </c>
      <c r="AI257" s="4" t="n">
        <f aca="false">IF($B257=AI$1,1,0)</f>
        <v>0</v>
      </c>
      <c r="AJ257" s="4" t="n">
        <f aca="false">IF($B257=AJ$1,1,0)</f>
        <v>0</v>
      </c>
      <c r="AK257" s="4" t="n">
        <f aca="false">IF($B257=AK$1,1,0)</f>
        <v>0</v>
      </c>
      <c r="AL257" s="4" t="n">
        <f aca="false">IF($B257=AL$1,1,0)</f>
        <v>0</v>
      </c>
      <c r="AM257" s="4" t="n">
        <f aca="false">IF($B257=AM$1,1,0)</f>
        <v>1</v>
      </c>
      <c r="AN257" s="4" t="n">
        <f aca="false">IF($B257=AN$1,1,0)</f>
        <v>0</v>
      </c>
      <c r="AO257" s="4" t="n">
        <f aca="false">IF($B257=AO$1,1,0)</f>
        <v>0</v>
      </c>
      <c r="AP257" s="4" t="n">
        <f aca="false">IF($B257=AP$1,1,0)</f>
        <v>0</v>
      </c>
      <c r="AQ257" s="4" t="n">
        <f aca="false">IF($B257=AQ$1,1,0)</f>
        <v>0</v>
      </c>
      <c r="AR257" s="4" t="n">
        <f aca="false">IF($B257=AR$1,1,0)</f>
        <v>0</v>
      </c>
      <c r="AS257" s="4" t="n">
        <f aca="false">IF($B257=AS$1,1,0)</f>
        <v>0</v>
      </c>
      <c r="AT257" s="4" t="n">
        <f aca="false">IF($B257=AT$1,1,0)</f>
        <v>0</v>
      </c>
      <c r="BB257" s="4" t="n">
        <f aca="false">A257</f>
        <v>256</v>
      </c>
      <c r="BC257" s="7" t="n">
        <f aca="false">ABS($T257-$AX$2)+ABS($U257-$AY$2)+ABS($V257-$AZ$2)</f>
        <v>8477.28873239437</v>
      </c>
      <c r="BD257" s="7" t="n">
        <f aca="false">ABS($T257-$AX$3)+ABS($U257-$AY$3)+ABS($V257-$AZ$3)</f>
        <v>15354.7288135593</v>
      </c>
      <c r="BE257" s="7" t="n">
        <f aca="false">ABS($T257-$AX$4)+ABS($U257-$AY$4)+ABS($V257-$AZ$4)</f>
        <v>46486.641509434</v>
      </c>
      <c r="BF257" s="7" t="n">
        <f aca="false">MIN(BC257:BE257)</f>
        <v>8477.28873239437</v>
      </c>
      <c r="BG257" s="4" t="n">
        <f aca="false">MATCH(BF257,BC257:BE257,0)</f>
        <v>1</v>
      </c>
      <c r="BH257" s="8" t="n">
        <v>1</v>
      </c>
      <c r="BI257" s="4" t="n">
        <f aca="false">IF(BG257=BH257,0,1)</f>
        <v>0</v>
      </c>
      <c r="BK257" s="8" t="n">
        <v>2</v>
      </c>
      <c r="BL257" s="8" t="n">
        <v>1</v>
      </c>
      <c r="BM257" s="8" t="n">
        <v>1</v>
      </c>
    </row>
    <row r="258" customFormat="false" ht="15" hidden="false" customHeight="false" outlineLevel="0" collapsed="false">
      <c r="A258" s="3" t="n">
        <v>257</v>
      </c>
      <c r="B258" s="3" t="s">
        <v>42</v>
      </c>
      <c r="C258" s="3" t="n">
        <v>1</v>
      </c>
      <c r="D258" s="3" t="n">
        <v>0</v>
      </c>
      <c r="E258" s="3" t="n">
        <v>0</v>
      </c>
      <c r="F258" s="3" t="n">
        <v>0</v>
      </c>
      <c r="G258" s="3" t="n">
        <v>0</v>
      </c>
      <c r="H258" s="3" t="n">
        <v>4</v>
      </c>
      <c r="I258" s="3" t="n">
        <v>3</v>
      </c>
      <c r="J258" s="3" t="n">
        <v>5</v>
      </c>
      <c r="K258" s="3" t="n">
        <v>4</v>
      </c>
      <c r="L258" s="3" t="n">
        <v>5</v>
      </c>
      <c r="M258" s="3" t="n">
        <v>3</v>
      </c>
      <c r="N258" s="3" t="n">
        <v>4</v>
      </c>
      <c r="O258" s="3" t="n">
        <v>3</v>
      </c>
      <c r="P258" s="3" t="n">
        <v>2</v>
      </c>
      <c r="Q258" s="3" t="n">
        <v>5</v>
      </c>
      <c r="R258" s="3" t="n">
        <v>5</v>
      </c>
      <c r="S258" s="3" t="n">
        <v>4</v>
      </c>
      <c r="T258" s="3" t="n">
        <v>0</v>
      </c>
      <c r="U258" s="3" t="n">
        <v>29</v>
      </c>
      <c r="V258" s="3" t="n">
        <v>11059</v>
      </c>
      <c r="W258" s="3" t="n">
        <v>2</v>
      </c>
      <c r="X258" s="3" t="n">
        <v>3</v>
      </c>
      <c r="Y258" s="3" t="n">
        <v>2</v>
      </c>
      <c r="Z258" s="3" t="n">
        <v>3</v>
      </c>
      <c r="AA258" s="4" t="n">
        <f aca="false">IF($B258=AA$1,1,0)</f>
        <v>0</v>
      </c>
      <c r="AB258" s="4" t="n">
        <f aca="false">IF($B258=AB$1,1,0)</f>
        <v>0</v>
      </c>
      <c r="AC258" s="4" t="n">
        <f aca="false">IF($B258=AC$1,1,0)</f>
        <v>0</v>
      </c>
      <c r="AD258" s="4" t="n">
        <f aca="false">IF($B258=AD$1,1,0)</f>
        <v>0</v>
      </c>
      <c r="AE258" s="4" t="n">
        <f aca="false">IF($B258=AE$1,1,0)</f>
        <v>0</v>
      </c>
      <c r="AF258" s="4" t="n">
        <f aca="false">IF($B258=AF$1,1,0)</f>
        <v>0</v>
      </c>
      <c r="AG258" s="4" t="n">
        <f aca="false">IF($B258=AG$1,1,0)</f>
        <v>0</v>
      </c>
      <c r="AH258" s="4" t="n">
        <f aca="false">IF($B258=AH$1,1,0)</f>
        <v>0</v>
      </c>
      <c r="AI258" s="4" t="n">
        <f aca="false">IF($B258=AI$1,1,0)</f>
        <v>0</v>
      </c>
      <c r="AJ258" s="4" t="n">
        <f aca="false">IF($B258=AJ$1,1,0)</f>
        <v>0</v>
      </c>
      <c r="AK258" s="4" t="n">
        <f aca="false">IF($B258=AK$1,1,0)</f>
        <v>0</v>
      </c>
      <c r="AL258" s="4" t="n">
        <f aca="false">IF($B258=AL$1,1,0)</f>
        <v>0</v>
      </c>
      <c r="AM258" s="4" t="n">
        <f aca="false">IF($B258=AM$1,1,0)</f>
        <v>0</v>
      </c>
      <c r="AN258" s="4" t="n">
        <f aca="false">IF($B258=AN$1,1,0)</f>
        <v>0</v>
      </c>
      <c r="AO258" s="4" t="n">
        <f aca="false">IF($B258=AO$1,1,0)</f>
        <v>0</v>
      </c>
      <c r="AP258" s="4" t="n">
        <f aca="false">IF($B258=AP$1,1,0)</f>
        <v>0</v>
      </c>
      <c r="AQ258" s="4" t="n">
        <f aca="false">IF($B258=AQ$1,1,0)</f>
        <v>1</v>
      </c>
      <c r="AR258" s="4" t="n">
        <f aca="false">IF($B258=AR$1,1,0)</f>
        <v>0</v>
      </c>
      <c r="AS258" s="4" t="n">
        <f aca="false">IF($B258=AS$1,1,0)</f>
        <v>0</v>
      </c>
      <c r="AT258" s="4" t="n">
        <f aca="false">IF($B258=AT$1,1,0)</f>
        <v>0</v>
      </c>
      <c r="BB258" s="4" t="n">
        <f aca="false">A258</f>
        <v>257</v>
      </c>
      <c r="BC258" s="7" t="n">
        <f aca="false">ABS($T258-$AX$2)+ABS($U258-$AY$2)+ABS($V258-$AZ$2)</f>
        <v>11785.1478873239</v>
      </c>
      <c r="BD258" s="7" t="n">
        <f aca="false">ABS($T258-$AX$3)+ABS($U258-$AY$3)+ABS($V258-$AZ$3)</f>
        <v>35616.7288135593</v>
      </c>
      <c r="BE258" s="7" t="n">
        <f aca="false">ABS($T258-$AX$4)+ABS($U258-$AY$4)+ABS($V258-$AZ$4)</f>
        <v>66748.641509434</v>
      </c>
      <c r="BF258" s="7" t="n">
        <f aca="false">MIN(BC258:BE258)</f>
        <v>11785.1478873239</v>
      </c>
      <c r="BG258" s="4" t="n">
        <f aca="false">MATCH(BF258,BC258:BE258,0)</f>
        <v>1</v>
      </c>
      <c r="BH258" s="8" t="n">
        <v>1</v>
      </c>
      <c r="BI258" s="4" t="n">
        <f aca="false">IF(BG258=BH258,0,1)</f>
        <v>0</v>
      </c>
      <c r="BK258" s="8" t="n">
        <v>1</v>
      </c>
      <c r="BL258" s="8" t="n">
        <v>1</v>
      </c>
      <c r="BM258" s="8" t="n">
        <v>1</v>
      </c>
    </row>
    <row r="259" customFormat="false" ht="15" hidden="false" customHeight="false" outlineLevel="0" collapsed="false">
      <c r="A259" s="3" t="n">
        <v>258</v>
      </c>
      <c r="B259" s="3" t="s">
        <v>38</v>
      </c>
      <c r="C259" s="3" t="n">
        <v>0</v>
      </c>
      <c r="D259" s="3" t="n">
        <v>0</v>
      </c>
      <c r="E259" s="3" t="n">
        <v>1</v>
      </c>
      <c r="F259" s="3" t="n">
        <v>1</v>
      </c>
      <c r="G259" s="3" t="n">
        <v>0</v>
      </c>
      <c r="H259" s="3" t="n">
        <v>5</v>
      </c>
      <c r="I259" s="3" t="n">
        <v>4</v>
      </c>
      <c r="J259" s="3" t="n">
        <v>5</v>
      </c>
      <c r="K259" s="3" t="n">
        <v>4</v>
      </c>
      <c r="L259" s="3" t="n">
        <v>4</v>
      </c>
      <c r="M259" s="3" t="n">
        <v>4</v>
      </c>
      <c r="N259" s="3" t="n">
        <v>5</v>
      </c>
      <c r="O259" s="3" t="n">
        <v>5</v>
      </c>
      <c r="P259" s="3" t="n">
        <v>5</v>
      </c>
      <c r="Q259" s="3" t="n">
        <v>5</v>
      </c>
      <c r="R259" s="3" t="n">
        <v>5</v>
      </c>
      <c r="S259" s="3" t="n">
        <v>5</v>
      </c>
      <c r="T259" s="3" t="n">
        <v>1</v>
      </c>
      <c r="U259" s="3" t="n">
        <v>30</v>
      </c>
      <c r="V259" s="3" t="n">
        <v>24737</v>
      </c>
      <c r="W259" s="3" t="n">
        <v>3</v>
      </c>
      <c r="X259" s="3" t="n">
        <v>2</v>
      </c>
      <c r="Y259" s="3" t="n">
        <v>2</v>
      </c>
      <c r="Z259" s="3" t="n">
        <v>2</v>
      </c>
      <c r="AA259" s="4" t="n">
        <f aca="false">IF($B259=AA$1,1,0)</f>
        <v>0</v>
      </c>
      <c r="AB259" s="4" t="n">
        <f aca="false">IF($B259=AB$1,1,0)</f>
        <v>0</v>
      </c>
      <c r="AC259" s="4" t="n">
        <f aca="false">IF($B259=AC$1,1,0)</f>
        <v>0</v>
      </c>
      <c r="AD259" s="4" t="n">
        <f aca="false">IF($B259=AD$1,1,0)</f>
        <v>0</v>
      </c>
      <c r="AE259" s="4" t="n">
        <f aca="false">IF($B259=AE$1,1,0)</f>
        <v>0</v>
      </c>
      <c r="AF259" s="4" t="n">
        <f aca="false">IF($B259=AF$1,1,0)</f>
        <v>0</v>
      </c>
      <c r="AG259" s="4" t="n">
        <f aca="false">IF($B259=AG$1,1,0)</f>
        <v>0</v>
      </c>
      <c r="AH259" s="4" t="n">
        <f aca="false">IF($B259=AH$1,1,0)</f>
        <v>0</v>
      </c>
      <c r="AI259" s="4" t="n">
        <f aca="false">IF($B259=AI$1,1,0)</f>
        <v>0</v>
      </c>
      <c r="AJ259" s="4" t="n">
        <f aca="false">IF($B259=AJ$1,1,0)</f>
        <v>0</v>
      </c>
      <c r="AK259" s="4" t="n">
        <f aca="false">IF($B259=AK$1,1,0)</f>
        <v>0</v>
      </c>
      <c r="AL259" s="4" t="n">
        <f aca="false">IF($B259=AL$1,1,0)</f>
        <v>0</v>
      </c>
      <c r="AM259" s="4" t="n">
        <f aca="false">IF($B259=AM$1,1,0)</f>
        <v>1</v>
      </c>
      <c r="AN259" s="4" t="n">
        <f aca="false">IF($B259=AN$1,1,0)</f>
        <v>0</v>
      </c>
      <c r="AO259" s="4" t="n">
        <f aca="false">IF($B259=AO$1,1,0)</f>
        <v>0</v>
      </c>
      <c r="AP259" s="4" t="n">
        <f aca="false">IF($B259=AP$1,1,0)</f>
        <v>0</v>
      </c>
      <c r="AQ259" s="4" t="n">
        <f aca="false">IF($B259=AQ$1,1,0)</f>
        <v>0</v>
      </c>
      <c r="AR259" s="4" t="n">
        <f aca="false">IF($B259=AR$1,1,0)</f>
        <v>0</v>
      </c>
      <c r="AS259" s="4" t="n">
        <f aca="false">IF($B259=AS$1,1,0)</f>
        <v>0</v>
      </c>
      <c r="AT259" s="4" t="n">
        <f aca="false">IF($B259=AT$1,1,0)</f>
        <v>0</v>
      </c>
      <c r="BB259" s="4" t="n">
        <f aca="false">A259</f>
        <v>258</v>
      </c>
      <c r="BC259" s="7" t="n">
        <f aca="false">ABS($T259-$AX$2)+ABS($U259-$AY$2)+ABS($V259-$AZ$2)</f>
        <v>1912.33098591549</v>
      </c>
      <c r="BD259" s="7" t="n">
        <f aca="false">ABS($T259-$AX$3)+ABS($U259-$AY$3)+ABS($V259-$AZ$3)</f>
        <v>21938.3559322034</v>
      </c>
      <c r="BE259" s="7" t="n">
        <f aca="false">ABS($T259-$AX$4)+ABS($U259-$AY$4)+ABS($V259-$AZ$4)</f>
        <v>53070.1132075472</v>
      </c>
      <c r="BF259" s="7" t="n">
        <f aca="false">MIN(BC259:BE259)</f>
        <v>1912.33098591549</v>
      </c>
      <c r="BG259" s="4" t="n">
        <f aca="false">MATCH(BF259,BC259:BE259,0)</f>
        <v>1</v>
      </c>
      <c r="BH259" s="8" t="n">
        <v>1</v>
      </c>
      <c r="BI259" s="4" t="n">
        <f aca="false">IF(BG259=BH259,0,1)</f>
        <v>0</v>
      </c>
      <c r="BK259" s="8" t="n">
        <v>1</v>
      </c>
      <c r="BL259" s="8" t="n">
        <v>1</v>
      </c>
      <c r="BM259" s="8" t="n">
        <v>1</v>
      </c>
    </row>
    <row r="260" customFormat="false" ht="15" hidden="false" customHeight="false" outlineLevel="0" collapsed="false">
      <c r="A260" s="3" t="n">
        <v>259</v>
      </c>
      <c r="B260" s="3" t="s">
        <v>35</v>
      </c>
      <c r="C260" s="3" t="n">
        <v>0</v>
      </c>
      <c r="D260" s="3" t="n">
        <v>0</v>
      </c>
      <c r="E260" s="3" t="n">
        <v>1</v>
      </c>
      <c r="F260" s="3" t="n">
        <v>0</v>
      </c>
      <c r="G260" s="3" t="n">
        <v>0</v>
      </c>
      <c r="H260" s="3" t="n">
        <v>4</v>
      </c>
      <c r="I260" s="3" t="n">
        <v>4</v>
      </c>
      <c r="J260" s="3" t="n">
        <v>5</v>
      </c>
      <c r="K260" s="3" t="n">
        <v>4</v>
      </c>
      <c r="L260" s="3" t="n">
        <v>5</v>
      </c>
      <c r="M260" s="3" t="n">
        <v>4</v>
      </c>
      <c r="N260" s="3" t="n">
        <v>3</v>
      </c>
      <c r="O260" s="3" t="n">
        <v>4</v>
      </c>
      <c r="P260" s="3" t="n">
        <v>2</v>
      </c>
      <c r="Q260" s="3" t="n">
        <v>4</v>
      </c>
      <c r="R260" s="3" t="n">
        <v>4</v>
      </c>
      <c r="S260" s="3" t="n">
        <v>3</v>
      </c>
      <c r="T260" s="3" t="n">
        <v>0</v>
      </c>
      <c r="U260" s="3" t="n">
        <v>31</v>
      </c>
      <c r="V260" s="3" t="n">
        <v>27458</v>
      </c>
      <c r="W260" s="3" t="n">
        <v>2</v>
      </c>
      <c r="X260" s="3" t="n">
        <v>3</v>
      </c>
      <c r="Y260" s="3" t="n">
        <v>2</v>
      </c>
      <c r="Z260" s="3" t="n">
        <v>2</v>
      </c>
      <c r="AA260" s="4" t="n">
        <f aca="false">IF($B260=AA$1,1,0)</f>
        <v>0</v>
      </c>
      <c r="AB260" s="4" t="n">
        <f aca="false">IF($B260=AB$1,1,0)</f>
        <v>0</v>
      </c>
      <c r="AC260" s="4" t="n">
        <f aca="false">IF($B260=AC$1,1,0)</f>
        <v>0</v>
      </c>
      <c r="AD260" s="4" t="n">
        <f aca="false">IF($B260=AD$1,1,0)</f>
        <v>0</v>
      </c>
      <c r="AE260" s="4" t="n">
        <f aca="false">IF($B260=AE$1,1,0)</f>
        <v>0</v>
      </c>
      <c r="AF260" s="4" t="n">
        <f aca="false">IF($B260=AF$1,1,0)</f>
        <v>0</v>
      </c>
      <c r="AG260" s="4" t="n">
        <f aca="false">IF($B260=AG$1,1,0)</f>
        <v>0</v>
      </c>
      <c r="AH260" s="4" t="n">
        <f aca="false">IF($B260=AH$1,1,0)</f>
        <v>0</v>
      </c>
      <c r="AI260" s="4" t="n">
        <f aca="false">IF($B260=AI$1,1,0)</f>
        <v>0</v>
      </c>
      <c r="AJ260" s="4" t="n">
        <f aca="false">IF($B260=AJ$1,1,0)</f>
        <v>1</v>
      </c>
      <c r="AK260" s="4" t="n">
        <f aca="false">IF($B260=AK$1,1,0)</f>
        <v>0</v>
      </c>
      <c r="AL260" s="4" t="n">
        <f aca="false">IF($B260=AL$1,1,0)</f>
        <v>0</v>
      </c>
      <c r="AM260" s="4" t="n">
        <f aca="false">IF($B260=AM$1,1,0)</f>
        <v>0</v>
      </c>
      <c r="AN260" s="4" t="n">
        <f aca="false">IF($B260=AN$1,1,0)</f>
        <v>0</v>
      </c>
      <c r="AO260" s="4" t="n">
        <f aca="false">IF($B260=AO$1,1,0)</f>
        <v>0</v>
      </c>
      <c r="AP260" s="4" t="n">
        <f aca="false">IF($B260=AP$1,1,0)</f>
        <v>0</v>
      </c>
      <c r="AQ260" s="4" t="n">
        <f aca="false">IF($B260=AQ$1,1,0)</f>
        <v>0</v>
      </c>
      <c r="AR260" s="4" t="n">
        <f aca="false">IF($B260=AR$1,1,0)</f>
        <v>0</v>
      </c>
      <c r="AS260" s="4" t="n">
        <f aca="false">IF($B260=AS$1,1,0)</f>
        <v>0</v>
      </c>
      <c r="AT260" s="4" t="n">
        <f aca="false">IF($B260=AT$1,1,0)</f>
        <v>0</v>
      </c>
      <c r="BB260" s="4" t="n">
        <f aca="false">A260</f>
        <v>259</v>
      </c>
      <c r="BC260" s="7" t="n">
        <f aca="false">ABS($T260-$AX$2)+ABS($U260-$AY$2)+ABS($V260-$AZ$2)</f>
        <v>4631.7676056338</v>
      </c>
      <c r="BD260" s="7" t="n">
        <f aca="false">ABS($T260-$AX$3)+ABS($U260-$AY$3)+ABS($V260-$AZ$3)</f>
        <v>19215.7288135593</v>
      </c>
      <c r="BE260" s="7" t="n">
        <f aca="false">ABS($T260-$AX$4)+ABS($U260-$AY$4)+ABS($V260-$AZ$4)</f>
        <v>50347.641509434</v>
      </c>
      <c r="BF260" s="7" t="n">
        <f aca="false">MIN(BC260:BE260)</f>
        <v>4631.7676056338</v>
      </c>
      <c r="BG260" s="4" t="n">
        <f aca="false">MATCH(BF260,BC260:BE260,0)</f>
        <v>1</v>
      </c>
      <c r="BH260" s="8" t="n">
        <v>1</v>
      </c>
      <c r="BI260" s="4" t="n">
        <f aca="false">IF(BG260=BH260,0,1)</f>
        <v>0</v>
      </c>
      <c r="BK260" s="8" t="n">
        <v>1</v>
      </c>
      <c r="BL260" s="8" t="n">
        <v>1</v>
      </c>
      <c r="BM260" s="8" t="n">
        <v>1</v>
      </c>
    </row>
    <row r="261" customFormat="false" ht="15" hidden="false" customHeight="false" outlineLevel="0" collapsed="false">
      <c r="A261" s="3" t="n">
        <v>260</v>
      </c>
      <c r="B261" s="3" t="s">
        <v>31</v>
      </c>
      <c r="C261" s="3" t="n">
        <v>1</v>
      </c>
      <c r="D261" s="3" t="n">
        <v>0</v>
      </c>
      <c r="E261" s="3" t="n">
        <v>0</v>
      </c>
      <c r="F261" s="3" t="n">
        <v>0</v>
      </c>
      <c r="G261" s="3" t="n">
        <v>0</v>
      </c>
      <c r="H261" s="3" t="n">
        <v>4</v>
      </c>
      <c r="I261" s="3" t="n">
        <v>4</v>
      </c>
      <c r="J261" s="3" t="n">
        <v>4</v>
      </c>
      <c r="K261" s="3" t="n">
        <v>5</v>
      </c>
      <c r="L261" s="3" t="n">
        <v>5</v>
      </c>
      <c r="M261" s="3" t="n">
        <v>4</v>
      </c>
      <c r="N261" s="3" t="n">
        <v>4</v>
      </c>
      <c r="O261" s="3" t="n">
        <v>5</v>
      </c>
      <c r="P261" s="3" t="n">
        <v>4</v>
      </c>
      <c r="Q261" s="3" t="n">
        <v>5</v>
      </c>
      <c r="R261" s="3" t="n">
        <v>5</v>
      </c>
      <c r="S261" s="3" t="n">
        <v>5</v>
      </c>
      <c r="T261" s="3" t="n">
        <v>0</v>
      </c>
      <c r="U261" s="3" t="n">
        <v>33</v>
      </c>
      <c r="V261" s="3" t="n">
        <v>44358</v>
      </c>
      <c r="W261" s="3" t="n">
        <v>2</v>
      </c>
      <c r="X261" s="3" t="n">
        <v>2</v>
      </c>
      <c r="Y261" s="3" t="n">
        <v>2</v>
      </c>
      <c r="Z261" s="3" t="n">
        <v>2</v>
      </c>
      <c r="AA261" s="4" t="n">
        <f aca="false">IF($B261=AA$1,1,0)</f>
        <v>0</v>
      </c>
      <c r="AB261" s="4" t="n">
        <f aca="false">IF($B261=AB$1,1,0)</f>
        <v>0</v>
      </c>
      <c r="AC261" s="4" t="n">
        <f aca="false">IF($B261=AC$1,1,0)</f>
        <v>0</v>
      </c>
      <c r="AD261" s="4" t="n">
        <f aca="false">IF($B261=AD$1,1,0)</f>
        <v>0</v>
      </c>
      <c r="AE261" s="4" t="n">
        <f aca="false">IF($B261=AE$1,1,0)</f>
        <v>0</v>
      </c>
      <c r="AF261" s="4" t="n">
        <f aca="false">IF($B261=AF$1,1,0)</f>
        <v>1</v>
      </c>
      <c r="AG261" s="4" t="n">
        <f aca="false">IF($B261=AG$1,1,0)</f>
        <v>0</v>
      </c>
      <c r="AH261" s="4" t="n">
        <f aca="false">IF($B261=AH$1,1,0)</f>
        <v>0</v>
      </c>
      <c r="AI261" s="4" t="n">
        <f aca="false">IF($B261=AI$1,1,0)</f>
        <v>0</v>
      </c>
      <c r="AJ261" s="4" t="n">
        <f aca="false">IF($B261=AJ$1,1,0)</f>
        <v>0</v>
      </c>
      <c r="AK261" s="4" t="n">
        <f aca="false">IF($B261=AK$1,1,0)</f>
        <v>0</v>
      </c>
      <c r="AL261" s="4" t="n">
        <f aca="false">IF($B261=AL$1,1,0)</f>
        <v>0</v>
      </c>
      <c r="AM261" s="4" t="n">
        <f aca="false">IF($B261=AM$1,1,0)</f>
        <v>0</v>
      </c>
      <c r="AN261" s="4" t="n">
        <f aca="false">IF($B261=AN$1,1,0)</f>
        <v>0</v>
      </c>
      <c r="AO261" s="4" t="n">
        <f aca="false">IF($B261=AO$1,1,0)</f>
        <v>0</v>
      </c>
      <c r="AP261" s="4" t="n">
        <f aca="false">IF($B261=AP$1,1,0)</f>
        <v>0</v>
      </c>
      <c r="AQ261" s="4" t="n">
        <f aca="false">IF($B261=AQ$1,1,0)</f>
        <v>0</v>
      </c>
      <c r="AR261" s="4" t="n">
        <f aca="false">IF($B261=AR$1,1,0)</f>
        <v>0</v>
      </c>
      <c r="AS261" s="4" t="n">
        <f aca="false">IF($B261=AS$1,1,0)</f>
        <v>0</v>
      </c>
      <c r="AT261" s="4" t="n">
        <f aca="false">IF($B261=AT$1,1,0)</f>
        <v>0</v>
      </c>
      <c r="BB261" s="4" t="n">
        <f aca="false">A261</f>
        <v>260</v>
      </c>
      <c r="BC261" s="7" t="n">
        <f aca="false">ABS($T261-$AX$2)+ABS($U261-$AY$2)+ABS($V261-$AZ$2)</f>
        <v>21529.7676056338</v>
      </c>
      <c r="BD261" s="7" t="n">
        <f aca="false">ABS($T261-$AX$3)+ABS($U261-$AY$3)+ABS($V261-$AZ$3)</f>
        <v>2313.72881355932</v>
      </c>
      <c r="BE261" s="7" t="n">
        <f aca="false">ABS($T261-$AX$4)+ABS($U261-$AY$4)+ABS($V261-$AZ$4)</f>
        <v>33445.641509434</v>
      </c>
      <c r="BF261" s="7" t="n">
        <f aca="false">MIN(BC261:BE261)</f>
        <v>2313.72881355932</v>
      </c>
      <c r="BG261" s="4" t="n">
        <f aca="false">MATCH(BF261,BC261:BE261,0)</f>
        <v>2</v>
      </c>
      <c r="BH261" s="8" t="n">
        <v>2</v>
      </c>
      <c r="BI261" s="4" t="n">
        <f aca="false">IF(BG261=BH261,0,1)</f>
        <v>0</v>
      </c>
      <c r="BK261" s="8" t="n">
        <v>2</v>
      </c>
      <c r="BL261" s="8" t="n">
        <v>2</v>
      </c>
      <c r="BM261" s="8" t="n">
        <v>2</v>
      </c>
    </row>
    <row r="262" customFormat="false" ht="15" hidden="false" customHeight="false" outlineLevel="0" collapsed="false">
      <c r="A262" s="3" t="n">
        <v>261</v>
      </c>
      <c r="B262" s="3" t="s">
        <v>31</v>
      </c>
      <c r="C262" s="3" t="n">
        <v>1</v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5</v>
      </c>
      <c r="I262" s="3" t="n">
        <v>4</v>
      </c>
      <c r="J262" s="3" t="n">
        <v>5</v>
      </c>
      <c r="K262" s="3" t="n">
        <v>5</v>
      </c>
      <c r="L262" s="3" t="n">
        <v>5</v>
      </c>
      <c r="M262" s="3" t="n">
        <v>4</v>
      </c>
      <c r="N262" s="3" t="n">
        <v>4</v>
      </c>
      <c r="O262" s="3" t="n">
        <v>3</v>
      </c>
      <c r="P262" s="3" t="n">
        <v>4</v>
      </c>
      <c r="Q262" s="3" t="n">
        <v>4</v>
      </c>
      <c r="R262" s="3" t="n">
        <v>4</v>
      </c>
      <c r="S262" s="3" t="n">
        <v>3</v>
      </c>
      <c r="T262" s="3" t="n">
        <v>0</v>
      </c>
      <c r="U262" s="3" t="n">
        <v>38</v>
      </c>
      <c r="V262" s="3" t="n">
        <v>24582</v>
      </c>
      <c r="W262" s="3" t="n">
        <v>2</v>
      </c>
      <c r="X262" s="3" t="n">
        <v>3</v>
      </c>
      <c r="Y262" s="3" t="n">
        <v>2</v>
      </c>
      <c r="Z262" s="3" t="n">
        <v>2</v>
      </c>
      <c r="AA262" s="4" t="n">
        <f aca="false">IF($B262=AA$1,1,0)</f>
        <v>0</v>
      </c>
      <c r="AB262" s="4" t="n">
        <f aca="false">IF($B262=AB$1,1,0)</f>
        <v>0</v>
      </c>
      <c r="AC262" s="4" t="n">
        <f aca="false">IF($B262=AC$1,1,0)</f>
        <v>0</v>
      </c>
      <c r="AD262" s="4" t="n">
        <f aca="false">IF($B262=AD$1,1,0)</f>
        <v>0</v>
      </c>
      <c r="AE262" s="4" t="n">
        <f aca="false">IF($B262=AE$1,1,0)</f>
        <v>0</v>
      </c>
      <c r="AF262" s="4" t="n">
        <f aca="false">IF($B262=AF$1,1,0)</f>
        <v>1</v>
      </c>
      <c r="AG262" s="4" t="n">
        <f aca="false">IF($B262=AG$1,1,0)</f>
        <v>0</v>
      </c>
      <c r="AH262" s="4" t="n">
        <f aca="false">IF($B262=AH$1,1,0)</f>
        <v>0</v>
      </c>
      <c r="AI262" s="4" t="n">
        <f aca="false">IF($B262=AI$1,1,0)</f>
        <v>0</v>
      </c>
      <c r="AJ262" s="4" t="n">
        <f aca="false">IF($B262=AJ$1,1,0)</f>
        <v>0</v>
      </c>
      <c r="AK262" s="4" t="n">
        <f aca="false">IF($B262=AK$1,1,0)</f>
        <v>0</v>
      </c>
      <c r="AL262" s="4" t="n">
        <f aca="false">IF($B262=AL$1,1,0)</f>
        <v>0</v>
      </c>
      <c r="AM262" s="4" t="n">
        <f aca="false">IF($B262=AM$1,1,0)</f>
        <v>0</v>
      </c>
      <c r="AN262" s="4" t="n">
        <f aca="false">IF($B262=AN$1,1,0)</f>
        <v>0</v>
      </c>
      <c r="AO262" s="4" t="n">
        <f aca="false">IF($B262=AO$1,1,0)</f>
        <v>0</v>
      </c>
      <c r="AP262" s="4" t="n">
        <f aca="false">IF($B262=AP$1,1,0)</f>
        <v>0</v>
      </c>
      <c r="AQ262" s="4" t="n">
        <f aca="false">IF($B262=AQ$1,1,0)</f>
        <v>0</v>
      </c>
      <c r="AR262" s="4" t="n">
        <f aca="false">IF($B262=AR$1,1,0)</f>
        <v>0</v>
      </c>
      <c r="AS262" s="4" t="n">
        <f aca="false">IF($B262=AS$1,1,0)</f>
        <v>0</v>
      </c>
      <c r="AT262" s="4" t="n">
        <f aca="false">IF($B262=AT$1,1,0)</f>
        <v>0</v>
      </c>
      <c r="BB262" s="4" t="n">
        <f aca="false">A262</f>
        <v>261</v>
      </c>
      <c r="BC262" s="7" t="n">
        <f aca="false">ABS($T262-$AX$2)+ABS($U262-$AY$2)+ABS($V262-$AZ$2)</f>
        <v>1748.7676056338</v>
      </c>
      <c r="BD262" s="7" t="n">
        <f aca="false">ABS($T262-$AX$3)+ABS($U262-$AY$3)+ABS($V262-$AZ$3)</f>
        <v>22084.7288135593</v>
      </c>
      <c r="BE262" s="7" t="n">
        <f aca="false">ABS($T262-$AX$4)+ABS($U262-$AY$4)+ABS($V262-$AZ$4)</f>
        <v>53216.641509434</v>
      </c>
      <c r="BF262" s="7" t="n">
        <f aca="false">MIN(BC262:BE262)</f>
        <v>1748.7676056338</v>
      </c>
      <c r="BG262" s="4" t="n">
        <f aca="false">MATCH(BF262,BC262:BE262,0)</f>
        <v>1</v>
      </c>
      <c r="BH262" s="8" t="n">
        <v>1</v>
      </c>
      <c r="BI262" s="4" t="n">
        <f aca="false">IF(BG262=BH262,0,1)</f>
        <v>0</v>
      </c>
      <c r="BK262" s="8" t="n">
        <v>1</v>
      </c>
      <c r="BL262" s="8" t="n">
        <v>1</v>
      </c>
      <c r="BM262" s="8" t="n">
        <v>1</v>
      </c>
    </row>
    <row r="263" customFormat="false" ht="15" hidden="false" customHeight="false" outlineLevel="0" collapsed="false">
      <c r="A263" s="3" t="n">
        <v>262</v>
      </c>
      <c r="B263" s="3" t="s">
        <v>30</v>
      </c>
      <c r="C263" s="3" t="n">
        <v>0</v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4</v>
      </c>
      <c r="I263" s="3" t="n">
        <v>4</v>
      </c>
      <c r="J263" s="3" t="n">
        <v>5</v>
      </c>
      <c r="K263" s="3" t="n">
        <v>5</v>
      </c>
      <c r="L263" s="3" t="n">
        <v>5</v>
      </c>
      <c r="M263" s="3" t="n">
        <v>4</v>
      </c>
      <c r="N263" s="3" t="n">
        <v>4</v>
      </c>
      <c r="O263" s="3" t="n">
        <v>5</v>
      </c>
      <c r="P263" s="3" t="n">
        <v>4</v>
      </c>
      <c r="Q263" s="3" t="n">
        <v>5</v>
      </c>
      <c r="R263" s="3" t="n">
        <v>5</v>
      </c>
      <c r="S263" s="3" t="n">
        <v>4</v>
      </c>
      <c r="T263" s="3" t="n">
        <v>1</v>
      </c>
      <c r="U263" s="3" t="n">
        <v>34</v>
      </c>
      <c r="V263" s="3" t="n">
        <v>39134</v>
      </c>
      <c r="W263" s="3" t="n">
        <v>1</v>
      </c>
      <c r="X263" s="3" t="n">
        <v>4</v>
      </c>
      <c r="Y263" s="3" t="n">
        <v>1</v>
      </c>
      <c r="Z263" s="3" t="n">
        <v>1</v>
      </c>
      <c r="AA263" s="4" t="n">
        <f aca="false">IF($B263=AA$1,1,0)</f>
        <v>0</v>
      </c>
      <c r="AB263" s="4" t="n">
        <f aca="false">IF($B263=AB$1,1,0)</f>
        <v>0</v>
      </c>
      <c r="AC263" s="4" t="n">
        <f aca="false">IF($B263=AC$1,1,0)</f>
        <v>0</v>
      </c>
      <c r="AD263" s="4" t="n">
        <f aca="false">IF($B263=AD$1,1,0)</f>
        <v>0</v>
      </c>
      <c r="AE263" s="4" t="n">
        <f aca="false">IF($B263=AE$1,1,0)</f>
        <v>1</v>
      </c>
      <c r="AF263" s="4" t="n">
        <f aca="false">IF($B263=AF$1,1,0)</f>
        <v>0</v>
      </c>
      <c r="AG263" s="4" t="n">
        <f aca="false">IF($B263=AG$1,1,0)</f>
        <v>0</v>
      </c>
      <c r="AH263" s="4" t="n">
        <f aca="false">IF($B263=AH$1,1,0)</f>
        <v>0</v>
      </c>
      <c r="AI263" s="4" t="n">
        <f aca="false">IF($B263=AI$1,1,0)</f>
        <v>0</v>
      </c>
      <c r="AJ263" s="4" t="n">
        <f aca="false">IF($B263=AJ$1,1,0)</f>
        <v>0</v>
      </c>
      <c r="AK263" s="4" t="n">
        <f aca="false">IF($B263=AK$1,1,0)</f>
        <v>0</v>
      </c>
      <c r="AL263" s="4" t="n">
        <f aca="false">IF($B263=AL$1,1,0)</f>
        <v>0</v>
      </c>
      <c r="AM263" s="4" t="n">
        <f aca="false">IF($B263=AM$1,1,0)</f>
        <v>0</v>
      </c>
      <c r="AN263" s="4" t="n">
        <f aca="false">IF($B263=AN$1,1,0)</f>
        <v>0</v>
      </c>
      <c r="AO263" s="4" t="n">
        <f aca="false">IF($B263=AO$1,1,0)</f>
        <v>0</v>
      </c>
      <c r="AP263" s="4" t="n">
        <f aca="false">IF($B263=AP$1,1,0)</f>
        <v>0</v>
      </c>
      <c r="AQ263" s="4" t="n">
        <f aca="false">IF($B263=AQ$1,1,0)</f>
        <v>0</v>
      </c>
      <c r="AR263" s="4" t="n">
        <f aca="false">IF($B263=AR$1,1,0)</f>
        <v>0</v>
      </c>
      <c r="AS263" s="4" t="n">
        <f aca="false">IF($B263=AS$1,1,0)</f>
        <v>0</v>
      </c>
      <c r="AT263" s="4" t="n">
        <f aca="false">IF($B263=AT$1,1,0)</f>
        <v>0</v>
      </c>
      <c r="BB263" s="4" t="n">
        <f aca="false">A263</f>
        <v>262</v>
      </c>
      <c r="BC263" s="7" t="n">
        <f aca="false">ABS($T263-$AX$2)+ABS($U263-$AY$2)+ABS($V263-$AZ$2)</f>
        <v>16305.3309859155</v>
      </c>
      <c r="BD263" s="7" t="n">
        <f aca="false">ABS($T263-$AX$3)+ABS($U263-$AY$3)+ABS($V263-$AZ$3)</f>
        <v>7537.35593220339</v>
      </c>
      <c r="BE263" s="7" t="n">
        <f aca="false">ABS($T263-$AX$4)+ABS($U263-$AY$4)+ABS($V263-$AZ$4)</f>
        <v>38669.1132075472</v>
      </c>
      <c r="BF263" s="7" t="n">
        <f aca="false">MIN(BC263:BE263)</f>
        <v>7537.35593220339</v>
      </c>
      <c r="BG263" s="4" t="n">
        <f aca="false">MATCH(BF263,BC263:BE263,0)</f>
        <v>2</v>
      </c>
      <c r="BH263" s="8" t="n">
        <v>2</v>
      </c>
      <c r="BI263" s="4" t="n">
        <f aca="false">IF(BG263=BH263,0,1)</f>
        <v>0</v>
      </c>
      <c r="BK263" s="8" t="n">
        <v>2</v>
      </c>
      <c r="BL263" s="8" t="n">
        <v>2</v>
      </c>
      <c r="BM263" s="8" t="n">
        <v>2</v>
      </c>
    </row>
    <row r="264" customFormat="false" ht="15" hidden="false" customHeight="false" outlineLevel="0" collapsed="false">
      <c r="A264" s="3" t="n">
        <v>263</v>
      </c>
      <c r="B264" s="3" t="s">
        <v>31</v>
      </c>
      <c r="C264" s="3" t="n">
        <v>1</v>
      </c>
      <c r="D264" s="3" t="n">
        <v>0</v>
      </c>
      <c r="E264" s="3" t="n">
        <v>0</v>
      </c>
      <c r="F264" s="3" t="n">
        <v>0</v>
      </c>
      <c r="G264" s="3" t="n">
        <v>1</v>
      </c>
      <c r="H264" s="3" t="n">
        <v>4</v>
      </c>
      <c r="I264" s="3" t="n">
        <v>4</v>
      </c>
      <c r="J264" s="3" t="n">
        <v>5</v>
      </c>
      <c r="K264" s="3" t="n">
        <v>4</v>
      </c>
      <c r="L264" s="3" t="n">
        <v>5</v>
      </c>
      <c r="M264" s="3" t="n">
        <v>3</v>
      </c>
      <c r="N264" s="3" t="n">
        <v>4</v>
      </c>
      <c r="O264" s="3" t="n">
        <v>4</v>
      </c>
      <c r="P264" s="3" t="n">
        <v>2</v>
      </c>
      <c r="Q264" s="3" t="n">
        <v>5</v>
      </c>
      <c r="R264" s="3" t="n">
        <v>5</v>
      </c>
      <c r="S264" s="3" t="n">
        <v>3</v>
      </c>
      <c r="T264" s="3" t="n">
        <v>1</v>
      </c>
      <c r="U264" s="3" t="n">
        <v>45</v>
      </c>
      <c r="V264" s="3" t="n">
        <v>11601</v>
      </c>
      <c r="W264" s="3" t="n">
        <v>2</v>
      </c>
      <c r="X264" s="3" t="n">
        <v>3</v>
      </c>
      <c r="Y264" s="3" t="n">
        <v>2</v>
      </c>
      <c r="Z264" s="3" t="n">
        <v>2</v>
      </c>
      <c r="AA264" s="4" t="n">
        <f aca="false">IF($B264=AA$1,1,0)</f>
        <v>0</v>
      </c>
      <c r="AB264" s="4" t="n">
        <f aca="false">IF($B264=AB$1,1,0)</f>
        <v>0</v>
      </c>
      <c r="AC264" s="4" t="n">
        <f aca="false">IF($B264=AC$1,1,0)</f>
        <v>0</v>
      </c>
      <c r="AD264" s="4" t="n">
        <f aca="false">IF($B264=AD$1,1,0)</f>
        <v>0</v>
      </c>
      <c r="AE264" s="4" t="n">
        <f aca="false">IF($B264=AE$1,1,0)</f>
        <v>0</v>
      </c>
      <c r="AF264" s="4" t="n">
        <f aca="false">IF($B264=AF$1,1,0)</f>
        <v>1</v>
      </c>
      <c r="AG264" s="4" t="n">
        <f aca="false">IF($B264=AG$1,1,0)</f>
        <v>0</v>
      </c>
      <c r="AH264" s="4" t="n">
        <f aca="false">IF($B264=AH$1,1,0)</f>
        <v>0</v>
      </c>
      <c r="AI264" s="4" t="n">
        <f aca="false">IF($B264=AI$1,1,0)</f>
        <v>0</v>
      </c>
      <c r="AJ264" s="4" t="n">
        <f aca="false">IF($B264=AJ$1,1,0)</f>
        <v>0</v>
      </c>
      <c r="AK264" s="4" t="n">
        <f aca="false">IF($B264=AK$1,1,0)</f>
        <v>0</v>
      </c>
      <c r="AL264" s="4" t="n">
        <f aca="false">IF($B264=AL$1,1,0)</f>
        <v>0</v>
      </c>
      <c r="AM264" s="4" t="n">
        <f aca="false">IF($B264=AM$1,1,0)</f>
        <v>0</v>
      </c>
      <c r="AN264" s="4" t="n">
        <f aca="false">IF($B264=AN$1,1,0)</f>
        <v>0</v>
      </c>
      <c r="AO264" s="4" t="n">
        <f aca="false">IF($B264=AO$1,1,0)</f>
        <v>0</v>
      </c>
      <c r="AP264" s="4" t="n">
        <f aca="false">IF($B264=AP$1,1,0)</f>
        <v>0</v>
      </c>
      <c r="AQ264" s="4" t="n">
        <f aca="false">IF($B264=AQ$1,1,0)</f>
        <v>0</v>
      </c>
      <c r="AR264" s="4" t="n">
        <f aca="false">IF($B264=AR$1,1,0)</f>
        <v>0</v>
      </c>
      <c r="AS264" s="4" t="n">
        <f aca="false">IF($B264=AS$1,1,0)</f>
        <v>0</v>
      </c>
      <c r="AT264" s="4" t="n">
        <f aca="false">IF($B264=AT$1,1,0)</f>
        <v>0</v>
      </c>
      <c r="BB264" s="4" t="n">
        <f aca="false">A264</f>
        <v>263</v>
      </c>
      <c r="BC264" s="7" t="n">
        <f aca="false">ABS($T264-$AX$2)+ABS($U264-$AY$2)+ABS($V264-$AZ$2)</f>
        <v>11240.2323943662</v>
      </c>
      <c r="BD264" s="7" t="n">
        <f aca="false">ABS($T264-$AX$3)+ABS($U264-$AY$3)+ABS($V264-$AZ$3)</f>
        <v>35066.593220339</v>
      </c>
      <c r="BE264" s="7" t="n">
        <f aca="false">ABS($T264-$AX$4)+ABS($U264-$AY$4)+ABS($V264-$AZ$4)</f>
        <v>66197.0754716981</v>
      </c>
      <c r="BF264" s="7" t="n">
        <f aca="false">MIN(BC264:BE264)</f>
        <v>11240.2323943662</v>
      </c>
      <c r="BG264" s="4" t="n">
        <f aca="false">MATCH(BF264,BC264:BE264,0)</f>
        <v>1</v>
      </c>
      <c r="BH264" s="8" t="n">
        <v>1</v>
      </c>
      <c r="BI264" s="4" t="n">
        <f aca="false">IF(BG264=BH264,0,1)</f>
        <v>0</v>
      </c>
      <c r="BK264" s="8" t="n">
        <v>1</v>
      </c>
      <c r="BL264" s="8" t="n">
        <v>1</v>
      </c>
      <c r="BM264" s="8" t="n">
        <v>1</v>
      </c>
    </row>
    <row r="265" customFormat="false" ht="15" hidden="false" customHeight="false" outlineLevel="0" collapsed="false">
      <c r="A265" s="3" t="n">
        <v>264</v>
      </c>
      <c r="B265" s="3" t="s">
        <v>42</v>
      </c>
      <c r="C265" s="3" t="n">
        <v>1</v>
      </c>
      <c r="D265" s="3" t="n">
        <v>0</v>
      </c>
      <c r="E265" s="3" t="n">
        <v>0</v>
      </c>
      <c r="F265" s="3" t="n">
        <v>0</v>
      </c>
      <c r="G265" s="3" t="n">
        <v>1</v>
      </c>
      <c r="H265" s="3" t="n">
        <v>4</v>
      </c>
      <c r="I265" s="3" t="n">
        <v>5</v>
      </c>
      <c r="J265" s="3" t="n">
        <v>5</v>
      </c>
      <c r="K265" s="3" t="n">
        <v>4</v>
      </c>
      <c r="L265" s="3" t="n">
        <v>5</v>
      </c>
      <c r="M265" s="3" t="n">
        <v>3</v>
      </c>
      <c r="N265" s="3" t="n">
        <v>3</v>
      </c>
      <c r="O265" s="3" t="n">
        <v>4</v>
      </c>
      <c r="P265" s="3" t="n">
        <v>2</v>
      </c>
      <c r="Q265" s="3" t="n">
        <v>5</v>
      </c>
      <c r="R265" s="3" t="n">
        <v>5</v>
      </c>
      <c r="S265" s="3" t="n">
        <v>4</v>
      </c>
      <c r="T265" s="3" t="n">
        <v>1</v>
      </c>
      <c r="U265" s="3" t="n">
        <v>39</v>
      </c>
      <c r="V265" s="3" t="n">
        <v>45758</v>
      </c>
      <c r="W265" s="3" t="n">
        <v>2</v>
      </c>
      <c r="X265" s="3" t="n">
        <v>3</v>
      </c>
      <c r="Y265" s="3" t="n">
        <v>2</v>
      </c>
      <c r="Z265" s="3" t="n">
        <v>2</v>
      </c>
      <c r="AA265" s="4" t="n">
        <f aca="false">IF($B265=AA$1,1,0)</f>
        <v>0</v>
      </c>
      <c r="AB265" s="4" t="n">
        <f aca="false">IF($B265=AB$1,1,0)</f>
        <v>0</v>
      </c>
      <c r="AC265" s="4" t="n">
        <f aca="false">IF($B265=AC$1,1,0)</f>
        <v>0</v>
      </c>
      <c r="AD265" s="4" t="n">
        <f aca="false">IF($B265=AD$1,1,0)</f>
        <v>0</v>
      </c>
      <c r="AE265" s="4" t="n">
        <f aca="false">IF($B265=AE$1,1,0)</f>
        <v>0</v>
      </c>
      <c r="AF265" s="4" t="n">
        <f aca="false">IF($B265=AF$1,1,0)</f>
        <v>0</v>
      </c>
      <c r="AG265" s="4" t="n">
        <f aca="false">IF($B265=AG$1,1,0)</f>
        <v>0</v>
      </c>
      <c r="AH265" s="4" t="n">
        <f aca="false">IF($B265=AH$1,1,0)</f>
        <v>0</v>
      </c>
      <c r="AI265" s="4" t="n">
        <f aca="false">IF($B265=AI$1,1,0)</f>
        <v>0</v>
      </c>
      <c r="AJ265" s="4" t="n">
        <f aca="false">IF($B265=AJ$1,1,0)</f>
        <v>0</v>
      </c>
      <c r="AK265" s="4" t="n">
        <f aca="false">IF($B265=AK$1,1,0)</f>
        <v>0</v>
      </c>
      <c r="AL265" s="4" t="n">
        <f aca="false">IF($B265=AL$1,1,0)</f>
        <v>0</v>
      </c>
      <c r="AM265" s="4" t="n">
        <f aca="false">IF($B265=AM$1,1,0)</f>
        <v>0</v>
      </c>
      <c r="AN265" s="4" t="n">
        <f aca="false">IF($B265=AN$1,1,0)</f>
        <v>0</v>
      </c>
      <c r="AO265" s="4" t="n">
        <f aca="false">IF($B265=AO$1,1,0)</f>
        <v>0</v>
      </c>
      <c r="AP265" s="4" t="n">
        <f aca="false">IF($B265=AP$1,1,0)</f>
        <v>0</v>
      </c>
      <c r="AQ265" s="4" t="n">
        <f aca="false">IF($B265=AQ$1,1,0)</f>
        <v>1</v>
      </c>
      <c r="AR265" s="4" t="n">
        <f aca="false">IF($B265=AR$1,1,0)</f>
        <v>0</v>
      </c>
      <c r="AS265" s="4" t="n">
        <f aca="false">IF($B265=AS$1,1,0)</f>
        <v>0</v>
      </c>
      <c r="AT265" s="4" t="n">
        <f aca="false">IF($B265=AT$1,1,0)</f>
        <v>0</v>
      </c>
      <c r="BB265" s="4" t="n">
        <f aca="false">A265</f>
        <v>264</v>
      </c>
      <c r="BC265" s="7" t="n">
        <f aca="false">ABS($T265-$AX$2)+ABS($U265-$AY$2)+ABS($V265-$AZ$2)</f>
        <v>22924.8521126761</v>
      </c>
      <c r="BD265" s="7" t="n">
        <f aca="false">ABS($T265-$AX$3)+ABS($U265-$AY$3)+ABS($V265-$AZ$3)</f>
        <v>908.355932203392</v>
      </c>
      <c r="BE265" s="7" t="n">
        <f aca="false">ABS($T265-$AX$4)+ABS($U265-$AY$4)+ABS($V265-$AZ$4)</f>
        <v>32040.1132075472</v>
      </c>
      <c r="BF265" s="7" t="n">
        <f aca="false">MIN(BC265:BE265)</f>
        <v>908.355932203392</v>
      </c>
      <c r="BG265" s="4" t="n">
        <f aca="false">MATCH(BF265,BC265:BE265,0)</f>
        <v>2</v>
      </c>
      <c r="BH265" s="8" t="n">
        <v>2</v>
      </c>
      <c r="BI265" s="4" t="n">
        <f aca="false">IF(BG265=BH265,0,1)</f>
        <v>0</v>
      </c>
      <c r="BK265" s="8" t="n">
        <v>2</v>
      </c>
      <c r="BL265" s="8" t="n">
        <v>2</v>
      </c>
      <c r="BM265" s="8" t="n">
        <v>2</v>
      </c>
    </row>
    <row r="266" customFormat="false" ht="15" hidden="false" customHeight="false" outlineLevel="0" collapsed="false">
      <c r="A266" s="3" t="n">
        <v>265</v>
      </c>
      <c r="B266" s="3" t="s">
        <v>31</v>
      </c>
      <c r="C266" s="3" t="n">
        <v>0</v>
      </c>
      <c r="D266" s="3" t="n">
        <v>0</v>
      </c>
      <c r="E266" s="3" t="n">
        <v>1</v>
      </c>
      <c r="F266" s="3" t="n">
        <v>0</v>
      </c>
      <c r="G266" s="3" t="n">
        <v>0</v>
      </c>
      <c r="H266" s="3" t="n">
        <v>5</v>
      </c>
      <c r="I266" s="3" t="n">
        <v>5</v>
      </c>
      <c r="J266" s="3" t="n">
        <v>5</v>
      </c>
      <c r="K266" s="3" t="n">
        <v>5</v>
      </c>
      <c r="L266" s="3" t="n">
        <v>5</v>
      </c>
      <c r="M266" s="3" t="n">
        <v>4</v>
      </c>
      <c r="N266" s="3" t="n">
        <v>4</v>
      </c>
      <c r="O266" s="3" t="n">
        <v>5</v>
      </c>
      <c r="P266" s="3" t="n">
        <v>4</v>
      </c>
      <c r="Q266" s="3" t="n">
        <v>5</v>
      </c>
      <c r="R266" s="3" t="n">
        <v>5</v>
      </c>
      <c r="S266" s="3" t="n">
        <v>4</v>
      </c>
      <c r="T266" s="3" t="n">
        <v>0</v>
      </c>
      <c r="U266" s="3" t="n">
        <v>33</v>
      </c>
      <c r="V266" s="3" t="n">
        <v>57942</v>
      </c>
      <c r="W266" s="3" t="n">
        <v>3</v>
      </c>
      <c r="X266" s="3" t="n">
        <v>2</v>
      </c>
      <c r="Y266" s="3" t="n">
        <v>2</v>
      </c>
      <c r="Z266" s="3" t="n">
        <v>2</v>
      </c>
      <c r="AA266" s="4" t="n">
        <f aca="false">IF($B266=AA$1,1,0)</f>
        <v>0</v>
      </c>
      <c r="AB266" s="4" t="n">
        <f aca="false">IF($B266=AB$1,1,0)</f>
        <v>0</v>
      </c>
      <c r="AC266" s="4" t="n">
        <f aca="false">IF($B266=AC$1,1,0)</f>
        <v>0</v>
      </c>
      <c r="AD266" s="4" t="n">
        <f aca="false">IF($B266=AD$1,1,0)</f>
        <v>0</v>
      </c>
      <c r="AE266" s="4" t="n">
        <f aca="false">IF($B266=AE$1,1,0)</f>
        <v>0</v>
      </c>
      <c r="AF266" s="4" t="n">
        <f aca="false">IF($B266=AF$1,1,0)</f>
        <v>1</v>
      </c>
      <c r="AG266" s="4" t="n">
        <f aca="false">IF($B266=AG$1,1,0)</f>
        <v>0</v>
      </c>
      <c r="AH266" s="4" t="n">
        <f aca="false">IF($B266=AH$1,1,0)</f>
        <v>0</v>
      </c>
      <c r="AI266" s="4" t="n">
        <f aca="false">IF($B266=AI$1,1,0)</f>
        <v>0</v>
      </c>
      <c r="AJ266" s="4" t="n">
        <f aca="false">IF($B266=AJ$1,1,0)</f>
        <v>0</v>
      </c>
      <c r="AK266" s="4" t="n">
        <f aca="false">IF($B266=AK$1,1,0)</f>
        <v>0</v>
      </c>
      <c r="AL266" s="4" t="n">
        <f aca="false">IF($B266=AL$1,1,0)</f>
        <v>0</v>
      </c>
      <c r="AM266" s="4" t="n">
        <f aca="false">IF($B266=AM$1,1,0)</f>
        <v>0</v>
      </c>
      <c r="AN266" s="4" t="n">
        <f aca="false">IF($B266=AN$1,1,0)</f>
        <v>0</v>
      </c>
      <c r="AO266" s="4" t="n">
        <f aca="false">IF($B266=AO$1,1,0)</f>
        <v>0</v>
      </c>
      <c r="AP266" s="4" t="n">
        <f aca="false">IF($B266=AP$1,1,0)</f>
        <v>0</v>
      </c>
      <c r="AQ266" s="4" t="n">
        <f aca="false">IF($B266=AQ$1,1,0)</f>
        <v>0</v>
      </c>
      <c r="AR266" s="4" t="n">
        <f aca="false">IF($B266=AR$1,1,0)</f>
        <v>0</v>
      </c>
      <c r="AS266" s="4" t="n">
        <f aca="false">IF($B266=AS$1,1,0)</f>
        <v>0</v>
      </c>
      <c r="AT266" s="4" t="n">
        <f aca="false">IF($B266=AT$1,1,0)</f>
        <v>0</v>
      </c>
      <c r="BB266" s="4" t="n">
        <f aca="false">A266</f>
        <v>265</v>
      </c>
      <c r="BC266" s="7" t="n">
        <f aca="false">ABS($T266-$AX$2)+ABS($U266-$AY$2)+ABS($V266-$AZ$2)</f>
        <v>35113.7676056338</v>
      </c>
      <c r="BD266" s="7" t="n">
        <f aca="false">ABS($T266-$AX$3)+ABS($U266-$AY$3)+ABS($V266-$AZ$3)</f>
        <v>11287.406779661</v>
      </c>
      <c r="BE266" s="7" t="n">
        <f aca="false">ABS($T266-$AX$4)+ABS($U266-$AY$4)+ABS($V266-$AZ$4)</f>
        <v>19861.641509434</v>
      </c>
      <c r="BF266" s="7" t="n">
        <f aca="false">MIN(BC266:BE266)</f>
        <v>11287.406779661</v>
      </c>
      <c r="BG266" s="4" t="n">
        <f aca="false">MATCH(BF266,BC266:BE266,0)</f>
        <v>2</v>
      </c>
      <c r="BH266" s="8" t="n">
        <v>2</v>
      </c>
      <c r="BI266" s="4" t="n">
        <f aca="false">IF(BG266=BH266,0,1)</f>
        <v>0</v>
      </c>
      <c r="BK266" s="8" t="n">
        <v>2</v>
      </c>
      <c r="BL266" s="8" t="n">
        <v>2</v>
      </c>
      <c r="BM266" s="8" t="n">
        <v>2</v>
      </c>
    </row>
    <row r="267" customFormat="false" ht="15" hidden="false" customHeight="false" outlineLevel="0" collapsed="false">
      <c r="A267" s="3" t="n">
        <v>266</v>
      </c>
      <c r="B267" s="3" t="s">
        <v>31</v>
      </c>
      <c r="C267" s="3" t="n">
        <v>0</v>
      </c>
      <c r="D267" s="3" t="n">
        <v>0</v>
      </c>
      <c r="E267" s="3" t="n">
        <v>1</v>
      </c>
      <c r="F267" s="3" t="n">
        <v>0</v>
      </c>
      <c r="G267" s="3" t="n">
        <v>0</v>
      </c>
      <c r="H267" s="3" t="n">
        <v>4</v>
      </c>
      <c r="I267" s="3" t="n">
        <v>4</v>
      </c>
      <c r="J267" s="3" t="n">
        <v>5</v>
      </c>
      <c r="K267" s="3" t="n">
        <v>5</v>
      </c>
      <c r="L267" s="3" t="n">
        <v>4</v>
      </c>
      <c r="M267" s="3" t="n">
        <v>4</v>
      </c>
      <c r="N267" s="3" t="n">
        <v>4</v>
      </c>
      <c r="O267" s="3" t="n">
        <v>4</v>
      </c>
      <c r="P267" s="3" t="n">
        <v>3</v>
      </c>
      <c r="Q267" s="3" t="n">
        <v>5</v>
      </c>
      <c r="R267" s="3" t="n">
        <v>5</v>
      </c>
      <c r="S267" s="3" t="n">
        <v>5</v>
      </c>
      <c r="T267" s="3" t="n">
        <v>0</v>
      </c>
      <c r="U267" s="3" t="n">
        <v>29</v>
      </c>
      <c r="V267" s="3" t="n">
        <v>24323</v>
      </c>
      <c r="W267" s="3" t="n">
        <v>1</v>
      </c>
      <c r="X267" s="3" t="n">
        <v>4</v>
      </c>
      <c r="Y267" s="3" t="n">
        <v>2</v>
      </c>
      <c r="Z267" s="3" t="n">
        <v>1</v>
      </c>
      <c r="AA267" s="4" t="n">
        <f aca="false">IF($B267=AA$1,1,0)</f>
        <v>0</v>
      </c>
      <c r="AB267" s="4" t="n">
        <f aca="false">IF($B267=AB$1,1,0)</f>
        <v>0</v>
      </c>
      <c r="AC267" s="4" t="n">
        <f aca="false">IF($B267=AC$1,1,0)</f>
        <v>0</v>
      </c>
      <c r="AD267" s="4" t="n">
        <f aca="false">IF($B267=AD$1,1,0)</f>
        <v>0</v>
      </c>
      <c r="AE267" s="4" t="n">
        <f aca="false">IF($B267=AE$1,1,0)</f>
        <v>0</v>
      </c>
      <c r="AF267" s="4" t="n">
        <f aca="false">IF($B267=AF$1,1,0)</f>
        <v>1</v>
      </c>
      <c r="AG267" s="4" t="n">
        <f aca="false">IF($B267=AG$1,1,0)</f>
        <v>0</v>
      </c>
      <c r="AH267" s="4" t="n">
        <f aca="false">IF($B267=AH$1,1,0)</f>
        <v>0</v>
      </c>
      <c r="AI267" s="4" t="n">
        <f aca="false">IF($B267=AI$1,1,0)</f>
        <v>0</v>
      </c>
      <c r="AJ267" s="4" t="n">
        <f aca="false">IF($B267=AJ$1,1,0)</f>
        <v>0</v>
      </c>
      <c r="AK267" s="4" t="n">
        <f aca="false">IF($B267=AK$1,1,0)</f>
        <v>0</v>
      </c>
      <c r="AL267" s="4" t="n">
        <f aca="false">IF($B267=AL$1,1,0)</f>
        <v>0</v>
      </c>
      <c r="AM267" s="4" t="n">
        <f aca="false">IF($B267=AM$1,1,0)</f>
        <v>0</v>
      </c>
      <c r="AN267" s="4" t="n">
        <f aca="false">IF($B267=AN$1,1,0)</f>
        <v>0</v>
      </c>
      <c r="AO267" s="4" t="n">
        <f aca="false">IF($B267=AO$1,1,0)</f>
        <v>0</v>
      </c>
      <c r="AP267" s="4" t="n">
        <f aca="false">IF($B267=AP$1,1,0)</f>
        <v>0</v>
      </c>
      <c r="AQ267" s="4" t="n">
        <f aca="false">IF($B267=AQ$1,1,0)</f>
        <v>0</v>
      </c>
      <c r="AR267" s="4" t="n">
        <f aca="false">IF($B267=AR$1,1,0)</f>
        <v>0</v>
      </c>
      <c r="AS267" s="4" t="n">
        <f aca="false">IF($B267=AS$1,1,0)</f>
        <v>0</v>
      </c>
      <c r="AT267" s="4" t="n">
        <f aca="false">IF($B267=AT$1,1,0)</f>
        <v>0</v>
      </c>
      <c r="BB267" s="4" t="n">
        <f aca="false">A267</f>
        <v>266</v>
      </c>
      <c r="BC267" s="7" t="n">
        <f aca="false">ABS($T267-$AX$2)+ABS($U267-$AY$2)+ABS($V267-$AZ$2)</f>
        <v>1498.7676056338</v>
      </c>
      <c r="BD267" s="7" t="n">
        <f aca="false">ABS($T267-$AX$3)+ABS($U267-$AY$3)+ABS($V267-$AZ$3)</f>
        <v>22352.7288135593</v>
      </c>
      <c r="BE267" s="7" t="n">
        <f aca="false">ABS($T267-$AX$4)+ABS($U267-$AY$4)+ABS($V267-$AZ$4)</f>
        <v>53484.641509434</v>
      </c>
      <c r="BF267" s="7" t="n">
        <f aca="false">MIN(BC267:BE267)</f>
        <v>1498.7676056338</v>
      </c>
      <c r="BG267" s="4" t="n">
        <f aca="false">MATCH(BF267,BC267:BE267,0)</f>
        <v>1</v>
      </c>
      <c r="BH267" s="8" t="n">
        <v>1</v>
      </c>
      <c r="BI267" s="4" t="n">
        <f aca="false">IF(BG267=BH267,0,1)</f>
        <v>0</v>
      </c>
      <c r="BK267" s="8" t="n">
        <v>1</v>
      </c>
      <c r="BL267" s="8" t="n">
        <v>1</v>
      </c>
      <c r="BM267" s="8" t="n">
        <v>1</v>
      </c>
    </row>
    <row r="268" customFormat="false" ht="15" hidden="false" customHeight="false" outlineLevel="0" collapsed="false">
      <c r="A268" s="3" t="n">
        <v>267</v>
      </c>
      <c r="B268" s="3" t="s">
        <v>30</v>
      </c>
      <c r="C268" s="3" t="n">
        <v>0</v>
      </c>
      <c r="D268" s="3" t="n">
        <v>0</v>
      </c>
      <c r="E268" s="3" t="n">
        <v>1</v>
      </c>
      <c r="F268" s="3" t="n">
        <v>0</v>
      </c>
      <c r="G268" s="3" t="n">
        <v>0</v>
      </c>
      <c r="H268" s="3" t="n">
        <v>3</v>
      </c>
      <c r="I268" s="3" t="n">
        <v>4</v>
      </c>
      <c r="J268" s="3" t="n">
        <v>4</v>
      </c>
      <c r="K268" s="3" t="n">
        <v>4</v>
      </c>
      <c r="L268" s="3" t="n">
        <v>5</v>
      </c>
      <c r="M268" s="3" t="n">
        <v>3</v>
      </c>
      <c r="N268" s="3" t="n">
        <v>3</v>
      </c>
      <c r="O268" s="3" t="n">
        <v>4</v>
      </c>
      <c r="P268" s="3" t="n">
        <v>2</v>
      </c>
      <c r="Q268" s="3" t="n">
        <v>4</v>
      </c>
      <c r="R268" s="3" t="n">
        <v>4</v>
      </c>
      <c r="S268" s="3" t="n">
        <v>3</v>
      </c>
      <c r="T268" s="3" t="n">
        <v>0</v>
      </c>
      <c r="U268" s="3" t="n">
        <v>45</v>
      </c>
      <c r="V268" s="3" t="n">
        <v>89076</v>
      </c>
      <c r="W268" s="3" t="n">
        <v>2</v>
      </c>
      <c r="X268" s="3" t="n">
        <v>4</v>
      </c>
      <c r="Y268" s="3" t="n">
        <v>1</v>
      </c>
      <c r="Z268" s="3" t="n">
        <v>2</v>
      </c>
      <c r="AA268" s="4" t="n">
        <f aca="false">IF($B268=AA$1,1,0)</f>
        <v>0</v>
      </c>
      <c r="AB268" s="4" t="n">
        <f aca="false">IF($B268=AB$1,1,0)</f>
        <v>0</v>
      </c>
      <c r="AC268" s="4" t="n">
        <f aca="false">IF($B268=AC$1,1,0)</f>
        <v>0</v>
      </c>
      <c r="AD268" s="4" t="n">
        <f aca="false">IF($B268=AD$1,1,0)</f>
        <v>0</v>
      </c>
      <c r="AE268" s="4" t="n">
        <f aca="false">IF($B268=AE$1,1,0)</f>
        <v>1</v>
      </c>
      <c r="AF268" s="4" t="n">
        <f aca="false">IF($B268=AF$1,1,0)</f>
        <v>0</v>
      </c>
      <c r="AG268" s="4" t="n">
        <f aca="false">IF($B268=AG$1,1,0)</f>
        <v>0</v>
      </c>
      <c r="AH268" s="4" t="n">
        <f aca="false">IF($B268=AH$1,1,0)</f>
        <v>0</v>
      </c>
      <c r="AI268" s="4" t="n">
        <f aca="false">IF($B268=AI$1,1,0)</f>
        <v>0</v>
      </c>
      <c r="AJ268" s="4" t="n">
        <f aca="false">IF($B268=AJ$1,1,0)</f>
        <v>0</v>
      </c>
      <c r="AK268" s="4" t="n">
        <f aca="false">IF($B268=AK$1,1,0)</f>
        <v>0</v>
      </c>
      <c r="AL268" s="4" t="n">
        <f aca="false">IF($B268=AL$1,1,0)</f>
        <v>0</v>
      </c>
      <c r="AM268" s="4" t="n">
        <f aca="false">IF($B268=AM$1,1,0)</f>
        <v>0</v>
      </c>
      <c r="AN268" s="4" t="n">
        <f aca="false">IF($B268=AN$1,1,0)</f>
        <v>0</v>
      </c>
      <c r="AO268" s="4" t="n">
        <f aca="false">IF($B268=AO$1,1,0)</f>
        <v>0</v>
      </c>
      <c r="AP268" s="4" t="n">
        <f aca="false">IF($B268=AP$1,1,0)</f>
        <v>0</v>
      </c>
      <c r="AQ268" s="4" t="n">
        <f aca="false">IF($B268=AQ$1,1,0)</f>
        <v>0</v>
      </c>
      <c r="AR268" s="4" t="n">
        <f aca="false">IF($B268=AR$1,1,0)</f>
        <v>0</v>
      </c>
      <c r="AS268" s="4" t="n">
        <f aca="false">IF($B268=AS$1,1,0)</f>
        <v>0</v>
      </c>
      <c r="AT268" s="4" t="n">
        <f aca="false">IF($B268=AT$1,1,0)</f>
        <v>0</v>
      </c>
      <c r="BB268" s="4" t="n">
        <f aca="false">A268</f>
        <v>267</v>
      </c>
      <c r="BC268" s="7" t="n">
        <f aca="false">ABS($T268-$AX$2)+ABS($U268-$AY$2)+ABS($V268-$AZ$2)</f>
        <v>66248.2887323944</v>
      </c>
      <c r="BD268" s="7" t="n">
        <f aca="false">ABS($T268-$AX$3)+ABS($U268-$AY$3)+ABS($V268-$AZ$3)</f>
        <v>42416.6440677966</v>
      </c>
      <c r="BE268" s="7" t="n">
        <f aca="false">ABS($T268-$AX$4)+ABS($U268-$AY$4)+ABS($V268-$AZ$4)</f>
        <v>11284.8867924528</v>
      </c>
      <c r="BF268" s="7" t="n">
        <f aca="false">MIN(BC268:BE268)</f>
        <v>11284.8867924528</v>
      </c>
      <c r="BG268" s="4" t="n">
        <f aca="false">MATCH(BF268,BC268:BE268,0)</f>
        <v>3</v>
      </c>
      <c r="BH268" s="8" t="n">
        <v>3</v>
      </c>
      <c r="BI268" s="4" t="n">
        <f aca="false">IF(BG268=BH268,0,1)</f>
        <v>0</v>
      </c>
      <c r="BK268" s="8" t="n">
        <v>3</v>
      </c>
      <c r="BL268" s="8" t="n">
        <v>3</v>
      </c>
      <c r="BM268" s="8" t="n">
        <v>3</v>
      </c>
    </row>
    <row r="269" customFormat="false" ht="15" hidden="false" customHeight="false" outlineLevel="0" collapsed="false">
      <c r="A269" s="3" t="n">
        <v>268</v>
      </c>
      <c r="B269" s="3" t="s">
        <v>33</v>
      </c>
      <c r="C269" s="3" t="n">
        <v>0</v>
      </c>
      <c r="D269" s="3" t="n">
        <v>0</v>
      </c>
      <c r="E269" s="3" t="n">
        <v>1</v>
      </c>
      <c r="F269" s="3" t="n">
        <v>0</v>
      </c>
      <c r="G269" s="3" t="n">
        <v>0</v>
      </c>
      <c r="H269" s="3" t="n">
        <v>3</v>
      </c>
      <c r="I269" s="3" t="n">
        <v>3</v>
      </c>
      <c r="J269" s="3" t="n">
        <v>5</v>
      </c>
      <c r="K269" s="3" t="n">
        <v>3</v>
      </c>
      <c r="L269" s="3" t="n">
        <v>5</v>
      </c>
      <c r="M269" s="3" t="n">
        <v>5</v>
      </c>
      <c r="N269" s="3" t="n">
        <v>3</v>
      </c>
      <c r="O269" s="3" t="n">
        <v>2</v>
      </c>
      <c r="P269" s="3" t="n">
        <v>4</v>
      </c>
      <c r="Q269" s="3" t="n">
        <v>5</v>
      </c>
      <c r="R269" s="3" t="n">
        <v>4</v>
      </c>
      <c r="S269" s="3" t="n">
        <v>2</v>
      </c>
      <c r="T269" s="3" t="n">
        <v>0</v>
      </c>
      <c r="U269" s="3" t="n">
        <v>33</v>
      </c>
      <c r="V269" s="3" t="n">
        <v>87381</v>
      </c>
      <c r="W269" s="3" t="n">
        <v>2</v>
      </c>
      <c r="X269" s="3" t="n">
        <v>3</v>
      </c>
      <c r="Y269" s="3" t="n">
        <v>2</v>
      </c>
      <c r="Z269" s="3" t="n">
        <v>3</v>
      </c>
      <c r="AA269" s="4" t="n">
        <f aca="false">IF($B269=AA$1,1,0)</f>
        <v>0</v>
      </c>
      <c r="AB269" s="4" t="n">
        <f aca="false">IF($B269=AB$1,1,0)</f>
        <v>0</v>
      </c>
      <c r="AC269" s="4" t="n">
        <f aca="false">IF($B269=AC$1,1,0)</f>
        <v>0</v>
      </c>
      <c r="AD269" s="4" t="n">
        <f aca="false">IF($B269=AD$1,1,0)</f>
        <v>0</v>
      </c>
      <c r="AE269" s="4" t="n">
        <f aca="false">IF($B269=AE$1,1,0)</f>
        <v>0</v>
      </c>
      <c r="AF269" s="4" t="n">
        <f aca="false">IF($B269=AF$1,1,0)</f>
        <v>0</v>
      </c>
      <c r="AG269" s="4" t="n">
        <f aca="false">IF($B269=AG$1,1,0)</f>
        <v>0</v>
      </c>
      <c r="AH269" s="4" t="n">
        <f aca="false">IF($B269=AH$1,1,0)</f>
        <v>1</v>
      </c>
      <c r="AI269" s="4" t="n">
        <f aca="false">IF($B269=AI$1,1,0)</f>
        <v>0</v>
      </c>
      <c r="AJ269" s="4" t="n">
        <f aca="false">IF($B269=AJ$1,1,0)</f>
        <v>0</v>
      </c>
      <c r="AK269" s="4" t="n">
        <f aca="false">IF($B269=AK$1,1,0)</f>
        <v>0</v>
      </c>
      <c r="AL269" s="4" t="n">
        <f aca="false">IF($B269=AL$1,1,0)</f>
        <v>0</v>
      </c>
      <c r="AM269" s="4" t="n">
        <f aca="false">IF($B269=AM$1,1,0)</f>
        <v>0</v>
      </c>
      <c r="AN269" s="4" t="n">
        <f aca="false">IF($B269=AN$1,1,0)</f>
        <v>0</v>
      </c>
      <c r="AO269" s="4" t="n">
        <f aca="false">IF($B269=AO$1,1,0)</f>
        <v>0</v>
      </c>
      <c r="AP269" s="4" t="n">
        <f aca="false">IF($B269=AP$1,1,0)</f>
        <v>0</v>
      </c>
      <c r="AQ269" s="4" t="n">
        <f aca="false">IF($B269=AQ$1,1,0)</f>
        <v>0</v>
      </c>
      <c r="AR269" s="4" t="n">
        <f aca="false">IF($B269=AR$1,1,0)</f>
        <v>0</v>
      </c>
      <c r="AS269" s="4" t="n">
        <f aca="false">IF($B269=AS$1,1,0)</f>
        <v>0</v>
      </c>
      <c r="AT269" s="4" t="n">
        <f aca="false">IF($B269=AT$1,1,0)</f>
        <v>0</v>
      </c>
      <c r="BB269" s="4" t="n">
        <f aca="false">A269</f>
        <v>268</v>
      </c>
      <c r="BC269" s="7" t="n">
        <f aca="false">ABS($T269-$AX$2)+ABS($U269-$AY$2)+ABS($V269-$AZ$2)</f>
        <v>64552.7676056338</v>
      </c>
      <c r="BD269" s="7" t="n">
        <f aca="false">ABS($T269-$AX$3)+ABS($U269-$AY$3)+ABS($V269-$AZ$3)</f>
        <v>40726.406779661</v>
      </c>
      <c r="BE269" s="7" t="n">
        <f aca="false">ABS($T269-$AX$4)+ABS($U269-$AY$4)+ABS($V269-$AZ$4)</f>
        <v>9595.92452830189</v>
      </c>
      <c r="BF269" s="7" t="n">
        <f aca="false">MIN(BC269:BE269)</f>
        <v>9595.92452830189</v>
      </c>
      <c r="BG269" s="4" t="n">
        <f aca="false">MATCH(BF269,BC269:BE269,0)</f>
        <v>3</v>
      </c>
      <c r="BH269" s="8" t="n">
        <v>3</v>
      </c>
      <c r="BI269" s="4" t="n">
        <f aca="false">IF(BG269=BH269,0,1)</f>
        <v>0</v>
      </c>
      <c r="BK269" s="8" t="n">
        <v>3</v>
      </c>
      <c r="BL269" s="8" t="n">
        <v>3</v>
      </c>
      <c r="BM269" s="8" t="n">
        <v>3</v>
      </c>
    </row>
    <row r="270" customFormat="false" ht="15" hidden="false" customHeight="false" outlineLevel="0" collapsed="false">
      <c r="A270" s="3" t="n">
        <v>269</v>
      </c>
      <c r="B270" s="3" t="s">
        <v>33</v>
      </c>
      <c r="C270" s="3" t="n">
        <v>1</v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4</v>
      </c>
      <c r="I270" s="3" t="n">
        <v>4</v>
      </c>
      <c r="J270" s="3" t="n">
        <v>5</v>
      </c>
      <c r="K270" s="3" t="n">
        <v>5</v>
      </c>
      <c r="L270" s="3" t="n">
        <v>5</v>
      </c>
      <c r="M270" s="3" t="n">
        <v>4</v>
      </c>
      <c r="N270" s="3" t="n">
        <v>5</v>
      </c>
      <c r="O270" s="3" t="n">
        <v>5</v>
      </c>
      <c r="P270" s="3" t="n">
        <v>3</v>
      </c>
      <c r="Q270" s="3" t="n">
        <v>4</v>
      </c>
      <c r="R270" s="3" t="n">
        <v>5</v>
      </c>
      <c r="S270" s="3" t="n">
        <v>3</v>
      </c>
      <c r="T270" s="3" t="n">
        <v>0</v>
      </c>
      <c r="U270" s="3" t="n">
        <v>36</v>
      </c>
      <c r="V270" s="3" t="n">
        <v>84261</v>
      </c>
      <c r="W270" s="3" t="n">
        <v>2</v>
      </c>
      <c r="X270" s="3" t="n">
        <v>2</v>
      </c>
      <c r="Y270" s="3" t="n">
        <v>2</v>
      </c>
      <c r="Z270" s="3" t="n">
        <v>1</v>
      </c>
      <c r="AA270" s="4" t="n">
        <f aca="false">IF($B270=AA$1,1,0)</f>
        <v>0</v>
      </c>
      <c r="AB270" s="4" t="n">
        <f aca="false">IF($B270=AB$1,1,0)</f>
        <v>0</v>
      </c>
      <c r="AC270" s="4" t="n">
        <f aca="false">IF($B270=AC$1,1,0)</f>
        <v>0</v>
      </c>
      <c r="AD270" s="4" t="n">
        <f aca="false">IF($B270=AD$1,1,0)</f>
        <v>0</v>
      </c>
      <c r="AE270" s="4" t="n">
        <f aca="false">IF($B270=AE$1,1,0)</f>
        <v>0</v>
      </c>
      <c r="AF270" s="4" t="n">
        <f aca="false">IF($B270=AF$1,1,0)</f>
        <v>0</v>
      </c>
      <c r="AG270" s="4" t="n">
        <f aca="false">IF($B270=AG$1,1,0)</f>
        <v>0</v>
      </c>
      <c r="AH270" s="4" t="n">
        <f aca="false">IF($B270=AH$1,1,0)</f>
        <v>1</v>
      </c>
      <c r="AI270" s="4" t="n">
        <f aca="false">IF($B270=AI$1,1,0)</f>
        <v>0</v>
      </c>
      <c r="AJ270" s="4" t="n">
        <f aca="false">IF($B270=AJ$1,1,0)</f>
        <v>0</v>
      </c>
      <c r="AK270" s="4" t="n">
        <f aca="false">IF($B270=AK$1,1,0)</f>
        <v>0</v>
      </c>
      <c r="AL270" s="4" t="n">
        <f aca="false">IF($B270=AL$1,1,0)</f>
        <v>0</v>
      </c>
      <c r="AM270" s="4" t="n">
        <f aca="false">IF($B270=AM$1,1,0)</f>
        <v>0</v>
      </c>
      <c r="AN270" s="4" t="n">
        <f aca="false">IF($B270=AN$1,1,0)</f>
        <v>0</v>
      </c>
      <c r="AO270" s="4" t="n">
        <f aca="false">IF($B270=AO$1,1,0)</f>
        <v>0</v>
      </c>
      <c r="AP270" s="4" t="n">
        <f aca="false">IF($B270=AP$1,1,0)</f>
        <v>0</v>
      </c>
      <c r="AQ270" s="4" t="n">
        <f aca="false">IF($B270=AQ$1,1,0)</f>
        <v>0</v>
      </c>
      <c r="AR270" s="4" t="n">
        <f aca="false">IF($B270=AR$1,1,0)</f>
        <v>0</v>
      </c>
      <c r="AS270" s="4" t="n">
        <f aca="false">IF($B270=AS$1,1,0)</f>
        <v>0</v>
      </c>
      <c r="AT270" s="4" t="n">
        <f aca="false">IF($B270=AT$1,1,0)</f>
        <v>0</v>
      </c>
      <c r="BB270" s="4" t="n">
        <f aca="false">A270</f>
        <v>269</v>
      </c>
      <c r="BC270" s="7" t="n">
        <f aca="false">ABS($T270-$AX$2)+ABS($U270-$AY$2)+ABS($V270-$AZ$2)</f>
        <v>61429.7676056338</v>
      </c>
      <c r="BD270" s="7" t="n">
        <f aca="false">ABS($T270-$AX$3)+ABS($U270-$AY$3)+ABS($V270-$AZ$3)</f>
        <v>37603.406779661</v>
      </c>
      <c r="BE270" s="7" t="n">
        <f aca="false">ABS($T270-$AX$4)+ABS($U270-$AY$4)+ABS($V270-$AZ$4)</f>
        <v>6472.92452830189</v>
      </c>
      <c r="BF270" s="7" t="n">
        <f aca="false">MIN(BC270:BE270)</f>
        <v>6472.92452830189</v>
      </c>
      <c r="BG270" s="4" t="n">
        <f aca="false">MATCH(BF270,BC270:BE270,0)</f>
        <v>3</v>
      </c>
      <c r="BH270" s="8" t="n">
        <v>3</v>
      </c>
      <c r="BI270" s="4" t="n">
        <f aca="false">IF(BG270=BH270,0,1)</f>
        <v>0</v>
      </c>
      <c r="BK270" s="8" t="n">
        <v>3</v>
      </c>
      <c r="BL270" s="8" t="n">
        <v>3</v>
      </c>
      <c r="BM270" s="8" t="n">
        <v>3</v>
      </c>
    </row>
    <row r="271" customFormat="false" ht="15" hidden="false" customHeight="false" outlineLevel="0" collapsed="false">
      <c r="A271" s="3" t="n">
        <v>270</v>
      </c>
      <c r="B271" s="3" t="s">
        <v>30</v>
      </c>
      <c r="C271" s="3" t="n">
        <v>0</v>
      </c>
      <c r="D271" s="3" t="n">
        <v>0</v>
      </c>
      <c r="E271" s="3" t="n">
        <v>1</v>
      </c>
      <c r="F271" s="3" t="n">
        <v>0</v>
      </c>
      <c r="G271" s="3" t="n">
        <v>0</v>
      </c>
      <c r="H271" s="3" t="n">
        <v>5</v>
      </c>
      <c r="I271" s="3" t="n">
        <v>4</v>
      </c>
      <c r="J271" s="3" t="n">
        <v>5</v>
      </c>
      <c r="K271" s="3" t="n">
        <v>5</v>
      </c>
      <c r="L271" s="3" t="n">
        <v>5</v>
      </c>
      <c r="M271" s="3" t="n">
        <v>5</v>
      </c>
      <c r="N271" s="3" t="n">
        <v>2</v>
      </c>
      <c r="O271" s="3" t="n">
        <v>4</v>
      </c>
      <c r="P271" s="3" t="n">
        <v>3</v>
      </c>
      <c r="Q271" s="3" t="n">
        <v>5</v>
      </c>
      <c r="R271" s="3" t="n">
        <v>5</v>
      </c>
      <c r="S271" s="3" t="n">
        <v>4</v>
      </c>
      <c r="T271" s="3" t="n">
        <v>0</v>
      </c>
      <c r="U271" s="3" t="n">
        <v>20</v>
      </c>
      <c r="V271" s="3" t="n">
        <v>40048</v>
      </c>
      <c r="W271" s="3" t="n">
        <v>2</v>
      </c>
      <c r="X271" s="3" t="n">
        <v>3</v>
      </c>
      <c r="Y271" s="3" t="n">
        <v>1</v>
      </c>
      <c r="Z271" s="3" t="n">
        <v>2</v>
      </c>
      <c r="AA271" s="4" t="n">
        <f aca="false">IF($B271=AA$1,1,0)</f>
        <v>0</v>
      </c>
      <c r="AB271" s="4" t="n">
        <f aca="false">IF($B271=AB$1,1,0)</f>
        <v>0</v>
      </c>
      <c r="AC271" s="4" t="n">
        <f aca="false">IF($B271=AC$1,1,0)</f>
        <v>0</v>
      </c>
      <c r="AD271" s="4" t="n">
        <f aca="false">IF($B271=AD$1,1,0)</f>
        <v>0</v>
      </c>
      <c r="AE271" s="4" t="n">
        <f aca="false">IF($B271=AE$1,1,0)</f>
        <v>1</v>
      </c>
      <c r="AF271" s="4" t="n">
        <f aca="false">IF($B271=AF$1,1,0)</f>
        <v>0</v>
      </c>
      <c r="AG271" s="4" t="n">
        <f aca="false">IF($B271=AG$1,1,0)</f>
        <v>0</v>
      </c>
      <c r="AH271" s="4" t="n">
        <f aca="false">IF($B271=AH$1,1,0)</f>
        <v>0</v>
      </c>
      <c r="AI271" s="4" t="n">
        <f aca="false">IF($B271=AI$1,1,0)</f>
        <v>0</v>
      </c>
      <c r="AJ271" s="4" t="n">
        <f aca="false">IF($B271=AJ$1,1,0)</f>
        <v>0</v>
      </c>
      <c r="AK271" s="4" t="n">
        <f aca="false">IF($B271=AK$1,1,0)</f>
        <v>0</v>
      </c>
      <c r="AL271" s="4" t="n">
        <f aca="false">IF($B271=AL$1,1,0)</f>
        <v>0</v>
      </c>
      <c r="AM271" s="4" t="n">
        <f aca="false">IF($B271=AM$1,1,0)</f>
        <v>0</v>
      </c>
      <c r="AN271" s="4" t="n">
        <f aca="false">IF($B271=AN$1,1,0)</f>
        <v>0</v>
      </c>
      <c r="AO271" s="4" t="n">
        <f aca="false">IF($B271=AO$1,1,0)</f>
        <v>0</v>
      </c>
      <c r="AP271" s="4" t="n">
        <f aca="false">IF($B271=AP$1,1,0)</f>
        <v>0</v>
      </c>
      <c r="AQ271" s="4" t="n">
        <f aca="false">IF($B271=AQ$1,1,0)</f>
        <v>0</v>
      </c>
      <c r="AR271" s="4" t="n">
        <f aca="false">IF($B271=AR$1,1,0)</f>
        <v>0</v>
      </c>
      <c r="AS271" s="4" t="n">
        <f aca="false">IF($B271=AS$1,1,0)</f>
        <v>0</v>
      </c>
      <c r="AT271" s="4" t="n">
        <f aca="false">IF($B271=AT$1,1,0)</f>
        <v>0</v>
      </c>
      <c r="BB271" s="4" t="n">
        <f aca="false">A271</f>
        <v>270</v>
      </c>
      <c r="BC271" s="7" t="n">
        <f aca="false">ABS($T271-$AX$2)+ABS($U271-$AY$2)+ABS($V271-$AZ$2)</f>
        <v>17232.7676056338</v>
      </c>
      <c r="BD271" s="7" t="n">
        <f aca="false">ABS($T271-$AX$3)+ABS($U271-$AY$3)+ABS($V271-$AZ$3)</f>
        <v>6636.72881355932</v>
      </c>
      <c r="BE271" s="7" t="n">
        <f aca="false">ABS($T271-$AX$4)+ABS($U271-$AY$4)+ABS($V271-$AZ$4)</f>
        <v>37768.641509434</v>
      </c>
      <c r="BF271" s="7" t="n">
        <f aca="false">MIN(BC271:BE271)</f>
        <v>6636.72881355932</v>
      </c>
      <c r="BG271" s="4" t="n">
        <f aca="false">MATCH(BF271,BC271:BE271,0)</f>
        <v>2</v>
      </c>
      <c r="BH271" s="8" t="n">
        <v>2</v>
      </c>
      <c r="BI271" s="4" t="n">
        <f aca="false">IF(BG271=BH271,0,1)</f>
        <v>0</v>
      </c>
      <c r="BK271" s="8" t="n">
        <v>2</v>
      </c>
      <c r="BL271" s="8" t="n">
        <v>2</v>
      </c>
      <c r="BM271" s="8" t="n">
        <v>2</v>
      </c>
    </row>
    <row r="272" customFormat="false" ht="15" hidden="false" customHeight="false" outlineLevel="0" collapsed="false">
      <c r="A272" s="3" t="n">
        <v>271</v>
      </c>
      <c r="B272" s="3" t="s">
        <v>33</v>
      </c>
      <c r="C272" s="3" t="n">
        <v>0</v>
      </c>
      <c r="D272" s="3" t="n">
        <v>1</v>
      </c>
      <c r="E272" s="3" t="n">
        <v>0</v>
      </c>
      <c r="F272" s="3" t="n">
        <v>0</v>
      </c>
      <c r="G272" s="3" t="n">
        <v>0</v>
      </c>
      <c r="H272" s="3" t="n">
        <v>4</v>
      </c>
      <c r="I272" s="3" t="n">
        <v>5</v>
      </c>
      <c r="J272" s="3" t="n">
        <v>5</v>
      </c>
      <c r="K272" s="3" t="n">
        <v>5</v>
      </c>
      <c r="L272" s="3" t="n">
        <v>5</v>
      </c>
      <c r="M272" s="3" t="n">
        <v>5</v>
      </c>
      <c r="N272" s="3" t="n">
        <v>3</v>
      </c>
      <c r="O272" s="3" t="n">
        <v>4</v>
      </c>
      <c r="P272" s="3" t="n">
        <v>4</v>
      </c>
      <c r="Q272" s="3" t="n">
        <v>5</v>
      </c>
      <c r="R272" s="3" t="n">
        <v>3</v>
      </c>
      <c r="S272" s="3" t="n">
        <v>3</v>
      </c>
      <c r="T272" s="3" t="n">
        <v>0</v>
      </c>
      <c r="U272" s="3" t="n">
        <v>45</v>
      </c>
      <c r="V272" s="3" t="n">
        <v>30362</v>
      </c>
      <c r="W272" s="3" t="n">
        <v>2</v>
      </c>
      <c r="X272" s="3" t="n">
        <v>2</v>
      </c>
      <c r="Y272" s="3" t="n">
        <v>2</v>
      </c>
      <c r="Z272" s="3" t="n">
        <v>2</v>
      </c>
      <c r="AA272" s="4" t="n">
        <f aca="false">IF($B272=AA$1,1,0)</f>
        <v>0</v>
      </c>
      <c r="AB272" s="4" t="n">
        <f aca="false">IF($B272=AB$1,1,0)</f>
        <v>0</v>
      </c>
      <c r="AC272" s="4" t="n">
        <f aca="false">IF($B272=AC$1,1,0)</f>
        <v>0</v>
      </c>
      <c r="AD272" s="4" t="n">
        <f aca="false">IF($B272=AD$1,1,0)</f>
        <v>0</v>
      </c>
      <c r="AE272" s="4" t="n">
        <f aca="false">IF($B272=AE$1,1,0)</f>
        <v>0</v>
      </c>
      <c r="AF272" s="4" t="n">
        <f aca="false">IF($B272=AF$1,1,0)</f>
        <v>0</v>
      </c>
      <c r="AG272" s="4" t="n">
        <f aca="false">IF($B272=AG$1,1,0)</f>
        <v>0</v>
      </c>
      <c r="AH272" s="4" t="n">
        <f aca="false">IF($B272=AH$1,1,0)</f>
        <v>1</v>
      </c>
      <c r="AI272" s="4" t="n">
        <f aca="false">IF($B272=AI$1,1,0)</f>
        <v>0</v>
      </c>
      <c r="AJ272" s="4" t="n">
        <f aca="false">IF($B272=AJ$1,1,0)</f>
        <v>0</v>
      </c>
      <c r="AK272" s="4" t="n">
        <f aca="false">IF($B272=AK$1,1,0)</f>
        <v>0</v>
      </c>
      <c r="AL272" s="4" t="n">
        <f aca="false">IF($B272=AL$1,1,0)</f>
        <v>0</v>
      </c>
      <c r="AM272" s="4" t="n">
        <f aca="false">IF($B272=AM$1,1,0)</f>
        <v>0</v>
      </c>
      <c r="AN272" s="4" t="n">
        <f aca="false">IF($B272=AN$1,1,0)</f>
        <v>0</v>
      </c>
      <c r="AO272" s="4" t="n">
        <f aca="false">IF($B272=AO$1,1,0)</f>
        <v>0</v>
      </c>
      <c r="AP272" s="4" t="n">
        <f aca="false">IF($B272=AP$1,1,0)</f>
        <v>0</v>
      </c>
      <c r="AQ272" s="4" t="n">
        <f aca="false">IF($B272=AQ$1,1,0)</f>
        <v>0</v>
      </c>
      <c r="AR272" s="4" t="n">
        <f aca="false">IF($B272=AR$1,1,0)</f>
        <v>0</v>
      </c>
      <c r="AS272" s="4" t="n">
        <f aca="false">IF($B272=AS$1,1,0)</f>
        <v>0</v>
      </c>
      <c r="AT272" s="4" t="n">
        <f aca="false">IF($B272=AT$1,1,0)</f>
        <v>0</v>
      </c>
      <c r="BB272" s="4" t="n">
        <f aca="false">A272</f>
        <v>271</v>
      </c>
      <c r="BC272" s="7" t="n">
        <f aca="false">ABS($T272-$AX$2)+ABS($U272-$AY$2)+ABS($V272-$AZ$2)</f>
        <v>7534.28873239436</v>
      </c>
      <c r="BD272" s="7" t="n">
        <f aca="false">ABS($T272-$AX$3)+ABS($U272-$AY$3)+ABS($V272-$AZ$3)</f>
        <v>16304.9661016949</v>
      </c>
      <c r="BE272" s="7" t="n">
        <f aca="false">ABS($T272-$AX$4)+ABS($U272-$AY$4)+ABS($V272-$AZ$4)</f>
        <v>47435.6037735849</v>
      </c>
      <c r="BF272" s="7" t="n">
        <f aca="false">MIN(BC272:BE272)</f>
        <v>7534.28873239436</v>
      </c>
      <c r="BG272" s="4" t="n">
        <f aca="false">MATCH(BF272,BC272:BE272,0)</f>
        <v>1</v>
      </c>
      <c r="BH272" s="8" t="n">
        <v>1</v>
      </c>
      <c r="BI272" s="4" t="n">
        <f aca="false">IF(BG272=BH272,0,1)</f>
        <v>0</v>
      </c>
      <c r="BK272" s="8" t="n">
        <v>1</v>
      </c>
      <c r="BL272" s="8" t="n">
        <v>1</v>
      </c>
      <c r="BM272" s="8" t="n">
        <v>1</v>
      </c>
    </row>
    <row r="273" customFormat="false" ht="15" hidden="false" customHeight="false" outlineLevel="0" collapsed="false">
      <c r="A273" s="3" t="n">
        <v>272</v>
      </c>
      <c r="B273" s="3" t="s">
        <v>36</v>
      </c>
      <c r="C273" s="3" t="n">
        <v>0</v>
      </c>
      <c r="D273" s="3" t="n">
        <v>0</v>
      </c>
      <c r="E273" s="3" t="n">
        <v>1</v>
      </c>
      <c r="F273" s="3" t="n">
        <v>0</v>
      </c>
      <c r="G273" s="3" t="n">
        <v>0</v>
      </c>
      <c r="H273" s="3" t="n">
        <v>4</v>
      </c>
      <c r="I273" s="3" t="n">
        <v>5</v>
      </c>
      <c r="J273" s="3" t="n">
        <v>5</v>
      </c>
      <c r="K273" s="3" t="n">
        <v>4</v>
      </c>
      <c r="L273" s="3" t="n">
        <v>5</v>
      </c>
      <c r="M273" s="3" t="n">
        <v>4</v>
      </c>
      <c r="N273" s="3" t="n">
        <v>4</v>
      </c>
      <c r="O273" s="3" t="n">
        <v>2</v>
      </c>
      <c r="P273" s="3" t="n">
        <v>5</v>
      </c>
      <c r="Q273" s="3" t="n">
        <v>5</v>
      </c>
      <c r="R273" s="3" t="n">
        <v>2</v>
      </c>
      <c r="S273" s="3" t="n">
        <v>3</v>
      </c>
      <c r="T273" s="3" t="n">
        <v>1</v>
      </c>
      <c r="U273" s="3" t="n">
        <v>49</v>
      </c>
      <c r="V273" s="3" t="n">
        <v>40104</v>
      </c>
      <c r="W273" s="3" t="n">
        <v>2</v>
      </c>
      <c r="X273" s="3" t="n">
        <v>2</v>
      </c>
      <c r="Y273" s="3" t="n">
        <v>1</v>
      </c>
      <c r="Z273" s="3" t="n">
        <v>2</v>
      </c>
      <c r="AA273" s="4" t="n">
        <f aca="false">IF($B273=AA$1,1,0)</f>
        <v>0</v>
      </c>
      <c r="AB273" s="4" t="n">
        <f aca="false">IF($B273=AB$1,1,0)</f>
        <v>0</v>
      </c>
      <c r="AC273" s="4" t="n">
        <f aca="false">IF($B273=AC$1,1,0)</f>
        <v>0</v>
      </c>
      <c r="AD273" s="4" t="n">
        <f aca="false">IF($B273=AD$1,1,0)</f>
        <v>0</v>
      </c>
      <c r="AE273" s="4" t="n">
        <f aca="false">IF($B273=AE$1,1,0)</f>
        <v>0</v>
      </c>
      <c r="AF273" s="4" t="n">
        <f aca="false">IF($B273=AF$1,1,0)</f>
        <v>0</v>
      </c>
      <c r="AG273" s="4" t="n">
        <f aca="false">IF($B273=AG$1,1,0)</f>
        <v>0</v>
      </c>
      <c r="AH273" s="4" t="n">
        <f aca="false">IF($B273=AH$1,1,0)</f>
        <v>0</v>
      </c>
      <c r="AI273" s="4" t="n">
        <f aca="false">IF($B273=AI$1,1,0)</f>
        <v>0</v>
      </c>
      <c r="AJ273" s="4" t="n">
        <f aca="false">IF($B273=AJ$1,1,0)</f>
        <v>0</v>
      </c>
      <c r="AK273" s="4" t="n">
        <f aca="false">IF($B273=AK$1,1,0)</f>
        <v>1</v>
      </c>
      <c r="AL273" s="4" t="n">
        <f aca="false">IF($B273=AL$1,1,0)</f>
        <v>0</v>
      </c>
      <c r="AM273" s="4" t="n">
        <f aca="false">IF($B273=AM$1,1,0)</f>
        <v>0</v>
      </c>
      <c r="AN273" s="4" t="n">
        <f aca="false">IF($B273=AN$1,1,0)</f>
        <v>0</v>
      </c>
      <c r="AO273" s="4" t="n">
        <f aca="false">IF($B273=AO$1,1,0)</f>
        <v>0</v>
      </c>
      <c r="AP273" s="4" t="n">
        <f aca="false">IF($B273=AP$1,1,0)</f>
        <v>0</v>
      </c>
      <c r="AQ273" s="4" t="n">
        <f aca="false">IF($B273=AQ$1,1,0)</f>
        <v>0</v>
      </c>
      <c r="AR273" s="4" t="n">
        <f aca="false">IF($B273=AR$1,1,0)</f>
        <v>0</v>
      </c>
      <c r="AS273" s="4" t="n">
        <f aca="false">IF($B273=AS$1,1,0)</f>
        <v>0</v>
      </c>
      <c r="AT273" s="4" t="n">
        <f aca="false">IF($B273=AT$1,1,0)</f>
        <v>0</v>
      </c>
      <c r="BB273" s="4" t="n">
        <f aca="false">A273</f>
        <v>272</v>
      </c>
      <c r="BC273" s="7" t="n">
        <f aca="false">ABS($T273-$AX$2)+ABS($U273-$AY$2)+ABS($V273-$AZ$2)</f>
        <v>17280.8521126761</v>
      </c>
      <c r="BD273" s="7" t="n">
        <f aca="false">ABS($T273-$AX$3)+ABS($U273-$AY$3)+ABS($V273-$AZ$3)</f>
        <v>6567.59322033899</v>
      </c>
      <c r="BE273" s="7" t="n">
        <f aca="false">ABS($T273-$AX$4)+ABS($U273-$AY$4)+ABS($V273-$AZ$4)</f>
        <v>37698.0754716981</v>
      </c>
      <c r="BF273" s="7" t="n">
        <f aca="false">MIN(BC273:BE273)</f>
        <v>6567.59322033899</v>
      </c>
      <c r="BG273" s="4" t="n">
        <f aca="false">MATCH(BF273,BC273:BE273,0)</f>
        <v>2</v>
      </c>
      <c r="BH273" s="8" t="n">
        <v>2</v>
      </c>
      <c r="BI273" s="4" t="n">
        <f aca="false">IF(BG273=BH273,0,1)</f>
        <v>0</v>
      </c>
      <c r="BK273" s="8" t="n">
        <v>2</v>
      </c>
      <c r="BL273" s="8" t="n">
        <v>2</v>
      </c>
      <c r="BM273" s="8" t="n">
        <v>2</v>
      </c>
    </row>
    <row r="274" customFormat="false" ht="15" hidden="false" customHeight="false" outlineLevel="0" collapsed="false">
      <c r="A274" s="3" t="n">
        <v>273</v>
      </c>
      <c r="B274" s="3" t="s">
        <v>33</v>
      </c>
      <c r="C274" s="3" t="n">
        <v>1</v>
      </c>
      <c r="D274" s="3" t="n">
        <v>0</v>
      </c>
      <c r="E274" s="3" t="n">
        <v>0</v>
      </c>
      <c r="F274" s="3" t="n">
        <v>0</v>
      </c>
      <c r="G274" s="3" t="n">
        <v>0</v>
      </c>
      <c r="H274" s="3" t="n">
        <v>4</v>
      </c>
      <c r="I274" s="3" t="n">
        <v>3</v>
      </c>
      <c r="J274" s="3" t="n">
        <v>3</v>
      </c>
      <c r="K274" s="3" t="n">
        <v>4</v>
      </c>
      <c r="L274" s="3" t="n">
        <v>5</v>
      </c>
      <c r="M274" s="3" t="n">
        <v>5</v>
      </c>
      <c r="N274" s="3" t="n">
        <v>4</v>
      </c>
      <c r="O274" s="3" t="n">
        <v>3</v>
      </c>
      <c r="P274" s="3" t="n">
        <v>3</v>
      </c>
      <c r="Q274" s="3" t="n">
        <v>5</v>
      </c>
      <c r="R274" s="3" t="n">
        <v>3</v>
      </c>
      <c r="S274" s="3" t="n">
        <v>2</v>
      </c>
      <c r="T274" s="3" t="n">
        <v>0</v>
      </c>
      <c r="U274" s="3" t="n">
        <v>55</v>
      </c>
      <c r="V274" s="3" t="n">
        <v>52712</v>
      </c>
      <c r="W274" s="3" t="n">
        <v>3</v>
      </c>
      <c r="X274" s="3" t="n">
        <v>4</v>
      </c>
      <c r="Y274" s="3" t="n">
        <v>1</v>
      </c>
      <c r="Z274" s="3" t="n">
        <v>2</v>
      </c>
      <c r="AA274" s="4" t="n">
        <f aca="false">IF($B274=AA$1,1,0)</f>
        <v>0</v>
      </c>
      <c r="AB274" s="4" t="n">
        <f aca="false">IF($B274=AB$1,1,0)</f>
        <v>0</v>
      </c>
      <c r="AC274" s="4" t="n">
        <f aca="false">IF($B274=AC$1,1,0)</f>
        <v>0</v>
      </c>
      <c r="AD274" s="4" t="n">
        <f aca="false">IF($B274=AD$1,1,0)</f>
        <v>0</v>
      </c>
      <c r="AE274" s="4" t="n">
        <f aca="false">IF($B274=AE$1,1,0)</f>
        <v>0</v>
      </c>
      <c r="AF274" s="4" t="n">
        <f aca="false">IF($B274=AF$1,1,0)</f>
        <v>0</v>
      </c>
      <c r="AG274" s="4" t="n">
        <f aca="false">IF($B274=AG$1,1,0)</f>
        <v>0</v>
      </c>
      <c r="AH274" s="4" t="n">
        <f aca="false">IF($B274=AH$1,1,0)</f>
        <v>1</v>
      </c>
      <c r="AI274" s="4" t="n">
        <f aca="false">IF($B274=AI$1,1,0)</f>
        <v>0</v>
      </c>
      <c r="AJ274" s="4" t="n">
        <f aca="false">IF($B274=AJ$1,1,0)</f>
        <v>0</v>
      </c>
      <c r="AK274" s="4" t="n">
        <f aca="false">IF($B274=AK$1,1,0)</f>
        <v>0</v>
      </c>
      <c r="AL274" s="4" t="n">
        <f aca="false">IF($B274=AL$1,1,0)</f>
        <v>0</v>
      </c>
      <c r="AM274" s="4" t="n">
        <f aca="false">IF($B274=AM$1,1,0)</f>
        <v>0</v>
      </c>
      <c r="AN274" s="4" t="n">
        <f aca="false">IF($B274=AN$1,1,0)</f>
        <v>0</v>
      </c>
      <c r="AO274" s="4" t="n">
        <f aca="false">IF($B274=AO$1,1,0)</f>
        <v>0</v>
      </c>
      <c r="AP274" s="4" t="n">
        <f aca="false">IF($B274=AP$1,1,0)</f>
        <v>0</v>
      </c>
      <c r="AQ274" s="4" t="n">
        <f aca="false">IF($B274=AQ$1,1,0)</f>
        <v>0</v>
      </c>
      <c r="AR274" s="4" t="n">
        <f aca="false">IF($B274=AR$1,1,0)</f>
        <v>0</v>
      </c>
      <c r="AS274" s="4" t="n">
        <f aca="false">IF($B274=AS$1,1,0)</f>
        <v>0</v>
      </c>
      <c r="AT274" s="4" t="n">
        <f aca="false">IF($B274=AT$1,1,0)</f>
        <v>0</v>
      </c>
      <c r="BB274" s="4" t="n">
        <f aca="false">A274</f>
        <v>273</v>
      </c>
      <c r="BC274" s="7" t="n">
        <f aca="false">ABS($T274-$AX$2)+ABS($U274-$AY$2)+ABS($V274-$AZ$2)</f>
        <v>29894.2887323944</v>
      </c>
      <c r="BD274" s="7" t="n">
        <f aca="false">ABS($T274-$AX$3)+ABS($U274-$AY$3)+ABS($V274-$AZ$3)</f>
        <v>6062.64406779661</v>
      </c>
      <c r="BE274" s="7" t="n">
        <f aca="false">ABS($T274-$AX$4)+ABS($U274-$AY$4)+ABS($V274-$AZ$4)</f>
        <v>25095.6037735849</v>
      </c>
      <c r="BF274" s="7" t="n">
        <f aca="false">MIN(BC274:BE274)</f>
        <v>6062.64406779661</v>
      </c>
      <c r="BG274" s="4" t="n">
        <f aca="false">MATCH(BF274,BC274:BE274,0)</f>
        <v>2</v>
      </c>
      <c r="BH274" s="8" t="n">
        <v>2</v>
      </c>
      <c r="BI274" s="4" t="n">
        <f aca="false">IF(BG274=BH274,0,1)</f>
        <v>0</v>
      </c>
      <c r="BK274" s="8" t="n">
        <v>2</v>
      </c>
      <c r="BL274" s="8" t="n">
        <v>2</v>
      </c>
      <c r="BM274" s="8" t="n">
        <v>2</v>
      </c>
    </row>
    <row r="275" customFormat="false" ht="15" hidden="false" customHeight="false" outlineLevel="0" collapsed="false">
      <c r="A275" s="3" t="n">
        <v>274</v>
      </c>
      <c r="B275" s="3" t="s">
        <v>38</v>
      </c>
      <c r="C275" s="3" t="n">
        <v>0</v>
      </c>
      <c r="D275" s="3" t="n">
        <v>1</v>
      </c>
      <c r="E275" s="3" t="n">
        <v>0</v>
      </c>
      <c r="F275" s="3" t="n">
        <v>0</v>
      </c>
      <c r="G275" s="3" t="n">
        <v>0</v>
      </c>
      <c r="H275" s="3" t="n">
        <v>5</v>
      </c>
      <c r="I275" s="3" t="n">
        <v>5</v>
      </c>
      <c r="J275" s="3" t="n">
        <v>5</v>
      </c>
      <c r="K275" s="3" t="n">
        <v>4</v>
      </c>
      <c r="L275" s="3" t="n">
        <v>5</v>
      </c>
      <c r="M275" s="3" t="n">
        <v>5</v>
      </c>
      <c r="N275" s="3" t="n">
        <v>4</v>
      </c>
      <c r="O275" s="3" t="n">
        <v>3</v>
      </c>
      <c r="P275" s="3" t="n">
        <v>3</v>
      </c>
      <c r="Q275" s="3" t="n">
        <v>4</v>
      </c>
      <c r="R275" s="3" t="n">
        <v>3</v>
      </c>
      <c r="S275" s="3" t="n">
        <v>4</v>
      </c>
      <c r="T275" s="3" t="n">
        <v>0</v>
      </c>
      <c r="U275" s="3" t="n">
        <v>29</v>
      </c>
      <c r="V275" s="3" t="n">
        <v>20196</v>
      </c>
      <c r="W275" s="3" t="n">
        <v>2</v>
      </c>
      <c r="X275" s="3" t="n">
        <v>2</v>
      </c>
      <c r="Y275" s="3" t="n">
        <v>2</v>
      </c>
      <c r="Z275" s="3" t="n">
        <v>3</v>
      </c>
      <c r="AA275" s="4" t="n">
        <f aca="false">IF($B275=AA$1,1,0)</f>
        <v>0</v>
      </c>
      <c r="AB275" s="4" t="n">
        <f aca="false">IF($B275=AB$1,1,0)</f>
        <v>0</v>
      </c>
      <c r="AC275" s="4" t="n">
        <f aca="false">IF($B275=AC$1,1,0)</f>
        <v>0</v>
      </c>
      <c r="AD275" s="4" t="n">
        <f aca="false">IF($B275=AD$1,1,0)</f>
        <v>0</v>
      </c>
      <c r="AE275" s="4" t="n">
        <f aca="false">IF($B275=AE$1,1,0)</f>
        <v>0</v>
      </c>
      <c r="AF275" s="4" t="n">
        <f aca="false">IF($B275=AF$1,1,0)</f>
        <v>0</v>
      </c>
      <c r="AG275" s="4" t="n">
        <f aca="false">IF($B275=AG$1,1,0)</f>
        <v>0</v>
      </c>
      <c r="AH275" s="4" t="n">
        <f aca="false">IF($B275=AH$1,1,0)</f>
        <v>0</v>
      </c>
      <c r="AI275" s="4" t="n">
        <f aca="false">IF($B275=AI$1,1,0)</f>
        <v>0</v>
      </c>
      <c r="AJ275" s="4" t="n">
        <f aca="false">IF($B275=AJ$1,1,0)</f>
        <v>0</v>
      </c>
      <c r="AK275" s="4" t="n">
        <f aca="false">IF($B275=AK$1,1,0)</f>
        <v>0</v>
      </c>
      <c r="AL275" s="4" t="n">
        <f aca="false">IF($B275=AL$1,1,0)</f>
        <v>0</v>
      </c>
      <c r="AM275" s="4" t="n">
        <f aca="false">IF($B275=AM$1,1,0)</f>
        <v>1</v>
      </c>
      <c r="AN275" s="4" t="n">
        <f aca="false">IF($B275=AN$1,1,0)</f>
        <v>0</v>
      </c>
      <c r="AO275" s="4" t="n">
        <f aca="false">IF($B275=AO$1,1,0)</f>
        <v>0</v>
      </c>
      <c r="AP275" s="4" t="n">
        <f aca="false">IF($B275=AP$1,1,0)</f>
        <v>0</v>
      </c>
      <c r="AQ275" s="4" t="n">
        <f aca="false">IF($B275=AQ$1,1,0)</f>
        <v>0</v>
      </c>
      <c r="AR275" s="4" t="n">
        <f aca="false">IF($B275=AR$1,1,0)</f>
        <v>0</v>
      </c>
      <c r="AS275" s="4" t="n">
        <f aca="false">IF($B275=AS$1,1,0)</f>
        <v>0</v>
      </c>
      <c r="AT275" s="4" t="n">
        <f aca="false">IF($B275=AT$1,1,0)</f>
        <v>0</v>
      </c>
      <c r="BB275" s="4" t="n">
        <f aca="false">A275</f>
        <v>274</v>
      </c>
      <c r="BC275" s="7" t="n">
        <f aca="false">ABS($T275-$AX$2)+ABS($U275-$AY$2)+ABS($V275-$AZ$2)</f>
        <v>2648.14788732395</v>
      </c>
      <c r="BD275" s="7" t="n">
        <f aca="false">ABS($T275-$AX$3)+ABS($U275-$AY$3)+ABS($V275-$AZ$3)</f>
        <v>26479.7288135593</v>
      </c>
      <c r="BE275" s="7" t="n">
        <f aca="false">ABS($T275-$AX$4)+ABS($U275-$AY$4)+ABS($V275-$AZ$4)</f>
        <v>57611.641509434</v>
      </c>
      <c r="BF275" s="7" t="n">
        <f aca="false">MIN(BC275:BE275)</f>
        <v>2648.14788732395</v>
      </c>
      <c r="BG275" s="4" t="n">
        <f aca="false">MATCH(BF275,BC275:BE275,0)</f>
        <v>1</v>
      </c>
      <c r="BH275" s="8" t="n">
        <v>1</v>
      </c>
      <c r="BI275" s="4" t="n">
        <f aca="false">IF(BG275=BH275,0,1)</f>
        <v>0</v>
      </c>
      <c r="BK275" s="8" t="n">
        <v>1</v>
      </c>
      <c r="BL275" s="8" t="n">
        <v>1</v>
      </c>
      <c r="BM275" s="8" t="n">
        <v>1</v>
      </c>
    </row>
    <row r="276" customFormat="false" ht="15" hidden="false" customHeight="false" outlineLevel="0" collapsed="false">
      <c r="A276" s="3" t="n">
        <v>275</v>
      </c>
      <c r="B276" s="3" t="s">
        <v>35</v>
      </c>
      <c r="C276" s="3" t="n">
        <v>1</v>
      </c>
      <c r="D276" s="3" t="n">
        <v>0</v>
      </c>
      <c r="E276" s="3" t="n">
        <v>0</v>
      </c>
      <c r="F276" s="3" t="n">
        <v>0</v>
      </c>
      <c r="G276" s="3" t="n">
        <v>0</v>
      </c>
      <c r="H276" s="3" t="n">
        <v>5</v>
      </c>
      <c r="I276" s="3" t="n">
        <v>5</v>
      </c>
      <c r="J276" s="3" t="n">
        <v>5</v>
      </c>
      <c r="K276" s="3" t="n">
        <v>4</v>
      </c>
      <c r="L276" s="3" t="n">
        <v>5</v>
      </c>
      <c r="M276" s="3" t="n">
        <v>4</v>
      </c>
      <c r="N276" s="3" t="n">
        <v>5</v>
      </c>
      <c r="O276" s="3" t="n">
        <v>3</v>
      </c>
      <c r="P276" s="3" t="n">
        <v>5</v>
      </c>
      <c r="Q276" s="3" t="n">
        <v>5</v>
      </c>
      <c r="R276" s="3" t="n">
        <v>5</v>
      </c>
      <c r="S276" s="3" t="n">
        <v>5</v>
      </c>
      <c r="T276" s="3" t="n">
        <v>1</v>
      </c>
      <c r="U276" s="3" t="n">
        <v>45</v>
      </c>
      <c r="V276" s="3" t="n">
        <v>23515</v>
      </c>
      <c r="W276" s="3" t="n">
        <v>2</v>
      </c>
      <c r="X276" s="3" t="n">
        <v>3</v>
      </c>
      <c r="Y276" s="3" t="n">
        <v>3</v>
      </c>
      <c r="Z276" s="3" t="n">
        <v>3</v>
      </c>
      <c r="AA276" s="4" t="n">
        <f aca="false">IF($B276=AA$1,1,0)</f>
        <v>0</v>
      </c>
      <c r="AB276" s="4" t="n">
        <f aca="false">IF($B276=AB$1,1,0)</f>
        <v>0</v>
      </c>
      <c r="AC276" s="4" t="n">
        <f aca="false">IF($B276=AC$1,1,0)</f>
        <v>0</v>
      </c>
      <c r="AD276" s="4" t="n">
        <f aca="false">IF($B276=AD$1,1,0)</f>
        <v>0</v>
      </c>
      <c r="AE276" s="4" t="n">
        <f aca="false">IF($B276=AE$1,1,0)</f>
        <v>0</v>
      </c>
      <c r="AF276" s="4" t="n">
        <f aca="false">IF($B276=AF$1,1,0)</f>
        <v>0</v>
      </c>
      <c r="AG276" s="4" t="n">
        <f aca="false">IF($B276=AG$1,1,0)</f>
        <v>0</v>
      </c>
      <c r="AH276" s="4" t="n">
        <f aca="false">IF($B276=AH$1,1,0)</f>
        <v>0</v>
      </c>
      <c r="AI276" s="4" t="n">
        <f aca="false">IF($B276=AI$1,1,0)</f>
        <v>0</v>
      </c>
      <c r="AJ276" s="4" t="n">
        <f aca="false">IF($B276=AJ$1,1,0)</f>
        <v>1</v>
      </c>
      <c r="AK276" s="4" t="n">
        <f aca="false">IF($B276=AK$1,1,0)</f>
        <v>0</v>
      </c>
      <c r="AL276" s="4" t="n">
        <f aca="false">IF($B276=AL$1,1,0)</f>
        <v>0</v>
      </c>
      <c r="AM276" s="4" t="n">
        <f aca="false">IF($B276=AM$1,1,0)</f>
        <v>0</v>
      </c>
      <c r="AN276" s="4" t="n">
        <f aca="false">IF($B276=AN$1,1,0)</f>
        <v>0</v>
      </c>
      <c r="AO276" s="4" t="n">
        <f aca="false">IF($B276=AO$1,1,0)</f>
        <v>0</v>
      </c>
      <c r="AP276" s="4" t="n">
        <f aca="false">IF($B276=AP$1,1,0)</f>
        <v>0</v>
      </c>
      <c r="AQ276" s="4" t="n">
        <f aca="false">IF($B276=AQ$1,1,0)</f>
        <v>0</v>
      </c>
      <c r="AR276" s="4" t="n">
        <f aca="false">IF($B276=AR$1,1,0)</f>
        <v>0</v>
      </c>
      <c r="AS276" s="4" t="n">
        <f aca="false">IF($B276=AS$1,1,0)</f>
        <v>0</v>
      </c>
      <c r="AT276" s="4" t="n">
        <f aca="false">IF($B276=AT$1,1,0)</f>
        <v>0</v>
      </c>
      <c r="BB276" s="4" t="n">
        <f aca="false">A276</f>
        <v>275</v>
      </c>
      <c r="BC276" s="7" t="n">
        <f aca="false">ABS($T276-$AX$2)+ABS($U276-$AY$2)+ABS($V276-$AZ$2)</f>
        <v>687.852112676055</v>
      </c>
      <c r="BD276" s="7" t="n">
        <f aca="false">ABS($T276-$AX$3)+ABS($U276-$AY$3)+ABS($V276-$AZ$3)</f>
        <v>23152.593220339</v>
      </c>
      <c r="BE276" s="7" t="n">
        <f aca="false">ABS($T276-$AX$4)+ABS($U276-$AY$4)+ABS($V276-$AZ$4)</f>
        <v>54283.0754716981</v>
      </c>
      <c r="BF276" s="7" t="n">
        <f aca="false">MIN(BC276:BE276)</f>
        <v>687.852112676055</v>
      </c>
      <c r="BG276" s="4" t="n">
        <f aca="false">MATCH(BF276,BC276:BE276,0)</f>
        <v>1</v>
      </c>
      <c r="BH276" s="8" t="n">
        <v>1</v>
      </c>
      <c r="BI276" s="4" t="n">
        <f aca="false">IF(BG276=BH276,0,1)</f>
        <v>0</v>
      </c>
      <c r="BK276" s="8" t="n">
        <v>1</v>
      </c>
      <c r="BL276" s="8" t="n">
        <v>1</v>
      </c>
      <c r="BM276" s="8" t="n">
        <v>1</v>
      </c>
    </row>
    <row r="277" customFormat="false" ht="15" hidden="false" customHeight="false" outlineLevel="0" collapsed="false">
      <c r="A277" s="3" t="n">
        <v>276</v>
      </c>
      <c r="B277" s="3" t="s">
        <v>33</v>
      </c>
      <c r="C277" s="3" t="n">
        <v>1</v>
      </c>
      <c r="D277" s="3" t="n">
        <v>0</v>
      </c>
      <c r="E277" s="3" t="n">
        <v>0</v>
      </c>
      <c r="F277" s="3" t="n">
        <v>0</v>
      </c>
      <c r="G277" s="3" t="n">
        <v>0</v>
      </c>
      <c r="H277" s="3" t="n">
        <v>5</v>
      </c>
      <c r="I277" s="3" t="n">
        <v>5</v>
      </c>
      <c r="J277" s="3" t="n">
        <v>5</v>
      </c>
      <c r="K277" s="3" t="n">
        <v>5</v>
      </c>
      <c r="L277" s="3" t="n">
        <v>5</v>
      </c>
      <c r="M277" s="3" t="n">
        <v>4</v>
      </c>
      <c r="N277" s="3" t="n">
        <v>5</v>
      </c>
      <c r="O277" s="3" t="n">
        <v>4</v>
      </c>
      <c r="P277" s="3" t="n">
        <v>5</v>
      </c>
      <c r="Q277" s="3" t="n">
        <v>5</v>
      </c>
      <c r="R277" s="3" t="n">
        <v>5</v>
      </c>
      <c r="S277" s="3" t="n">
        <v>3</v>
      </c>
      <c r="T277" s="3" t="n">
        <v>1</v>
      </c>
      <c r="U277" s="3" t="n">
        <v>33</v>
      </c>
      <c r="V277" s="3" t="n">
        <v>28285</v>
      </c>
      <c r="W277" s="3" t="n">
        <v>3</v>
      </c>
      <c r="X277" s="3" t="n">
        <v>2</v>
      </c>
      <c r="Y277" s="3" t="n">
        <v>2</v>
      </c>
      <c r="Z277" s="3" t="n">
        <v>3</v>
      </c>
      <c r="AA277" s="4" t="n">
        <f aca="false">IF($B277=AA$1,1,0)</f>
        <v>0</v>
      </c>
      <c r="AB277" s="4" t="n">
        <f aca="false">IF($B277=AB$1,1,0)</f>
        <v>0</v>
      </c>
      <c r="AC277" s="4" t="n">
        <f aca="false">IF($B277=AC$1,1,0)</f>
        <v>0</v>
      </c>
      <c r="AD277" s="4" t="n">
        <f aca="false">IF($B277=AD$1,1,0)</f>
        <v>0</v>
      </c>
      <c r="AE277" s="4" t="n">
        <f aca="false">IF($B277=AE$1,1,0)</f>
        <v>0</v>
      </c>
      <c r="AF277" s="4" t="n">
        <f aca="false">IF($B277=AF$1,1,0)</f>
        <v>0</v>
      </c>
      <c r="AG277" s="4" t="n">
        <f aca="false">IF($B277=AG$1,1,0)</f>
        <v>0</v>
      </c>
      <c r="AH277" s="4" t="n">
        <f aca="false">IF($B277=AH$1,1,0)</f>
        <v>1</v>
      </c>
      <c r="AI277" s="4" t="n">
        <f aca="false">IF($B277=AI$1,1,0)</f>
        <v>0</v>
      </c>
      <c r="AJ277" s="4" t="n">
        <f aca="false">IF($B277=AJ$1,1,0)</f>
        <v>0</v>
      </c>
      <c r="AK277" s="4" t="n">
        <f aca="false">IF($B277=AK$1,1,0)</f>
        <v>0</v>
      </c>
      <c r="AL277" s="4" t="n">
        <f aca="false">IF($B277=AL$1,1,0)</f>
        <v>0</v>
      </c>
      <c r="AM277" s="4" t="n">
        <f aca="false">IF($B277=AM$1,1,0)</f>
        <v>0</v>
      </c>
      <c r="AN277" s="4" t="n">
        <f aca="false">IF($B277=AN$1,1,0)</f>
        <v>0</v>
      </c>
      <c r="AO277" s="4" t="n">
        <f aca="false">IF($B277=AO$1,1,0)</f>
        <v>0</v>
      </c>
      <c r="AP277" s="4" t="n">
        <f aca="false">IF($B277=AP$1,1,0)</f>
        <v>0</v>
      </c>
      <c r="AQ277" s="4" t="n">
        <f aca="false">IF($B277=AQ$1,1,0)</f>
        <v>0</v>
      </c>
      <c r="AR277" s="4" t="n">
        <f aca="false">IF($B277=AR$1,1,0)</f>
        <v>0</v>
      </c>
      <c r="AS277" s="4" t="n">
        <f aca="false">IF($B277=AS$1,1,0)</f>
        <v>0</v>
      </c>
      <c r="AT277" s="4" t="n">
        <f aca="false">IF($B277=AT$1,1,0)</f>
        <v>0</v>
      </c>
      <c r="BB277" s="4" t="n">
        <f aca="false">A277</f>
        <v>276</v>
      </c>
      <c r="BC277" s="7" t="n">
        <f aca="false">ABS($T277-$AX$2)+ABS($U277-$AY$2)+ABS($V277-$AZ$2)</f>
        <v>5457.33098591549</v>
      </c>
      <c r="BD277" s="7" t="n">
        <f aca="false">ABS($T277-$AX$3)+ABS($U277-$AY$3)+ABS($V277-$AZ$3)</f>
        <v>18387.3559322034</v>
      </c>
      <c r="BE277" s="7" t="n">
        <f aca="false">ABS($T277-$AX$4)+ABS($U277-$AY$4)+ABS($V277-$AZ$4)</f>
        <v>49519.1132075472</v>
      </c>
      <c r="BF277" s="7" t="n">
        <f aca="false">MIN(BC277:BE277)</f>
        <v>5457.33098591549</v>
      </c>
      <c r="BG277" s="4" t="n">
        <f aca="false">MATCH(BF277,BC277:BE277,0)</f>
        <v>1</v>
      </c>
      <c r="BH277" s="8" t="n">
        <v>1</v>
      </c>
      <c r="BI277" s="4" t="n">
        <f aca="false">IF(BG277=BH277,0,1)</f>
        <v>0</v>
      </c>
      <c r="BK277" s="8" t="n">
        <v>1</v>
      </c>
      <c r="BL277" s="8" t="n">
        <v>1</v>
      </c>
      <c r="BM277" s="8" t="n">
        <v>1</v>
      </c>
    </row>
    <row r="278" customFormat="false" ht="15" hidden="false" customHeight="false" outlineLevel="0" collapsed="false">
      <c r="A278" s="3" t="n">
        <v>277</v>
      </c>
      <c r="B278" s="3" t="s">
        <v>33</v>
      </c>
      <c r="C278" s="3" t="n">
        <v>0</v>
      </c>
      <c r="D278" s="3" t="n">
        <v>1</v>
      </c>
      <c r="E278" s="3" t="n">
        <v>0</v>
      </c>
      <c r="F278" s="3" t="n">
        <v>0</v>
      </c>
      <c r="G278" s="3" t="n">
        <v>2</v>
      </c>
      <c r="H278" s="3" t="n">
        <v>4</v>
      </c>
      <c r="I278" s="3" t="n">
        <v>4</v>
      </c>
      <c r="J278" s="3" t="n">
        <v>4</v>
      </c>
      <c r="K278" s="3" t="n">
        <v>4</v>
      </c>
      <c r="L278" s="3" t="n">
        <v>5</v>
      </c>
      <c r="M278" s="3" t="n">
        <v>4</v>
      </c>
      <c r="N278" s="3" t="n">
        <v>1</v>
      </c>
      <c r="O278" s="3" t="n">
        <v>4</v>
      </c>
      <c r="P278" s="3" t="n">
        <v>3</v>
      </c>
      <c r="Q278" s="3" t="n">
        <v>5</v>
      </c>
      <c r="R278" s="3" t="n">
        <v>5</v>
      </c>
      <c r="S278" s="3" t="n">
        <v>3</v>
      </c>
      <c r="T278" s="3" t="n">
        <v>0</v>
      </c>
      <c r="U278" s="3" t="n">
        <v>43</v>
      </c>
      <c r="V278" s="3" t="n">
        <v>76311</v>
      </c>
      <c r="W278" s="3" t="n">
        <v>2</v>
      </c>
      <c r="X278" s="3" t="n">
        <v>4</v>
      </c>
      <c r="Y278" s="3" t="n">
        <v>2</v>
      </c>
      <c r="Z278" s="3" t="n">
        <v>2</v>
      </c>
      <c r="AA278" s="4" t="n">
        <f aca="false">IF($B278=AA$1,1,0)</f>
        <v>0</v>
      </c>
      <c r="AB278" s="4" t="n">
        <f aca="false">IF($B278=AB$1,1,0)</f>
        <v>0</v>
      </c>
      <c r="AC278" s="4" t="n">
        <f aca="false">IF($B278=AC$1,1,0)</f>
        <v>0</v>
      </c>
      <c r="AD278" s="4" t="n">
        <f aca="false">IF($B278=AD$1,1,0)</f>
        <v>0</v>
      </c>
      <c r="AE278" s="4" t="n">
        <f aca="false">IF($B278=AE$1,1,0)</f>
        <v>0</v>
      </c>
      <c r="AF278" s="4" t="n">
        <f aca="false">IF($B278=AF$1,1,0)</f>
        <v>0</v>
      </c>
      <c r="AG278" s="4" t="n">
        <f aca="false">IF($B278=AG$1,1,0)</f>
        <v>0</v>
      </c>
      <c r="AH278" s="4" t="n">
        <f aca="false">IF($B278=AH$1,1,0)</f>
        <v>1</v>
      </c>
      <c r="AI278" s="4" t="n">
        <f aca="false">IF($B278=AI$1,1,0)</f>
        <v>0</v>
      </c>
      <c r="AJ278" s="4" t="n">
        <f aca="false">IF($B278=AJ$1,1,0)</f>
        <v>0</v>
      </c>
      <c r="AK278" s="4" t="n">
        <f aca="false">IF($B278=AK$1,1,0)</f>
        <v>0</v>
      </c>
      <c r="AL278" s="4" t="n">
        <f aca="false">IF($B278=AL$1,1,0)</f>
        <v>0</v>
      </c>
      <c r="AM278" s="4" t="n">
        <f aca="false">IF($B278=AM$1,1,0)</f>
        <v>0</v>
      </c>
      <c r="AN278" s="4" t="n">
        <f aca="false">IF($B278=AN$1,1,0)</f>
        <v>0</v>
      </c>
      <c r="AO278" s="4" t="n">
        <f aca="false">IF($B278=AO$1,1,0)</f>
        <v>0</v>
      </c>
      <c r="AP278" s="4" t="n">
        <f aca="false">IF($B278=AP$1,1,0)</f>
        <v>0</v>
      </c>
      <c r="AQ278" s="4" t="n">
        <f aca="false">IF($B278=AQ$1,1,0)</f>
        <v>0</v>
      </c>
      <c r="AR278" s="4" t="n">
        <f aca="false">IF($B278=AR$1,1,0)</f>
        <v>0</v>
      </c>
      <c r="AS278" s="4" t="n">
        <f aca="false">IF($B278=AS$1,1,0)</f>
        <v>0</v>
      </c>
      <c r="AT278" s="4" t="n">
        <f aca="false">IF($B278=AT$1,1,0)</f>
        <v>0</v>
      </c>
      <c r="BB278" s="4" t="n">
        <f aca="false">A278</f>
        <v>277</v>
      </c>
      <c r="BC278" s="7" t="n">
        <f aca="false">ABS($T278-$AX$2)+ABS($U278-$AY$2)+ABS($V278-$AZ$2)</f>
        <v>53481.2887323944</v>
      </c>
      <c r="BD278" s="7" t="n">
        <f aca="false">ABS($T278-$AX$3)+ABS($U278-$AY$3)+ABS($V278-$AZ$3)</f>
        <v>29649.6440677966</v>
      </c>
      <c r="BE278" s="7" t="n">
        <f aca="false">ABS($T278-$AX$4)+ABS($U278-$AY$4)+ABS($V278-$AZ$4)</f>
        <v>1484.60377358491</v>
      </c>
      <c r="BF278" s="7" t="n">
        <f aca="false">MIN(BC278:BE278)</f>
        <v>1484.60377358491</v>
      </c>
      <c r="BG278" s="4" t="n">
        <f aca="false">MATCH(BF278,BC278:BE278,0)</f>
        <v>3</v>
      </c>
      <c r="BH278" s="8" t="n">
        <v>3</v>
      </c>
      <c r="BI278" s="4" t="n">
        <f aca="false">IF(BG278=BH278,0,1)</f>
        <v>0</v>
      </c>
      <c r="BK278" s="8" t="n">
        <v>3</v>
      </c>
      <c r="BL278" s="8" t="n">
        <v>3</v>
      </c>
      <c r="BM278" s="8" t="n">
        <v>3</v>
      </c>
    </row>
    <row r="279" customFormat="false" ht="15" hidden="false" customHeight="false" outlineLevel="0" collapsed="false">
      <c r="A279" s="3" t="n">
        <v>278</v>
      </c>
      <c r="B279" s="3" t="s">
        <v>30</v>
      </c>
      <c r="C279" s="3" t="n">
        <v>1</v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4</v>
      </c>
      <c r="I279" s="3" t="n">
        <v>4</v>
      </c>
      <c r="J279" s="3" t="n">
        <v>2</v>
      </c>
      <c r="K279" s="3" t="n">
        <v>4</v>
      </c>
      <c r="L279" s="3" t="n">
        <v>5</v>
      </c>
      <c r="M279" s="3" t="n">
        <v>4</v>
      </c>
      <c r="N279" s="3" t="n">
        <v>3</v>
      </c>
      <c r="O279" s="3" t="n">
        <v>4</v>
      </c>
      <c r="P279" s="3" t="n">
        <v>4</v>
      </c>
      <c r="Q279" s="3" t="n">
        <v>5</v>
      </c>
      <c r="R279" s="3" t="n">
        <v>4</v>
      </c>
      <c r="S279" s="3" t="n">
        <v>3</v>
      </c>
      <c r="T279" s="3" t="n">
        <v>0</v>
      </c>
      <c r="U279" s="3" t="n">
        <v>33</v>
      </c>
      <c r="V279" s="3" t="n">
        <v>71247</v>
      </c>
      <c r="W279" s="3" t="n">
        <v>2</v>
      </c>
      <c r="X279" s="3" t="n">
        <v>4</v>
      </c>
      <c r="Y279" s="3" t="n">
        <v>1</v>
      </c>
      <c r="Z279" s="3" t="n">
        <v>1</v>
      </c>
      <c r="AA279" s="4" t="n">
        <f aca="false">IF($B279=AA$1,1,0)</f>
        <v>0</v>
      </c>
      <c r="AB279" s="4" t="n">
        <f aca="false">IF($B279=AB$1,1,0)</f>
        <v>0</v>
      </c>
      <c r="AC279" s="4" t="n">
        <f aca="false">IF($B279=AC$1,1,0)</f>
        <v>0</v>
      </c>
      <c r="AD279" s="4" t="n">
        <f aca="false">IF($B279=AD$1,1,0)</f>
        <v>0</v>
      </c>
      <c r="AE279" s="4" t="n">
        <f aca="false">IF($B279=AE$1,1,0)</f>
        <v>1</v>
      </c>
      <c r="AF279" s="4" t="n">
        <f aca="false">IF($B279=AF$1,1,0)</f>
        <v>0</v>
      </c>
      <c r="AG279" s="4" t="n">
        <f aca="false">IF($B279=AG$1,1,0)</f>
        <v>0</v>
      </c>
      <c r="AH279" s="4" t="n">
        <f aca="false">IF($B279=AH$1,1,0)</f>
        <v>0</v>
      </c>
      <c r="AI279" s="4" t="n">
        <f aca="false">IF($B279=AI$1,1,0)</f>
        <v>0</v>
      </c>
      <c r="AJ279" s="4" t="n">
        <f aca="false">IF($B279=AJ$1,1,0)</f>
        <v>0</v>
      </c>
      <c r="AK279" s="4" t="n">
        <f aca="false">IF($B279=AK$1,1,0)</f>
        <v>0</v>
      </c>
      <c r="AL279" s="4" t="n">
        <f aca="false">IF($B279=AL$1,1,0)</f>
        <v>0</v>
      </c>
      <c r="AM279" s="4" t="n">
        <f aca="false">IF($B279=AM$1,1,0)</f>
        <v>0</v>
      </c>
      <c r="AN279" s="4" t="n">
        <f aca="false">IF($B279=AN$1,1,0)</f>
        <v>0</v>
      </c>
      <c r="AO279" s="4" t="n">
        <f aca="false">IF($B279=AO$1,1,0)</f>
        <v>0</v>
      </c>
      <c r="AP279" s="4" t="n">
        <f aca="false">IF($B279=AP$1,1,0)</f>
        <v>0</v>
      </c>
      <c r="AQ279" s="4" t="n">
        <f aca="false">IF($B279=AQ$1,1,0)</f>
        <v>0</v>
      </c>
      <c r="AR279" s="4" t="n">
        <f aca="false">IF($B279=AR$1,1,0)</f>
        <v>0</v>
      </c>
      <c r="AS279" s="4" t="n">
        <f aca="false">IF($B279=AS$1,1,0)</f>
        <v>0</v>
      </c>
      <c r="AT279" s="4" t="n">
        <f aca="false">IF($B279=AT$1,1,0)</f>
        <v>0</v>
      </c>
      <c r="BB279" s="4" t="n">
        <f aca="false">A279</f>
        <v>278</v>
      </c>
      <c r="BC279" s="7" t="n">
        <f aca="false">ABS($T279-$AX$2)+ABS($U279-$AY$2)+ABS($V279-$AZ$2)</f>
        <v>48418.7676056338</v>
      </c>
      <c r="BD279" s="7" t="n">
        <f aca="false">ABS($T279-$AX$3)+ABS($U279-$AY$3)+ABS($V279-$AZ$3)</f>
        <v>24592.406779661</v>
      </c>
      <c r="BE279" s="7" t="n">
        <f aca="false">ABS($T279-$AX$4)+ABS($U279-$AY$4)+ABS($V279-$AZ$4)</f>
        <v>6556.64150943396</v>
      </c>
      <c r="BF279" s="7" t="n">
        <f aca="false">MIN(BC279:BE279)</f>
        <v>6556.64150943396</v>
      </c>
      <c r="BG279" s="4" t="n">
        <f aca="false">MATCH(BF279,BC279:BE279,0)</f>
        <v>3</v>
      </c>
      <c r="BH279" s="8" t="n">
        <v>3</v>
      </c>
      <c r="BI279" s="4" t="n">
        <f aca="false">IF(BG279=BH279,0,1)</f>
        <v>0</v>
      </c>
      <c r="BK279" s="8" t="n">
        <v>3</v>
      </c>
      <c r="BL279" s="8" t="n">
        <v>3</v>
      </c>
      <c r="BM279" s="8" t="n">
        <v>3</v>
      </c>
    </row>
    <row r="280" customFormat="false" ht="15" hidden="false" customHeight="false" outlineLevel="0" collapsed="false">
      <c r="A280" s="3" t="n">
        <v>279</v>
      </c>
      <c r="B280" s="3" t="s">
        <v>38</v>
      </c>
      <c r="C280" s="3" t="n">
        <v>0</v>
      </c>
      <c r="D280" s="3" t="n">
        <v>0</v>
      </c>
      <c r="E280" s="3" t="n">
        <v>1</v>
      </c>
      <c r="F280" s="3" t="n">
        <v>0</v>
      </c>
      <c r="G280" s="3" t="n">
        <v>0</v>
      </c>
      <c r="H280" s="3" t="n">
        <v>4</v>
      </c>
      <c r="I280" s="3" t="n">
        <v>4</v>
      </c>
      <c r="J280" s="3" t="n">
        <v>5</v>
      </c>
      <c r="K280" s="3" t="n">
        <v>5</v>
      </c>
      <c r="L280" s="3" t="n">
        <v>5</v>
      </c>
      <c r="M280" s="3" t="n">
        <v>4</v>
      </c>
      <c r="N280" s="3" t="n">
        <v>3</v>
      </c>
      <c r="O280" s="3" t="n">
        <v>2</v>
      </c>
      <c r="P280" s="3" t="n">
        <v>4</v>
      </c>
      <c r="Q280" s="3" t="n">
        <v>2</v>
      </c>
      <c r="R280" s="3" t="n">
        <v>4</v>
      </c>
      <c r="S280" s="3" t="n">
        <v>2</v>
      </c>
      <c r="T280" s="3" t="n">
        <v>1</v>
      </c>
      <c r="U280" s="3" t="n">
        <v>69</v>
      </c>
      <c r="V280" s="3" t="n">
        <v>25734</v>
      </c>
      <c r="W280" s="3" t="n">
        <v>2</v>
      </c>
      <c r="X280" s="3" t="n">
        <v>4</v>
      </c>
      <c r="Y280" s="3" t="n">
        <v>2</v>
      </c>
      <c r="Z280" s="3" t="n">
        <v>2</v>
      </c>
      <c r="AA280" s="4" t="n">
        <f aca="false">IF($B280=AA$1,1,0)</f>
        <v>0</v>
      </c>
      <c r="AB280" s="4" t="n">
        <f aca="false">IF($B280=AB$1,1,0)</f>
        <v>0</v>
      </c>
      <c r="AC280" s="4" t="n">
        <f aca="false">IF($B280=AC$1,1,0)</f>
        <v>0</v>
      </c>
      <c r="AD280" s="4" t="n">
        <f aca="false">IF($B280=AD$1,1,0)</f>
        <v>0</v>
      </c>
      <c r="AE280" s="4" t="n">
        <f aca="false">IF($B280=AE$1,1,0)</f>
        <v>0</v>
      </c>
      <c r="AF280" s="4" t="n">
        <f aca="false">IF($B280=AF$1,1,0)</f>
        <v>0</v>
      </c>
      <c r="AG280" s="4" t="n">
        <f aca="false">IF($B280=AG$1,1,0)</f>
        <v>0</v>
      </c>
      <c r="AH280" s="4" t="n">
        <f aca="false">IF($B280=AH$1,1,0)</f>
        <v>0</v>
      </c>
      <c r="AI280" s="4" t="n">
        <f aca="false">IF($B280=AI$1,1,0)</f>
        <v>0</v>
      </c>
      <c r="AJ280" s="4" t="n">
        <f aca="false">IF($B280=AJ$1,1,0)</f>
        <v>0</v>
      </c>
      <c r="AK280" s="4" t="n">
        <f aca="false">IF($B280=AK$1,1,0)</f>
        <v>0</v>
      </c>
      <c r="AL280" s="4" t="n">
        <f aca="false">IF($B280=AL$1,1,0)</f>
        <v>0</v>
      </c>
      <c r="AM280" s="4" t="n">
        <f aca="false">IF($B280=AM$1,1,0)</f>
        <v>1</v>
      </c>
      <c r="AN280" s="4" t="n">
        <f aca="false">IF($B280=AN$1,1,0)</f>
        <v>0</v>
      </c>
      <c r="AO280" s="4" t="n">
        <f aca="false">IF($B280=AO$1,1,0)</f>
        <v>0</v>
      </c>
      <c r="AP280" s="4" t="n">
        <f aca="false">IF($B280=AP$1,1,0)</f>
        <v>0</v>
      </c>
      <c r="AQ280" s="4" t="n">
        <f aca="false">IF($B280=AQ$1,1,0)</f>
        <v>0</v>
      </c>
      <c r="AR280" s="4" t="n">
        <f aca="false">IF($B280=AR$1,1,0)</f>
        <v>0</v>
      </c>
      <c r="AS280" s="4" t="n">
        <f aca="false">IF($B280=AS$1,1,0)</f>
        <v>0</v>
      </c>
      <c r="AT280" s="4" t="n">
        <f aca="false">IF($B280=AT$1,1,0)</f>
        <v>0</v>
      </c>
      <c r="BB280" s="4" t="n">
        <f aca="false">A280</f>
        <v>279</v>
      </c>
      <c r="BC280" s="7" t="n">
        <f aca="false">ABS($T280-$AX$2)+ABS($U280-$AY$2)+ABS($V280-$AZ$2)</f>
        <v>2930.85211267605</v>
      </c>
      <c r="BD280" s="7" t="n">
        <f aca="false">ABS($T280-$AX$3)+ABS($U280-$AY$3)+ABS($V280-$AZ$3)</f>
        <v>20957.593220339</v>
      </c>
      <c r="BE280" s="7" t="n">
        <f aca="false">ABS($T280-$AX$4)+ABS($U280-$AY$4)+ABS($V280-$AZ$4)</f>
        <v>52088.0754716981</v>
      </c>
      <c r="BF280" s="7" t="n">
        <f aca="false">MIN(BC280:BE280)</f>
        <v>2930.85211267605</v>
      </c>
      <c r="BG280" s="4" t="n">
        <f aca="false">MATCH(BF280,BC280:BE280,0)</f>
        <v>1</v>
      </c>
      <c r="BH280" s="8" t="n">
        <v>1</v>
      </c>
      <c r="BI280" s="4" t="n">
        <f aca="false">IF(BG280=BH280,0,1)</f>
        <v>0</v>
      </c>
      <c r="BK280" s="8" t="n">
        <v>1</v>
      </c>
      <c r="BL280" s="8" t="n">
        <v>1</v>
      </c>
      <c r="BM280" s="8" t="n">
        <v>1</v>
      </c>
    </row>
    <row r="281" customFormat="false" ht="15" hidden="false" customHeight="false" outlineLevel="0" collapsed="false">
      <c r="A281" s="3" t="n">
        <v>280</v>
      </c>
      <c r="B281" s="3" t="s">
        <v>38</v>
      </c>
      <c r="C281" s="3" t="n">
        <v>0</v>
      </c>
      <c r="D281" s="3" t="n">
        <v>0</v>
      </c>
      <c r="E281" s="3" t="n">
        <v>1</v>
      </c>
      <c r="F281" s="3" t="n">
        <v>0</v>
      </c>
      <c r="G281" s="3" t="n">
        <v>4</v>
      </c>
      <c r="H281" s="3" t="n">
        <v>5</v>
      </c>
      <c r="I281" s="3" t="n">
        <v>4</v>
      </c>
      <c r="J281" s="3" t="n">
        <v>5</v>
      </c>
      <c r="K281" s="3" t="n">
        <v>3</v>
      </c>
      <c r="L281" s="3" t="n">
        <v>5</v>
      </c>
      <c r="M281" s="3" t="n">
        <v>4</v>
      </c>
      <c r="N281" s="3" t="n">
        <v>5</v>
      </c>
      <c r="O281" s="3" t="n">
        <v>4</v>
      </c>
      <c r="P281" s="3" t="n">
        <v>5</v>
      </c>
      <c r="Q281" s="3" t="n">
        <v>4</v>
      </c>
      <c r="R281" s="3" t="n">
        <v>5</v>
      </c>
      <c r="S281" s="3" t="n">
        <v>5</v>
      </c>
      <c r="T281" s="3" t="n">
        <v>0</v>
      </c>
      <c r="U281" s="3" t="n">
        <v>19</v>
      </c>
      <c r="V281" s="3" t="n">
        <v>18248</v>
      </c>
      <c r="W281" s="3" t="n">
        <v>3</v>
      </c>
      <c r="X281" s="3" t="n">
        <v>4</v>
      </c>
      <c r="Y281" s="3" t="n">
        <v>2</v>
      </c>
      <c r="Z281" s="3" t="n">
        <v>2</v>
      </c>
      <c r="AA281" s="4" t="n">
        <f aca="false">IF($B281=AA$1,1,0)</f>
        <v>0</v>
      </c>
      <c r="AB281" s="4" t="n">
        <f aca="false">IF($B281=AB$1,1,0)</f>
        <v>0</v>
      </c>
      <c r="AC281" s="4" t="n">
        <f aca="false">IF($B281=AC$1,1,0)</f>
        <v>0</v>
      </c>
      <c r="AD281" s="4" t="n">
        <f aca="false">IF($B281=AD$1,1,0)</f>
        <v>0</v>
      </c>
      <c r="AE281" s="4" t="n">
        <f aca="false">IF($B281=AE$1,1,0)</f>
        <v>0</v>
      </c>
      <c r="AF281" s="4" t="n">
        <f aca="false">IF($B281=AF$1,1,0)</f>
        <v>0</v>
      </c>
      <c r="AG281" s="4" t="n">
        <f aca="false">IF($B281=AG$1,1,0)</f>
        <v>0</v>
      </c>
      <c r="AH281" s="4" t="n">
        <f aca="false">IF($B281=AH$1,1,0)</f>
        <v>0</v>
      </c>
      <c r="AI281" s="4" t="n">
        <f aca="false">IF($B281=AI$1,1,0)</f>
        <v>0</v>
      </c>
      <c r="AJ281" s="4" t="n">
        <f aca="false">IF($B281=AJ$1,1,0)</f>
        <v>0</v>
      </c>
      <c r="AK281" s="4" t="n">
        <f aca="false">IF($B281=AK$1,1,0)</f>
        <v>0</v>
      </c>
      <c r="AL281" s="4" t="n">
        <f aca="false">IF($B281=AL$1,1,0)</f>
        <v>0</v>
      </c>
      <c r="AM281" s="4" t="n">
        <f aca="false">IF($B281=AM$1,1,0)</f>
        <v>1</v>
      </c>
      <c r="AN281" s="4" t="n">
        <f aca="false">IF($B281=AN$1,1,0)</f>
        <v>0</v>
      </c>
      <c r="AO281" s="4" t="n">
        <f aca="false">IF($B281=AO$1,1,0)</f>
        <v>0</v>
      </c>
      <c r="AP281" s="4" t="n">
        <f aca="false">IF($B281=AP$1,1,0)</f>
        <v>0</v>
      </c>
      <c r="AQ281" s="4" t="n">
        <f aca="false">IF($B281=AQ$1,1,0)</f>
        <v>0</v>
      </c>
      <c r="AR281" s="4" t="n">
        <f aca="false">IF($B281=AR$1,1,0)</f>
        <v>0</v>
      </c>
      <c r="AS281" s="4" t="n">
        <f aca="false">IF($B281=AS$1,1,0)</f>
        <v>0</v>
      </c>
      <c r="AT281" s="4" t="n">
        <f aca="false">IF($B281=AT$1,1,0)</f>
        <v>0</v>
      </c>
      <c r="BB281" s="4" t="n">
        <f aca="false">A281</f>
        <v>280</v>
      </c>
      <c r="BC281" s="7" t="n">
        <f aca="false">ABS($T281-$AX$2)+ABS($U281-$AY$2)+ABS($V281-$AZ$2)</f>
        <v>4606.14788732395</v>
      </c>
      <c r="BD281" s="7" t="n">
        <f aca="false">ABS($T281-$AX$3)+ABS($U281-$AY$3)+ABS($V281-$AZ$3)</f>
        <v>28437.7288135593</v>
      </c>
      <c r="BE281" s="7" t="n">
        <f aca="false">ABS($T281-$AX$4)+ABS($U281-$AY$4)+ABS($V281-$AZ$4)</f>
        <v>59569.641509434</v>
      </c>
      <c r="BF281" s="7" t="n">
        <f aca="false">MIN(BC281:BE281)</f>
        <v>4606.14788732395</v>
      </c>
      <c r="BG281" s="4" t="n">
        <f aca="false">MATCH(BF281,BC281:BE281,0)</f>
        <v>1</v>
      </c>
      <c r="BH281" s="8" t="n">
        <v>1</v>
      </c>
      <c r="BI281" s="4" t="n">
        <f aca="false">IF(BG281=BH281,0,1)</f>
        <v>0</v>
      </c>
      <c r="BK281" s="8" t="n">
        <v>1</v>
      </c>
      <c r="BL281" s="8" t="n">
        <v>1</v>
      </c>
      <c r="BM281" s="8" t="n">
        <v>1</v>
      </c>
    </row>
    <row r="282" customFormat="false" ht="15" hidden="false" customHeight="false" outlineLevel="0" collapsed="false">
      <c r="A282" s="3" t="n">
        <v>281</v>
      </c>
      <c r="B282" s="3" t="s">
        <v>38</v>
      </c>
      <c r="C282" s="3" t="n">
        <v>1</v>
      </c>
      <c r="D282" s="3" t="n">
        <v>0</v>
      </c>
      <c r="E282" s="3" t="n">
        <v>0</v>
      </c>
      <c r="F282" s="3" t="n">
        <v>0</v>
      </c>
      <c r="G282" s="3" t="n">
        <v>0</v>
      </c>
      <c r="H282" s="3" t="n">
        <v>5</v>
      </c>
      <c r="I282" s="3" t="n">
        <v>5</v>
      </c>
      <c r="J282" s="3" t="n">
        <v>5</v>
      </c>
      <c r="K282" s="3" t="n">
        <v>5</v>
      </c>
      <c r="L282" s="3" t="n">
        <v>5</v>
      </c>
      <c r="M282" s="3" t="n">
        <v>5</v>
      </c>
      <c r="N282" s="3" t="n">
        <v>5</v>
      </c>
      <c r="O282" s="3" t="n">
        <v>5</v>
      </c>
      <c r="P282" s="3" t="n">
        <v>5</v>
      </c>
      <c r="Q282" s="3" t="n">
        <v>5</v>
      </c>
      <c r="R282" s="3" t="n">
        <v>5</v>
      </c>
      <c r="S282" s="3" t="n">
        <v>5</v>
      </c>
      <c r="T282" s="3" t="n">
        <v>1</v>
      </c>
      <c r="U282" s="3" t="n">
        <v>18</v>
      </c>
      <c r="V282" s="3" t="n">
        <v>66888</v>
      </c>
      <c r="W282" s="3" t="n">
        <v>1</v>
      </c>
      <c r="X282" s="3" t="n">
        <v>1</v>
      </c>
      <c r="Y282" s="3" t="n">
        <v>1</v>
      </c>
      <c r="Z282" s="3" t="n">
        <v>1</v>
      </c>
      <c r="AA282" s="4" t="n">
        <f aca="false">IF($B282=AA$1,1,0)</f>
        <v>0</v>
      </c>
      <c r="AB282" s="4" t="n">
        <f aca="false">IF($B282=AB$1,1,0)</f>
        <v>0</v>
      </c>
      <c r="AC282" s="4" t="n">
        <f aca="false">IF($B282=AC$1,1,0)</f>
        <v>0</v>
      </c>
      <c r="AD282" s="4" t="n">
        <f aca="false">IF($B282=AD$1,1,0)</f>
        <v>0</v>
      </c>
      <c r="AE282" s="4" t="n">
        <f aca="false">IF($B282=AE$1,1,0)</f>
        <v>0</v>
      </c>
      <c r="AF282" s="4" t="n">
        <f aca="false">IF($B282=AF$1,1,0)</f>
        <v>0</v>
      </c>
      <c r="AG282" s="4" t="n">
        <f aca="false">IF($B282=AG$1,1,0)</f>
        <v>0</v>
      </c>
      <c r="AH282" s="4" t="n">
        <f aca="false">IF($B282=AH$1,1,0)</f>
        <v>0</v>
      </c>
      <c r="AI282" s="4" t="n">
        <f aca="false">IF($B282=AI$1,1,0)</f>
        <v>0</v>
      </c>
      <c r="AJ282" s="4" t="n">
        <f aca="false">IF($B282=AJ$1,1,0)</f>
        <v>0</v>
      </c>
      <c r="AK282" s="4" t="n">
        <f aca="false">IF($B282=AK$1,1,0)</f>
        <v>0</v>
      </c>
      <c r="AL282" s="4" t="n">
        <f aca="false">IF($B282=AL$1,1,0)</f>
        <v>0</v>
      </c>
      <c r="AM282" s="4" t="n">
        <f aca="false">IF($B282=AM$1,1,0)</f>
        <v>1</v>
      </c>
      <c r="AN282" s="4" t="n">
        <f aca="false">IF($B282=AN$1,1,0)</f>
        <v>0</v>
      </c>
      <c r="AO282" s="4" t="n">
        <f aca="false">IF($B282=AO$1,1,0)</f>
        <v>0</v>
      </c>
      <c r="AP282" s="4" t="n">
        <f aca="false">IF($B282=AP$1,1,0)</f>
        <v>0</v>
      </c>
      <c r="AQ282" s="4" t="n">
        <f aca="false">IF($B282=AQ$1,1,0)</f>
        <v>0</v>
      </c>
      <c r="AR282" s="4" t="n">
        <f aca="false">IF($B282=AR$1,1,0)</f>
        <v>0</v>
      </c>
      <c r="AS282" s="4" t="n">
        <f aca="false">IF($B282=AS$1,1,0)</f>
        <v>0</v>
      </c>
      <c r="AT282" s="4" t="n">
        <f aca="false">IF($B282=AT$1,1,0)</f>
        <v>0</v>
      </c>
      <c r="BB282" s="4" t="n">
        <f aca="false">A282</f>
        <v>281</v>
      </c>
      <c r="BC282" s="7" t="n">
        <f aca="false">ABS($T282-$AX$2)+ABS($U282-$AY$2)+ABS($V282-$AZ$2)</f>
        <v>44075.3309859155</v>
      </c>
      <c r="BD282" s="7" t="n">
        <f aca="false">ABS($T282-$AX$3)+ABS($U282-$AY$3)+ABS($V282-$AZ$3)</f>
        <v>20249.0338983051</v>
      </c>
      <c r="BE282" s="7" t="n">
        <f aca="false">ABS($T282-$AX$4)+ABS($U282-$AY$4)+ABS($V282-$AZ$4)</f>
        <v>10931.1132075472</v>
      </c>
      <c r="BF282" s="7" t="n">
        <f aca="false">MIN(BC282:BE282)</f>
        <v>10931.1132075472</v>
      </c>
      <c r="BG282" s="4" t="n">
        <f aca="false">MATCH(BF282,BC282:BE282,0)</f>
        <v>3</v>
      </c>
      <c r="BH282" s="8" t="n">
        <v>3</v>
      </c>
      <c r="BI282" s="4" t="n">
        <f aca="false">IF(BG282=BH282,0,1)</f>
        <v>0</v>
      </c>
      <c r="BK282" s="8" t="n">
        <v>3</v>
      </c>
      <c r="BL282" s="8" t="n">
        <v>3</v>
      </c>
      <c r="BM282" s="8" t="n">
        <v>3</v>
      </c>
    </row>
    <row r="283" customFormat="false" ht="15" hidden="false" customHeight="false" outlineLevel="0" collapsed="false">
      <c r="A283" s="3" t="n">
        <v>282</v>
      </c>
      <c r="B283" s="3" t="s">
        <v>33</v>
      </c>
      <c r="C283" s="3" t="n">
        <v>1</v>
      </c>
      <c r="D283" s="3" t="n">
        <v>0</v>
      </c>
      <c r="E283" s="3" t="n">
        <v>0</v>
      </c>
      <c r="F283" s="3" t="n">
        <v>0</v>
      </c>
      <c r="G283" s="3" t="n">
        <v>0</v>
      </c>
      <c r="H283" s="3" t="n">
        <v>5</v>
      </c>
      <c r="I283" s="3" t="n">
        <v>5</v>
      </c>
      <c r="J283" s="3" t="n">
        <v>5</v>
      </c>
      <c r="K283" s="3" t="n">
        <v>5</v>
      </c>
      <c r="L283" s="3" t="n">
        <v>5</v>
      </c>
      <c r="M283" s="3" t="n">
        <v>5</v>
      </c>
      <c r="N283" s="3" t="n">
        <v>2</v>
      </c>
      <c r="O283" s="3" t="n">
        <v>5</v>
      </c>
      <c r="P283" s="3" t="n">
        <v>4</v>
      </c>
      <c r="Q283" s="3" t="n">
        <v>5</v>
      </c>
      <c r="R283" s="3" t="n">
        <v>5</v>
      </c>
      <c r="S283" s="3" t="n">
        <v>3</v>
      </c>
      <c r="T283" s="3" t="n">
        <v>0</v>
      </c>
      <c r="U283" s="3" t="n">
        <v>39</v>
      </c>
      <c r="V283" s="3" t="n">
        <v>21978</v>
      </c>
      <c r="W283" s="3" t="n">
        <v>2</v>
      </c>
      <c r="X283" s="3" t="n">
        <v>4</v>
      </c>
      <c r="Y283" s="3" t="n">
        <v>2</v>
      </c>
      <c r="Z283" s="3" t="n">
        <v>1</v>
      </c>
      <c r="AA283" s="4" t="n">
        <f aca="false">IF($B283=AA$1,1,0)</f>
        <v>0</v>
      </c>
      <c r="AB283" s="4" t="n">
        <f aca="false">IF($B283=AB$1,1,0)</f>
        <v>0</v>
      </c>
      <c r="AC283" s="4" t="n">
        <f aca="false">IF($B283=AC$1,1,0)</f>
        <v>0</v>
      </c>
      <c r="AD283" s="4" t="n">
        <f aca="false">IF($B283=AD$1,1,0)</f>
        <v>0</v>
      </c>
      <c r="AE283" s="4" t="n">
        <f aca="false">IF($B283=AE$1,1,0)</f>
        <v>0</v>
      </c>
      <c r="AF283" s="4" t="n">
        <f aca="false">IF($B283=AF$1,1,0)</f>
        <v>0</v>
      </c>
      <c r="AG283" s="4" t="n">
        <f aca="false">IF($B283=AG$1,1,0)</f>
        <v>0</v>
      </c>
      <c r="AH283" s="4" t="n">
        <f aca="false">IF($B283=AH$1,1,0)</f>
        <v>1</v>
      </c>
      <c r="AI283" s="4" t="n">
        <f aca="false">IF($B283=AI$1,1,0)</f>
        <v>0</v>
      </c>
      <c r="AJ283" s="4" t="n">
        <f aca="false">IF($B283=AJ$1,1,0)</f>
        <v>0</v>
      </c>
      <c r="AK283" s="4" t="n">
        <f aca="false">IF($B283=AK$1,1,0)</f>
        <v>0</v>
      </c>
      <c r="AL283" s="4" t="n">
        <f aca="false">IF($B283=AL$1,1,0)</f>
        <v>0</v>
      </c>
      <c r="AM283" s="4" t="n">
        <f aca="false">IF($B283=AM$1,1,0)</f>
        <v>0</v>
      </c>
      <c r="AN283" s="4" t="n">
        <f aca="false">IF($B283=AN$1,1,0)</f>
        <v>0</v>
      </c>
      <c r="AO283" s="4" t="n">
        <f aca="false">IF($B283=AO$1,1,0)</f>
        <v>0</v>
      </c>
      <c r="AP283" s="4" t="n">
        <f aca="false">IF($B283=AP$1,1,0)</f>
        <v>0</v>
      </c>
      <c r="AQ283" s="4" t="n">
        <f aca="false">IF($B283=AQ$1,1,0)</f>
        <v>0</v>
      </c>
      <c r="AR283" s="4" t="n">
        <f aca="false">IF($B283=AR$1,1,0)</f>
        <v>0</v>
      </c>
      <c r="AS283" s="4" t="n">
        <f aca="false">IF($B283=AS$1,1,0)</f>
        <v>0</v>
      </c>
      <c r="AT283" s="4" t="n">
        <f aca="false">IF($B283=AT$1,1,0)</f>
        <v>0</v>
      </c>
      <c r="BB283" s="4" t="n">
        <f aca="false">A283</f>
        <v>282</v>
      </c>
      <c r="BC283" s="7" t="n">
        <f aca="false">ABS($T283-$AX$2)+ABS($U283-$AY$2)+ABS($V283-$AZ$2)</f>
        <v>856.669014084509</v>
      </c>
      <c r="BD283" s="7" t="n">
        <f aca="false">ABS($T283-$AX$3)+ABS($U283-$AY$3)+ABS($V283-$AZ$3)</f>
        <v>24687.7288135593</v>
      </c>
      <c r="BE283" s="7" t="n">
        <f aca="false">ABS($T283-$AX$4)+ABS($U283-$AY$4)+ABS($V283-$AZ$4)</f>
        <v>55819.641509434</v>
      </c>
      <c r="BF283" s="7" t="n">
        <f aca="false">MIN(BC283:BE283)</f>
        <v>856.669014084509</v>
      </c>
      <c r="BG283" s="4" t="n">
        <f aca="false">MATCH(BF283,BC283:BE283,0)</f>
        <v>1</v>
      </c>
      <c r="BH283" s="8" t="n">
        <v>1</v>
      </c>
      <c r="BI283" s="4" t="n">
        <f aca="false">IF(BG283=BH283,0,1)</f>
        <v>0</v>
      </c>
      <c r="BK283" s="8" t="n">
        <v>1</v>
      </c>
      <c r="BL283" s="8" t="n">
        <v>1</v>
      </c>
      <c r="BM283" s="8" t="n">
        <v>1</v>
      </c>
    </row>
    <row r="284" customFormat="false" ht="15" hidden="false" customHeight="false" outlineLevel="0" collapsed="false">
      <c r="A284" s="3" t="n">
        <v>283</v>
      </c>
      <c r="B284" s="3" t="s">
        <v>33</v>
      </c>
      <c r="C284" s="3" t="n">
        <v>1</v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4</v>
      </c>
      <c r="I284" s="3" t="n">
        <v>4</v>
      </c>
      <c r="J284" s="3" t="n">
        <v>5</v>
      </c>
      <c r="K284" s="3" t="n">
        <v>5</v>
      </c>
      <c r="L284" s="3" t="n">
        <v>5</v>
      </c>
      <c r="M284" s="3" t="n">
        <v>4</v>
      </c>
      <c r="N284" s="3" t="n">
        <v>3</v>
      </c>
      <c r="O284" s="3" t="n">
        <v>3</v>
      </c>
      <c r="P284" s="3" t="n">
        <v>3</v>
      </c>
      <c r="Q284" s="3" t="n">
        <v>4</v>
      </c>
      <c r="R284" s="3" t="n">
        <v>4</v>
      </c>
      <c r="S284" s="3" t="n">
        <v>3</v>
      </c>
      <c r="T284" s="3" t="n">
        <v>0</v>
      </c>
      <c r="U284" s="3" t="n">
        <v>45</v>
      </c>
      <c r="V284" s="3" t="n">
        <v>11342</v>
      </c>
      <c r="W284" s="3" t="n">
        <v>2</v>
      </c>
      <c r="X284" s="3" t="n">
        <v>2</v>
      </c>
      <c r="Y284" s="3" t="n">
        <v>2</v>
      </c>
      <c r="Z284" s="3" t="n">
        <v>2</v>
      </c>
      <c r="AA284" s="4" t="n">
        <f aca="false">IF($B284=AA$1,1,0)</f>
        <v>0</v>
      </c>
      <c r="AB284" s="4" t="n">
        <f aca="false">IF($B284=AB$1,1,0)</f>
        <v>0</v>
      </c>
      <c r="AC284" s="4" t="n">
        <f aca="false">IF($B284=AC$1,1,0)</f>
        <v>0</v>
      </c>
      <c r="AD284" s="4" t="n">
        <f aca="false">IF($B284=AD$1,1,0)</f>
        <v>0</v>
      </c>
      <c r="AE284" s="4" t="n">
        <f aca="false">IF($B284=AE$1,1,0)</f>
        <v>0</v>
      </c>
      <c r="AF284" s="4" t="n">
        <f aca="false">IF($B284=AF$1,1,0)</f>
        <v>0</v>
      </c>
      <c r="AG284" s="4" t="n">
        <f aca="false">IF($B284=AG$1,1,0)</f>
        <v>0</v>
      </c>
      <c r="AH284" s="4" t="n">
        <f aca="false">IF($B284=AH$1,1,0)</f>
        <v>1</v>
      </c>
      <c r="AI284" s="4" t="n">
        <f aca="false">IF($B284=AI$1,1,0)</f>
        <v>0</v>
      </c>
      <c r="AJ284" s="4" t="n">
        <f aca="false">IF($B284=AJ$1,1,0)</f>
        <v>0</v>
      </c>
      <c r="AK284" s="4" t="n">
        <f aca="false">IF($B284=AK$1,1,0)</f>
        <v>0</v>
      </c>
      <c r="AL284" s="4" t="n">
        <f aca="false">IF($B284=AL$1,1,0)</f>
        <v>0</v>
      </c>
      <c r="AM284" s="4" t="n">
        <f aca="false">IF($B284=AM$1,1,0)</f>
        <v>0</v>
      </c>
      <c r="AN284" s="4" t="n">
        <f aca="false">IF($B284=AN$1,1,0)</f>
        <v>0</v>
      </c>
      <c r="AO284" s="4" t="n">
        <f aca="false">IF($B284=AO$1,1,0)</f>
        <v>0</v>
      </c>
      <c r="AP284" s="4" t="n">
        <f aca="false">IF($B284=AP$1,1,0)</f>
        <v>0</v>
      </c>
      <c r="AQ284" s="4" t="n">
        <f aca="false">IF($B284=AQ$1,1,0)</f>
        <v>0</v>
      </c>
      <c r="AR284" s="4" t="n">
        <f aca="false">IF($B284=AR$1,1,0)</f>
        <v>0</v>
      </c>
      <c r="AS284" s="4" t="n">
        <f aca="false">IF($B284=AS$1,1,0)</f>
        <v>0</v>
      </c>
      <c r="AT284" s="4" t="n">
        <f aca="false">IF($B284=AT$1,1,0)</f>
        <v>0</v>
      </c>
      <c r="BB284" s="4" t="n">
        <f aca="false">A284</f>
        <v>283</v>
      </c>
      <c r="BC284" s="7" t="n">
        <f aca="false">ABS($T284-$AX$2)+ABS($U284-$AY$2)+ABS($V284-$AZ$2)</f>
        <v>11498.6690140845</v>
      </c>
      <c r="BD284" s="7" t="n">
        <f aca="false">ABS($T284-$AX$3)+ABS($U284-$AY$3)+ABS($V284-$AZ$3)</f>
        <v>35324.9661016949</v>
      </c>
      <c r="BE284" s="7" t="n">
        <f aca="false">ABS($T284-$AX$4)+ABS($U284-$AY$4)+ABS($V284-$AZ$4)</f>
        <v>66455.6037735849</v>
      </c>
      <c r="BF284" s="7" t="n">
        <f aca="false">MIN(BC284:BE284)</f>
        <v>11498.6690140845</v>
      </c>
      <c r="BG284" s="4" t="n">
        <f aca="false">MATCH(BF284,BC284:BE284,0)</f>
        <v>1</v>
      </c>
      <c r="BH284" s="8" t="n">
        <v>1</v>
      </c>
      <c r="BI284" s="4" t="n">
        <f aca="false">IF(BG284=BH284,0,1)</f>
        <v>0</v>
      </c>
      <c r="BK284" s="8" t="n">
        <v>1</v>
      </c>
      <c r="BL284" s="8" t="n">
        <v>1</v>
      </c>
      <c r="BM284" s="8" t="n">
        <v>1</v>
      </c>
    </row>
    <row r="285" customFormat="false" ht="15" hidden="false" customHeight="false" outlineLevel="0" collapsed="false">
      <c r="A285" s="3" t="n">
        <v>284</v>
      </c>
      <c r="B285" s="3" t="s">
        <v>42</v>
      </c>
      <c r="C285" s="3" t="n">
        <v>1</v>
      </c>
      <c r="D285" s="3" t="n">
        <v>0</v>
      </c>
      <c r="E285" s="3" t="n">
        <v>0</v>
      </c>
      <c r="F285" s="3" t="n">
        <v>0</v>
      </c>
      <c r="G285" s="3" t="n">
        <v>0</v>
      </c>
      <c r="H285" s="3" t="n">
        <v>5</v>
      </c>
      <c r="I285" s="3" t="n">
        <v>5</v>
      </c>
      <c r="J285" s="3" t="n">
        <v>5</v>
      </c>
      <c r="K285" s="3" t="n">
        <v>5</v>
      </c>
      <c r="L285" s="3" t="n">
        <v>5</v>
      </c>
      <c r="M285" s="3" t="n">
        <v>5</v>
      </c>
      <c r="N285" s="3" t="n">
        <v>5</v>
      </c>
      <c r="O285" s="3" t="n">
        <v>5</v>
      </c>
      <c r="P285" s="3" t="n">
        <v>5</v>
      </c>
      <c r="Q285" s="3" t="n">
        <v>5</v>
      </c>
      <c r="R285" s="3" t="n">
        <v>5</v>
      </c>
      <c r="S285" s="3" t="n">
        <v>5</v>
      </c>
      <c r="T285" s="3" t="n">
        <v>0</v>
      </c>
      <c r="U285" s="3" t="n">
        <v>33</v>
      </c>
      <c r="V285" s="3" t="n">
        <v>23146</v>
      </c>
      <c r="W285" s="3" t="n">
        <v>1</v>
      </c>
      <c r="X285" s="3" t="n">
        <v>4</v>
      </c>
      <c r="Y285" s="3" t="n">
        <v>1</v>
      </c>
      <c r="Z285" s="3" t="n">
        <v>2</v>
      </c>
      <c r="AA285" s="4" t="n">
        <f aca="false">IF($B285=AA$1,1,0)</f>
        <v>0</v>
      </c>
      <c r="AB285" s="4" t="n">
        <f aca="false">IF($B285=AB$1,1,0)</f>
        <v>0</v>
      </c>
      <c r="AC285" s="4" t="n">
        <f aca="false">IF($B285=AC$1,1,0)</f>
        <v>0</v>
      </c>
      <c r="AD285" s="4" t="n">
        <f aca="false">IF($B285=AD$1,1,0)</f>
        <v>0</v>
      </c>
      <c r="AE285" s="4" t="n">
        <f aca="false">IF($B285=AE$1,1,0)</f>
        <v>0</v>
      </c>
      <c r="AF285" s="4" t="n">
        <f aca="false">IF($B285=AF$1,1,0)</f>
        <v>0</v>
      </c>
      <c r="AG285" s="4" t="n">
        <f aca="false">IF($B285=AG$1,1,0)</f>
        <v>0</v>
      </c>
      <c r="AH285" s="4" t="n">
        <f aca="false">IF($B285=AH$1,1,0)</f>
        <v>0</v>
      </c>
      <c r="AI285" s="4" t="n">
        <f aca="false">IF($B285=AI$1,1,0)</f>
        <v>0</v>
      </c>
      <c r="AJ285" s="4" t="n">
        <f aca="false">IF($B285=AJ$1,1,0)</f>
        <v>0</v>
      </c>
      <c r="AK285" s="4" t="n">
        <f aca="false">IF($B285=AK$1,1,0)</f>
        <v>0</v>
      </c>
      <c r="AL285" s="4" t="n">
        <f aca="false">IF($B285=AL$1,1,0)</f>
        <v>0</v>
      </c>
      <c r="AM285" s="4" t="n">
        <f aca="false">IF($B285=AM$1,1,0)</f>
        <v>0</v>
      </c>
      <c r="AN285" s="4" t="n">
        <f aca="false">IF($B285=AN$1,1,0)</f>
        <v>0</v>
      </c>
      <c r="AO285" s="4" t="n">
        <f aca="false">IF($B285=AO$1,1,0)</f>
        <v>0</v>
      </c>
      <c r="AP285" s="4" t="n">
        <f aca="false">IF($B285=AP$1,1,0)</f>
        <v>0</v>
      </c>
      <c r="AQ285" s="4" t="n">
        <f aca="false">IF($B285=AQ$1,1,0)</f>
        <v>1</v>
      </c>
      <c r="AR285" s="4" t="n">
        <f aca="false">IF($B285=AR$1,1,0)</f>
        <v>0</v>
      </c>
      <c r="AS285" s="4" t="n">
        <f aca="false">IF($B285=AS$1,1,0)</f>
        <v>0</v>
      </c>
      <c r="AT285" s="4" t="n">
        <f aca="false">IF($B285=AT$1,1,0)</f>
        <v>0</v>
      </c>
      <c r="BB285" s="4" t="n">
        <f aca="false">A285</f>
        <v>284</v>
      </c>
      <c r="BC285" s="7" t="n">
        <f aca="false">ABS($T285-$AX$2)+ABS($U285-$AY$2)+ABS($V285-$AZ$2)</f>
        <v>317.767605633801</v>
      </c>
      <c r="BD285" s="7" t="n">
        <f aca="false">ABS($T285-$AX$3)+ABS($U285-$AY$3)+ABS($V285-$AZ$3)</f>
        <v>23525.7288135593</v>
      </c>
      <c r="BE285" s="7" t="n">
        <f aca="false">ABS($T285-$AX$4)+ABS($U285-$AY$4)+ABS($V285-$AZ$4)</f>
        <v>54657.641509434</v>
      </c>
      <c r="BF285" s="7" t="n">
        <f aca="false">MIN(BC285:BE285)</f>
        <v>317.767605633801</v>
      </c>
      <c r="BG285" s="4" t="n">
        <f aca="false">MATCH(BF285,BC285:BE285,0)</f>
        <v>1</v>
      </c>
      <c r="BH285" s="8" t="n">
        <v>1</v>
      </c>
      <c r="BI285" s="4" t="n">
        <f aca="false">IF(BG285=BH285,0,1)</f>
        <v>0</v>
      </c>
      <c r="BK285" s="8" t="n">
        <v>1</v>
      </c>
      <c r="BL285" s="8" t="n">
        <v>1</v>
      </c>
      <c r="BM285" s="8" t="n">
        <v>1</v>
      </c>
    </row>
    <row r="286" customFormat="false" ht="15" hidden="false" customHeight="false" outlineLevel="0" collapsed="false">
      <c r="A286" s="3" t="n">
        <v>285</v>
      </c>
      <c r="B286" s="3" t="s">
        <v>35</v>
      </c>
      <c r="C286" s="3" t="n">
        <v>0</v>
      </c>
      <c r="D286" s="3" t="n">
        <v>0</v>
      </c>
      <c r="E286" s="3" t="n">
        <v>0</v>
      </c>
      <c r="F286" s="3" t="n">
        <v>1</v>
      </c>
      <c r="G286" s="3" t="n">
        <v>0</v>
      </c>
      <c r="H286" s="3" t="n">
        <v>5</v>
      </c>
      <c r="I286" s="3" t="n">
        <v>5</v>
      </c>
      <c r="J286" s="3" t="n">
        <v>5</v>
      </c>
      <c r="K286" s="3" t="n">
        <v>5</v>
      </c>
      <c r="L286" s="3" t="n">
        <v>5</v>
      </c>
      <c r="M286" s="3" t="n">
        <v>5</v>
      </c>
      <c r="N286" s="3" t="n">
        <v>4</v>
      </c>
      <c r="O286" s="3" t="n">
        <v>4</v>
      </c>
      <c r="P286" s="3" t="n">
        <v>5</v>
      </c>
      <c r="Q286" s="3" t="n">
        <v>5</v>
      </c>
      <c r="R286" s="3" t="n">
        <v>4</v>
      </c>
      <c r="S286" s="3" t="n">
        <v>5</v>
      </c>
      <c r="T286" s="3" t="n">
        <v>0</v>
      </c>
      <c r="U286" s="3" t="n">
        <v>33</v>
      </c>
      <c r="V286" s="3" t="n">
        <v>18631</v>
      </c>
      <c r="W286" s="3" t="n">
        <v>1</v>
      </c>
      <c r="X286" s="3" t="n">
        <v>2</v>
      </c>
      <c r="Y286" s="3" t="n">
        <v>1</v>
      </c>
      <c r="Z286" s="3" t="n">
        <v>1</v>
      </c>
      <c r="AA286" s="4" t="n">
        <f aca="false">IF($B286=AA$1,1,0)</f>
        <v>0</v>
      </c>
      <c r="AB286" s="4" t="n">
        <f aca="false">IF($B286=AB$1,1,0)</f>
        <v>0</v>
      </c>
      <c r="AC286" s="4" t="n">
        <f aca="false">IF($B286=AC$1,1,0)</f>
        <v>0</v>
      </c>
      <c r="AD286" s="4" t="n">
        <f aca="false">IF($B286=AD$1,1,0)</f>
        <v>0</v>
      </c>
      <c r="AE286" s="4" t="n">
        <f aca="false">IF($B286=AE$1,1,0)</f>
        <v>0</v>
      </c>
      <c r="AF286" s="4" t="n">
        <f aca="false">IF($B286=AF$1,1,0)</f>
        <v>0</v>
      </c>
      <c r="AG286" s="4" t="n">
        <f aca="false">IF($B286=AG$1,1,0)</f>
        <v>0</v>
      </c>
      <c r="AH286" s="4" t="n">
        <f aca="false">IF($B286=AH$1,1,0)</f>
        <v>0</v>
      </c>
      <c r="AI286" s="4" t="n">
        <f aca="false">IF($B286=AI$1,1,0)</f>
        <v>0</v>
      </c>
      <c r="AJ286" s="4" t="n">
        <f aca="false">IF($B286=AJ$1,1,0)</f>
        <v>1</v>
      </c>
      <c r="AK286" s="4" t="n">
        <f aca="false">IF($B286=AK$1,1,0)</f>
        <v>0</v>
      </c>
      <c r="AL286" s="4" t="n">
        <f aca="false">IF($B286=AL$1,1,0)</f>
        <v>0</v>
      </c>
      <c r="AM286" s="4" t="n">
        <f aca="false">IF($B286=AM$1,1,0)</f>
        <v>0</v>
      </c>
      <c r="AN286" s="4" t="n">
        <f aca="false">IF($B286=AN$1,1,0)</f>
        <v>0</v>
      </c>
      <c r="AO286" s="4" t="n">
        <f aca="false">IF($B286=AO$1,1,0)</f>
        <v>0</v>
      </c>
      <c r="AP286" s="4" t="n">
        <f aca="false">IF($B286=AP$1,1,0)</f>
        <v>0</v>
      </c>
      <c r="AQ286" s="4" t="n">
        <f aca="false">IF($B286=AQ$1,1,0)</f>
        <v>0</v>
      </c>
      <c r="AR286" s="4" t="n">
        <f aca="false">IF($B286=AR$1,1,0)</f>
        <v>0</v>
      </c>
      <c r="AS286" s="4" t="n">
        <f aca="false">IF($B286=AS$1,1,0)</f>
        <v>0</v>
      </c>
      <c r="AT286" s="4" t="n">
        <f aca="false">IF($B286=AT$1,1,0)</f>
        <v>0</v>
      </c>
      <c r="BB286" s="4" t="n">
        <f aca="false">A286</f>
        <v>285</v>
      </c>
      <c r="BC286" s="7" t="n">
        <f aca="false">ABS($T286-$AX$2)+ABS($U286-$AY$2)+ABS($V286-$AZ$2)</f>
        <v>4209.14788732395</v>
      </c>
      <c r="BD286" s="7" t="n">
        <f aca="false">ABS($T286-$AX$3)+ABS($U286-$AY$3)+ABS($V286-$AZ$3)</f>
        <v>28040.7288135593</v>
      </c>
      <c r="BE286" s="7" t="n">
        <f aca="false">ABS($T286-$AX$4)+ABS($U286-$AY$4)+ABS($V286-$AZ$4)</f>
        <v>59172.641509434</v>
      </c>
      <c r="BF286" s="7" t="n">
        <f aca="false">MIN(BC286:BE286)</f>
        <v>4209.14788732395</v>
      </c>
      <c r="BG286" s="4" t="n">
        <f aca="false">MATCH(BF286,BC286:BE286,0)</f>
        <v>1</v>
      </c>
      <c r="BH286" s="8" t="n">
        <v>1</v>
      </c>
      <c r="BI286" s="4" t="n">
        <f aca="false">IF(BG286=BH286,0,1)</f>
        <v>0</v>
      </c>
      <c r="BK286" s="8" t="n">
        <v>1</v>
      </c>
      <c r="BL286" s="8" t="n">
        <v>1</v>
      </c>
      <c r="BM286" s="8" t="n">
        <v>1</v>
      </c>
    </row>
    <row r="287" customFormat="false" ht="15" hidden="false" customHeight="false" outlineLevel="0" collapsed="false">
      <c r="A287" s="3" t="n">
        <v>286</v>
      </c>
      <c r="B287" s="3" t="s">
        <v>42</v>
      </c>
      <c r="C287" s="3" t="n">
        <v>1</v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5</v>
      </c>
      <c r="I287" s="3" t="n">
        <v>5</v>
      </c>
      <c r="J287" s="3" t="n">
        <v>5</v>
      </c>
      <c r="K287" s="3" t="n">
        <v>5</v>
      </c>
      <c r="L287" s="3" t="n">
        <v>5</v>
      </c>
      <c r="M287" s="3" t="n">
        <v>5</v>
      </c>
      <c r="N287" s="3" t="n">
        <v>4</v>
      </c>
      <c r="O287" s="3" t="n">
        <v>4</v>
      </c>
      <c r="P287" s="3" t="n">
        <v>3</v>
      </c>
      <c r="Q287" s="3" t="n">
        <v>5</v>
      </c>
      <c r="R287" s="3" t="n">
        <v>3</v>
      </c>
      <c r="S287" s="3" t="n">
        <v>3</v>
      </c>
      <c r="T287" s="3" t="n">
        <v>0</v>
      </c>
      <c r="U287" s="3" t="n">
        <v>44</v>
      </c>
      <c r="V287" s="3" t="n">
        <v>30408</v>
      </c>
      <c r="W287" s="3" t="n">
        <v>2</v>
      </c>
      <c r="X287" s="3" t="n">
        <v>2</v>
      </c>
      <c r="Y287" s="3" t="n">
        <v>2</v>
      </c>
      <c r="Z287" s="3" t="n">
        <v>1</v>
      </c>
      <c r="AA287" s="4" t="n">
        <f aca="false">IF($B287=AA$1,1,0)</f>
        <v>0</v>
      </c>
      <c r="AB287" s="4" t="n">
        <f aca="false">IF($B287=AB$1,1,0)</f>
        <v>0</v>
      </c>
      <c r="AC287" s="4" t="n">
        <f aca="false">IF($B287=AC$1,1,0)</f>
        <v>0</v>
      </c>
      <c r="AD287" s="4" t="n">
        <f aca="false">IF($B287=AD$1,1,0)</f>
        <v>0</v>
      </c>
      <c r="AE287" s="4" t="n">
        <f aca="false">IF($B287=AE$1,1,0)</f>
        <v>0</v>
      </c>
      <c r="AF287" s="4" t="n">
        <f aca="false">IF($B287=AF$1,1,0)</f>
        <v>0</v>
      </c>
      <c r="AG287" s="4" t="n">
        <f aca="false">IF($B287=AG$1,1,0)</f>
        <v>0</v>
      </c>
      <c r="AH287" s="4" t="n">
        <f aca="false">IF($B287=AH$1,1,0)</f>
        <v>0</v>
      </c>
      <c r="AI287" s="4" t="n">
        <f aca="false">IF($B287=AI$1,1,0)</f>
        <v>0</v>
      </c>
      <c r="AJ287" s="4" t="n">
        <f aca="false">IF($B287=AJ$1,1,0)</f>
        <v>0</v>
      </c>
      <c r="AK287" s="4" t="n">
        <f aca="false">IF($B287=AK$1,1,0)</f>
        <v>0</v>
      </c>
      <c r="AL287" s="4" t="n">
        <f aca="false">IF($B287=AL$1,1,0)</f>
        <v>0</v>
      </c>
      <c r="AM287" s="4" t="n">
        <f aca="false">IF($B287=AM$1,1,0)</f>
        <v>0</v>
      </c>
      <c r="AN287" s="4" t="n">
        <f aca="false">IF($B287=AN$1,1,0)</f>
        <v>0</v>
      </c>
      <c r="AO287" s="4" t="n">
        <f aca="false">IF($B287=AO$1,1,0)</f>
        <v>0</v>
      </c>
      <c r="AP287" s="4" t="n">
        <f aca="false">IF($B287=AP$1,1,0)</f>
        <v>0</v>
      </c>
      <c r="AQ287" s="4" t="n">
        <f aca="false">IF($B287=AQ$1,1,0)</f>
        <v>1</v>
      </c>
      <c r="AR287" s="4" t="n">
        <f aca="false">IF($B287=AR$1,1,0)</f>
        <v>0</v>
      </c>
      <c r="AS287" s="4" t="n">
        <f aca="false">IF($B287=AS$1,1,0)</f>
        <v>0</v>
      </c>
      <c r="AT287" s="4" t="n">
        <f aca="false">IF($B287=AT$1,1,0)</f>
        <v>0</v>
      </c>
      <c r="BB287" s="4" t="n">
        <f aca="false">A287</f>
        <v>286</v>
      </c>
      <c r="BC287" s="7" t="n">
        <f aca="false">ABS($T287-$AX$2)+ABS($U287-$AY$2)+ABS($V287-$AZ$2)</f>
        <v>7579.28873239436</v>
      </c>
      <c r="BD287" s="7" t="n">
        <f aca="false">ABS($T287-$AX$3)+ABS($U287-$AY$3)+ABS($V287-$AZ$3)</f>
        <v>16257.9661016949</v>
      </c>
      <c r="BE287" s="7" t="n">
        <f aca="false">ABS($T287-$AX$4)+ABS($U287-$AY$4)+ABS($V287-$AZ$4)</f>
        <v>47388.6037735849</v>
      </c>
      <c r="BF287" s="7" t="n">
        <f aca="false">MIN(BC287:BE287)</f>
        <v>7579.28873239436</v>
      </c>
      <c r="BG287" s="4" t="n">
        <f aca="false">MATCH(BF287,BC287:BE287,0)</f>
        <v>1</v>
      </c>
      <c r="BH287" s="8" t="n">
        <v>1</v>
      </c>
      <c r="BI287" s="4" t="n">
        <f aca="false">IF(BG287=BH287,0,1)</f>
        <v>0</v>
      </c>
      <c r="BK287" s="8" t="n">
        <v>1</v>
      </c>
      <c r="BL287" s="8" t="n">
        <v>1</v>
      </c>
      <c r="BM287" s="8" t="n">
        <v>1</v>
      </c>
    </row>
    <row r="288" customFormat="false" ht="15" hidden="false" customHeight="false" outlineLevel="0" collapsed="false">
      <c r="A288" s="3" t="n">
        <v>287</v>
      </c>
      <c r="B288" s="3" t="s">
        <v>38</v>
      </c>
      <c r="C288" s="3" t="n">
        <v>0</v>
      </c>
      <c r="D288" s="3" t="n">
        <v>0</v>
      </c>
      <c r="E288" s="3" t="n">
        <v>1</v>
      </c>
      <c r="F288" s="3" t="n">
        <v>0</v>
      </c>
      <c r="G288" s="3" t="n">
        <v>0</v>
      </c>
      <c r="H288" s="3" t="n">
        <v>4</v>
      </c>
      <c r="I288" s="3" t="n">
        <v>4</v>
      </c>
      <c r="J288" s="3" t="n">
        <v>5</v>
      </c>
      <c r="K288" s="3" t="n">
        <v>5</v>
      </c>
      <c r="L288" s="3" t="n">
        <v>5</v>
      </c>
      <c r="M288" s="3" t="n">
        <v>5</v>
      </c>
      <c r="N288" s="3" t="n">
        <v>4</v>
      </c>
      <c r="O288" s="3" t="n">
        <v>5</v>
      </c>
      <c r="P288" s="3" t="n">
        <v>5</v>
      </c>
      <c r="Q288" s="3" t="n">
        <v>5</v>
      </c>
      <c r="R288" s="3" t="n">
        <v>5</v>
      </c>
      <c r="S288" s="3" t="n">
        <v>5</v>
      </c>
      <c r="T288" s="3" t="n">
        <v>0</v>
      </c>
      <c r="U288" s="3" t="n">
        <v>44</v>
      </c>
      <c r="V288" s="3" t="n">
        <v>38756</v>
      </c>
      <c r="W288" s="3" t="n">
        <v>1</v>
      </c>
      <c r="X288" s="3" t="n">
        <v>3</v>
      </c>
      <c r="Y288" s="3" t="n">
        <v>1</v>
      </c>
      <c r="Z288" s="3" t="n">
        <v>1</v>
      </c>
      <c r="AA288" s="4" t="n">
        <f aca="false">IF($B288=AA$1,1,0)</f>
        <v>0</v>
      </c>
      <c r="AB288" s="4" t="n">
        <f aca="false">IF($B288=AB$1,1,0)</f>
        <v>0</v>
      </c>
      <c r="AC288" s="4" t="n">
        <f aca="false">IF($B288=AC$1,1,0)</f>
        <v>0</v>
      </c>
      <c r="AD288" s="4" t="n">
        <f aca="false">IF($B288=AD$1,1,0)</f>
        <v>0</v>
      </c>
      <c r="AE288" s="4" t="n">
        <f aca="false">IF($B288=AE$1,1,0)</f>
        <v>0</v>
      </c>
      <c r="AF288" s="4" t="n">
        <f aca="false">IF($B288=AF$1,1,0)</f>
        <v>0</v>
      </c>
      <c r="AG288" s="4" t="n">
        <f aca="false">IF($B288=AG$1,1,0)</f>
        <v>0</v>
      </c>
      <c r="AH288" s="4" t="n">
        <f aca="false">IF($B288=AH$1,1,0)</f>
        <v>0</v>
      </c>
      <c r="AI288" s="4" t="n">
        <f aca="false">IF($B288=AI$1,1,0)</f>
        <v>0</v>
      </c>
      <c r="AJ288" s="4" t="n">
        <f aca="false">IF($B288=AJ$1,1,0)</f>
        <v>0</v>
      </c>
      <c r="AK288" s="4" t="n">
        <f aca="false">IF($B288=AK$1,1,0)</f>
        <v>0</v>
      </c>
      <c r="AL288" s="4" t="n">
        <f aca="false">IF($B288=AL$1,1,0)</f>
        <v>0</v>
      </c>
      <c r="AM288" s="4" t="n">
        <f aca="false">IF($B288=AM$1,1,0)</f>
        <v>1</v>
      </c>
      <c r="AN288" s="4" t="n">
        <f aca="false">IF($B288=AN$1,1,0)</f>
        <v>0</v>
      </c>
      <c r="AO288" s="4" t="n">
        <f aca="false">IF($B288=AO$1,1,0)</f>
        <v>0</v>
      </c>
      <c r="AP288" s="4" t="n">
        <f aca="false">IF($B288=AP$1,1,0)</f>
        <v>0</v>
      </c>
      <c r="AQ288" s="4" t="n">
        <f aca="false">IF($B288=AQ$1,1,0)</f>
        <v>0</v>
      </c>
      <c r="AR288" s="4" t="n">
        <f aca="false">IF($B288=AR$1,1,0)</f>
        <v>0</v>
      </c>
      <c r="AS288" s="4" t="n">
        <f aca="false">IF($B288=AS$1,1,0)</f>
        <v>0</v>
      </c>
      <c r="AT288" s="4" t="n">
        <f aca="false">IF($B288=AT$1,1,0)</f>
        <v>0</v>
      </c>
      <c r="BB288" s="4" t="n">
        <f aca="false">A288</f>
        <v>287</v>
      </c>
      <c r="BC288" s="7" t="n">
        <f aca="false">ABS($T288-$AX$2)+ABS($U288-$AY$2)+ABS($V288-$AZ$2)</f>
        <v>15927.2887323944</v>
      </c>
      <c r="BD288" s="7" t="n">
        <f aca="false">ABS($T288-$AX$3)+ABS($U288-$AY$3)+ABS($V288-$AZ$3)</f>
        <v>7909.96610169492</v>
      </c>
      <c r="BE288" s="7" t="n">
        <f aca="false">ABS($T288-$AX$4)+ABS($U288-$AY$4)+ABS($V288-$AZ$4)</f>
        <v>39040.6037735849</v>
      </c>
      <c r="BF288" s="7" t="n">
        <f aca="false">MIN(BC288:BE288)</f>
        <v>7909.96610169492</v>
      </c>
      <c r="BG288" s="4" t="n">
        <f aca="false">MATCH(BF288,BC288:BE288,0)</f>
        <v>2</v>
      </c>
      <c r="BH288" s="8" t="n">
        <v>2</v>
      </c>
      <c r="BI288" s="4" t="n">
        <f aca="false">IF(BG288=BH288,0,1)</f>
        <v>0</v>
      </c>
      <c r="BK288" s="8" t="n">
        <v>2</v>
      </c>
      <c r="BL288" s="8" t="n">
        <v>2</v>
      </c>
      <c r="BM288" s="8" t="n">
        <v>2</v>
      </c>
    </row>
    <row r="289" customFormat="false" ht="15" hidden="false" customHeight="false" outlineLevel="0" collapsed="false">
      <c r="A289" s="3" t="n">
        <v>288</v>
      </c>
      <c r="B289" s="3" t="s">
        <v>33</v>
      </c>
      <c r="C289" s="3" t="n">
        <v>1</v>
      </c>
      <c r="D289" s="3" t="n">
        <v>0</v>
      </c>
      <c r="E289" s="3" t="n">
        <v>0</v>
      </c>
      <c r="F289" s="3" t="n">
        <v>0</v>
      </c>
      <c r="G289" s="3" t="n">
        <v>1</v>
      </c>
      <c r="H289" s="3" t="n">
        <v>3</v>
      </c>
      <c r="I289" s="3" t="n">
        <v>5</v>
      </c>
      <c r="J289" s="3" t="n">
        <v>5</v>
      </c>
      <c r="K289" s="3" t="n">
        <v>4</v>
      </c>
      <c r="L289" s="3" t="n">
        <v>5</v>
      </c>
      <c r="M289" s="3" t="n">
        <v>4</v>
      </c>
      <c r="N289" s="3" t="n">
        <v>2</v>
      </c>
      <c r="O289" s="3" t="n">
        <v>3</v>
      </c>
      <c r="P289" s="3" t="n">
        <v>3</v>
      </c>
      <c r="Q289" s="3" t="n">
        <v>3</v>
      </c>
      <c r="R289" s="3" t="n">
        <v>3</v>
      </c>
      <c r="S289" s="3" t="n">
        <v>2</v>
      </c>
      <c r="T289" s="3" t="n">
        <v>0</v>
      </c>
      <c r="U289" s="3" t="n">
        <v>39</v>
      </c>
      <c r="V289" s="3" t="n">
        <v>46736</v>
      </c>
      <c r="W289" s="3" t="n">
        <v>1</v>
      </c>
      <c r="X289" s="3" t="n">
        <v>4</v>
      </c>
      <c r="Y289" s="3" t="n">
        <v>1</v>
      </c>
      <c r="Z289" s="3" t="n">
        <v>1</v>
      </c>
      <c r="AA289" s="4" t="n">
        <f aca="false">IF($B289=AA$1,1,0)</f>
        <v>0</v>
      </c>
      <c r="AB289" s="4" t="n">
        <f aca="false">IF($B289=AB$1,1,0)</f>
        <v>0</v>
      </c>
      <c r="AC289" s="4" t="n">
        <f aca="false">IF($B289=AC$1,1,0)</f>
        <v>0</v>
      </c>
      <c r="AD289" s="4" t="n">
        <f aca="false">IF($B289=AD$1,1,0)</f>
        <v>0</v>
      </c>
      <c r="AE289" s="4" t="n">
        <f aca="false">IF($B289=AE$1,1,0)</f>
        <v>0</v>
      </c>
      <c r="AF289" s="4" t="n">
        <f aca="false">IF($B289=AF$1,1,0)</f>
        <v>0</v>
      </c>
      <c r="AG289" s="4" t="n">
        <f aca="false">IF($B289=AG$1,1,0)</f>
        <v>0</v>
      </c>
      <c r="AH289" s="4" t="n">
        <f aca="false">IF($B289=AH$1,1,0)</f>
        <v>1</v>
      </c>
      <c r="AI289" s="4" t="n">
        <f aca="false">IF($B289=AI$1,1,0)</f>
        <v>0</v>
      </c>
      <c r="AJ289" s="4" t="n">
        <f aca="false">IF($B289=AJ$1,1,0)</f>
        <v>0</v>
      </c>
      <c r="AK289" s="4" t="n">
        <f aca="false">IF($B289=AK$1,1,0)</f>
        <v>0</v>
      </c>
      <c r="AL289" s="4" t="n">
        <f aca="false">IF($B289=AL$1,1,0)</f>
        <v>0</v>
      </c>
      <c r="AM289" s="4" t="n">
        <f aca="false">IF($B289=AM$1,1,0)</f>
        <v>0</v>
      </c>
      <c r="AN289" s="4" t="n">
        <f aca="false">IF($B289=AN$1,1,0)</f>
        <v>0</v>
      </c>
      <c r="AO289" s="4" t="n">
        <f aca="false">IF($B289=AO$1,1,0)</f>
        <v>0</v>
      </c>
      <c r="AP289" s="4" t="n">
        <f aca="false">IF($B289=AP$1,1,0)</f>
        <v>0</v>
      </c>
      <c r="AQ289" s="4" t="n">
        <f aca="false">IF($B289=AQ$1,1,0)</f>
        <v>0</v>
      </c>
      <c r="AR289" s="4" t="n">
        <f aca="false">IF($B289=AR$1,1,0)</f>
        <v>0</v>
      </c>
      <c r="AS289" s="4" t="n">
        <f aca="false">IF($B289=AS$1,1,0)</f>
        <v>0</v>
      </c>
      <c r="AT289" s="4" t="n">
        <f aca="false">IF($B289=AT$1,1,0)</f>
        <v>0</v>
      </c>
      <c r="BB289" s="4" t="n">
        <f aca="false">A289</f>
        <v>288</v>
      </c>
      <c r="BC289" s="7" t="n">
        <f aca="false">ABS($T289-$AX$2)+ABS($U289-$AY$2)+ABS($V289-$AZ$2)</f>
        <v>23902.2887323944</v>
      </c>
      <c r="BD289" s="7" t="n">
        <f aca="false">ABS($T289-$AX$3)+ABS($U289-$AY$3)+ABS($V289-$AZ$3)</f>
        <v>75.4067796610154</v>
      </c>
      <c r="BE289" s="7" t="n">
        <f aca="false">ABS($T289-$AX$4)+ABS($U289-$AY$4)+ABS($V289-$AZ$4)</f>
        <v>31061.641509434</v>
      </c>
      <c r="BF289" s="7" t="n">
        <f aca="false">MIN(BC289:BE289)</f>
        <v>75.4067796610154</v>
      </c>
      <c r="BG289" s="4" t="n">
        <f aca="false">MATCH(BF289,BC289:BE289,0)</f>
        <v>2</v>
      </c>
      <c r="BH289" s="8" t="n">
        <v>2</v>
      </c>
      <c r="BI289" s="4" t="n">
        <f aca="false">IF(BG289=BH289,0,1)</f>
        <v>0</v>
      </c>
      <c r="BK289" s="8" t="n">
        <v>2</v>
      </c>
      <c r="BL289" s="8" t="n">
        <v>2</v>
      </c>
      <c r="BM289" s="8" t="n">
        <v>2</v>
      </c>
    </row>
    <row r="290" customFormat="false" ht="15" hidden="false" customHeight="false" outlineLevel="0" collapsed="false">
      <c r="A290" s="3" t="n">
        <v>289</v>
      </c>
      <c r="B290" s="3" t="s">
        <v>42</v>
      </c>
      <c r="C290" s="3" t="n">
        <v>0</v>
      </c>
      <c r="D290" s="3" t="n">
        <v>0</v>
      </c>
      <c r="E290" s="3" t="n">
        <v>1</v>
      </c>
      <c r="F290" s="3" t="n">
        <v>0</v>
      </c>
      <c r="G290" s="3" t="n">
        <v>0</v>
      </c>
      <c r="H290" s="3" t="n">
        <v>4</v>
      </c>
      <c r="I290" s="3" t="n">
        <v>4</v>
      </c>
      <c r="J290" s="3" t="n">
        <v>4</v>
      </c>
      <c r="K290" s="3" t="n">
        <v>5</v>
      </c>
      <c r="L290" s="3" t="n">
        <v>5</v>
      </c>
      <c r="M290" s="3" t="n">
        <v>4</v>
      </c>
      <c r="N290" s="3" t="n">
        <v>3</v>
      </c>
      <c r="O290" s="3" t="n">
        <v>2</v>
      </c>
      <c r="P290" s="3" t="n">
        <v>3</v>
      </c>
      <c r="Q290" s="3" t="n">
        <v>4</v>
      </c>
      <c r="R290" s="3" t="n">
        <v>3</v>
      </c>
      <c r="S290" s="3" t="n">
        <v>3</v>
      </c>
      <c r="T290" s="3" t="n">
        <v>0</v>
      </c>
      <c r="U290" s="3" t="n">
        <v>45</v>
      </c>
      <c r="V290" s="3" t="n">
        <v>88962</v>
      </c>
      <c r="W290" s="3" t="n">
        <v>1</v>
      </c>
      <c r="X290" s="3" t="n">
        <v>3</v>
      </c>
      <c r="Y290" s="3" t="n">
        <v>2</v>
      </c>
      <c r="Z290" s="3" t="n">
        <v>1</v>
      </c>
      <c r="AA290" s="4" t="n">
        <f aca="false">IF($B290=AA$1,1,0)</f>
        <v>0</v>
      </c>
      <c r="AB290" s="4" t="n">
        <f aca="false">IF($B290=AB$1,1,0)</f>
        <v>0</v>
      </c>
      <c r="AC290" s="4" t="n">
        <f aca="false">IF($B290=AC$1,1,0)</f>
        <v>0</v>
      </c>
      <c r="AD290" s="4" t="n">
        <f aca="false">IF($B290=AD$1,1,0)</f>
        <v>0</v>
      </c>
      <c r="AE290" s="4" t="n">
        <f aca="false">IF($B290=AE$1,1,0)</f>
        <v>0</v>
      </c>
      <c r="AF290" s="4" t="n">
        <f aca="false">IF($B290=AF$1,1,0)</f>
        <v>0</v>
      </c>
      <c r="AG290" s="4" t="n">
        <f aca="false">IF($B290=AG$1,1,0)</f>
        <v>0</v>
      </c>
      <c r="AH290" s="4" t="n">
        <f aca="false">IF($B290=AH$1,1,0)</f>
        <v>0</v>
      </c>
      <c r="AI290" s="4" t="n">
        <f aca="false">IF($B290=AI$1,1,0)</f>
        <v>0</v>
      </c>
      <c r="AJ290" s="4" t="n">
        <f aca="false">IF($B290=AJ$1,1,0)</f>
        <v>0</v>
      </c>
      <c r="AK290" s="4" t="n">
        <f aca="false">IF($B290=AK$1,1,0)</f>
        <v>0</v>
      </c>
      <c r="AL290" s="4" t="n">
        <f aca="false">IF($B290=AL$1,1,0)</f>
        <v>0</v>
      </c>
      <c r="AM290" s="4" t="n">
        <f aca="false">IF($B290=AM$1,1,0)</f>
        <v>0</v>
      </c>
      <c r="AN290" s="4" t="n">
        <f aca="false">IF($B290=AN$1,1,0)</f>
        <v>0</v>
      </c>
      <c r="AO290" s="4" t="n">
        <f aca="false">IF($B290=AO$1,1,0)</f>
        <v>0</v>
      </c>
      <c r="AP290" s="4" t="n">
        <f aca="false">IF($B290=AP$1,1,0)</f>
        <v>0</v>
      </c>
      <c r="AQ290" s="4" t="n">
        <f aca="false">IF($B290=AQ$1,1,0)</f>
        <v>1</v>
      </c>
      <c r="AR290" s="4" t="n">
        <f aca="false">IF($B290=AR$1,1,0)</f>
        <v>0</v>
      </c>
      <c r="AS290" s="4" t="n">
        <f aca="false">IF($B290=AS$1,1,0)</f>
        <v>0</v>
      </c>
      <c r="AT290" s="4" t="n">
        <f aca="false">IF($B290=AT$1,1,0)</f>
        <v>0</v>
      </c>
      <c r="BB290" s="4" t="n">
        <f aca="false">A290</f>
        <v>289</v>
      </c>
      <c r="BC290" s="7" t="n">
        <f aca="false">ABS($T290-$AX$2)+ABS($U290-$AY$2)+ABS($V290-$AZ$2)</f>
        <v>66134.2887323944</v>
      </c>
      <c r="BD290" s="7" t="n">
        <f aca="false">ABS($T290-$AX$3)+ABS($U290-$AY$3)+ABS($V290-$AZ$3)</f>
        <v>42302.6440677966</v>
      </c>
      <c r="BE290" s="7" t="n">
        <f aca="false">ABS($T290-$AX$4)+ABS($U290-$AY$4)+ABS($V290-$AZ$4)</f>
        <v>11170.8867924528</v>
      </c>
      <c r="BF290" s="7" t="n">
        <f aca="false">MIN(BC290:BE290)</f>
        <v>11170.8867924528</v>
      </c>
      <c r="BG290" s="4" t="n">
        <f aca="false">MATCH(BF290,BC290:BE290,0)</f>
        <v>3</v>
      </c>
      <c r="BH290" s="8" t="n">
        <v>3</v>
      </c>
      <c r="BI290" s="4" t="n">
        <f aca="false">IF(BG290=BH290,0,1)</f>
        <v>0</v>
      </c>
      <c r="BK290" s="8" t="n">
        <v>3</v>
      </c>
      <c r="BL290" s="8" t="n">
        <v>3</v>
      </c>
      <c r="BM290" s="8" t="n">
        <v>3</v>
      </c>
    </row>
    <row r="291" customFormat="false" ht="15" hidden="false" customHeight="false" outlineLevel="0" collapsed="false">
      <c r="A291" s="3" t="n">
        <v>290</v>
      </c>
      <c r="B291" s="3" t="s">
        <v>33</v>
      </c>
      <c r="C291" s="3" t="n">
        <v>0</v>
      </c>
      <c r="D291" s="3" t="n">
        <v>0</v>
      </c>
      <c r="E291" s="3" t="n">
        <v>1</v>
      </c>
      <c r="F291" s="3" t="n">
        <v>0</v>
      </c>
      <c r="G291" s="3" t="n">
        <v>0</v>
      </c>
      <c r="H291" s="3" t="n">
        <v>5</v>
      </c>
      <c r="I291" s="3" t="n">
        <v>5</v>
      </c>
      <c r="J291" s="3" t="n">
        <v>4</v>
      </c>
      <c r="K291" s="3" t="n">
        <v>5</v>
      </c>
      <c r="L291" s="3" t="n">
        <v>5</v>
      </c>
      <c r="M291" s="3" t="n">
        <v>5</v>
      </c>
      <c r="N291" s="3" t="n">
        <v>5</v>
      </c>
      <c r="O291" s="3" t="n">
        <v>5</v>
      </c>
      <c r="P291" s="3" t="n">
        <v>5</v>
      </c>
      <c r="Q291" s="3" t="n">
        <v>5</v>
      </c>
      <c r="R291" s="3" t="n">
        <v>5</v>
      </c>
      <c r="S291" s="3" t="n">
        <v>5</v>
      </c>
      <c r="T291" s="3" t="n">
        <v>0</v>
      </c>
      <c r="U291" s="3" t="n">
        <v>33</v>
      </c>
      <c r="V291" s="3" t="n">
        <v>28117</v>
      </c>
      <c r="W291" s="3" t="n">
        <v>2</v>
      </c>
      <c r="X291" s="3" t="n">
        <v>4</v>
      </c>
      <c r="Y291" s="3" t="n">
        <v>2</v>
      </c>
      <c r="Z291" s="3" t="n">
        <v>1</v>
      </c>
      <c r="AA291" s="4" t="n">
        <f aca="false">IF($B291=AA$1,1,0)</f>
        <v>0</v>
      </c>
      <c r="AB291" s="4" t="n">
        <f aca="false">IF($B291=AB$1,1,0)</f>
        <v>0</v>
      </c>
      <c r="AC291" s="4" t="n">
        <f aca="false">IF($B291=AC$1,1,0)</f>
        <v>0</v>
      </c>
      <c r="AD291" s="4" t="n">
        <f aca="false">IF($B291=AD$1,1,0)</f>
        <v>0</v>
      </c>
      <c r="AE291" s="4" t="n">
        <f aca="false">IF($B291=AE$1,1,0)</f>
        <v>0</v>
      </c>
      <c r="AF291" s="4" t="n">
        <f aca="false">IF($B291=AF$1,1,0)</f>
        <v>0</v>
      </c>
      <c r="AG291" s="4" t="n">
        <f aca="false">IF($B291=AG$1,1,0)</f>
        <v>0</v>
      </c>
      <c r="AH291" s="4" t="n">
        <f aca="false">IF($B291=AH$1,1,0)</f>
        <v>1</v>
      </c>
      <c r="AI291" s="4" t="n">
        <f aca="false">IF($B291=AI$1,1,0)</f>
        <v>0</v>
      </c>
      <c r="AJ291" s="4" t="n">
        <f aca="false">IF($B291=AJ$1,1,0)</f>
        <v>0</v>
      </c>
      <c r="AK291" s="4" t="n">
        <f aca="false">IF($B291=AK$1,1,0)</f>
        <v>0</v>
      </c>
      <c r="AL291" s="4" t="n">
        <f aca="false">IF($B291=AL$1,1,0)</f>
        <v>0</v>
      </c>
      <c r="AM291" s="4" t="n">
        <f aca="false">IF($B291=AM$1,1,0)</f>
        <v>0</v>
      </c>
      <c r="AN291" s="4" t="n">
        <f aca="false">IF($B291=AN$1,1,0)</f>
        <v>0</v>
      </c>
      <c r="AO291" s="4" t="n">
        <f aca="false">IF($B291=AO$1,1,0)</f>
        <v>0</v>
      </c>
      <c r="AP291" s="4" t="n">
        <f aca="false">IF($B291=AP$1,1,0)</f>
        <v>0</v>
      </c>
      <c r="AQ291" s="4" t="n">
        <f aca="false">IF($B291=AQ$1,1,0)</f>
        <v>0</v>
      </c>
      <c r="AR291" s="4" t="n">
        <f aca="false">IF($B291=AR$1,1,0)</f>
        <v>0</v>
      </c>
      <c r="AS291" s="4" t="n">
        <f aca="false">IF($B291=AS$1,1,0)</f>
        <v>0</v>
      </c>
      <c r="AT291" s="4" t="n">
        <f aca="false">IF($B291=AT$1,1,0)</f>
        <v>0</v>
      </c>
      <c r="BB291" s="4" t="n">
        <f aca="false">A291</f>
        <v>290</v>
      </c>
      <c r="BC291" s="7" t="n">
        <f aca="false">ABS($T291-$AX$2)+ABS($U291-$AY$2)+ABS($V291-$AZ$2)</f>
        <v>5288.7676056338</v>
      </c>
      <c r="BD291" s="7" t="n">
        <f aca="false">ABS($T291-$AX$3)+ABS($U291-$AY$3)+ABS($V291-$AZ$3)</f>
        <v>18554.7288135593</v>
      </c>
      <c r="BE291" s="7" t="n">
        <f aca="false">ABS($T291-$AX$4)+ABS($U291-$AY$4)+ABS($V291-$AZ$4)</f>
        <v>49686.641509434</v>
      </c>
      <c r="BF291" s="7" t="n">
        <f aca="false">MIN(BC291:BE291)</f>
        <v>5288.7676056338</v>
      </c>
      <c r="BG291" s="4" t="n">
        <f aca="false">MATCH(BF291,BC291:BE291,0)</f>
        <v>1</v>
      </c>
      <c r="BH291" s="8" t="n">
        <v>1</v>
      </c>
      <c r="BI291" s="4" t="n">
        <f aca="false">IF(BG291=BH291,0,1)</f>
        <v>0</v>
      </c>
      <c r="BK291" s="8" t="n">
        <v>1</v>
      </c>
      <c r="BL291" s="8" t="n">
        <v>1</v>
      </c>
      <c r="BM291" s="8" t="n">
        <v>1</v>
      </c>
    </row>
    <row r="292" customFormat="false" ht="15" hidden="false" customHeight="false" outlineLevel="0" collapsed="false">
      <c r="A292" s="3" t="n">
        <v>291</v>
      </c>
      <c r="B292" s="3" t="s">
        <v>42</v>
      </c>
      <c r="C292" s="3" t="n">
        <v>1</v>
      </c>
      <c r="D292" s="3" t="n">
        <v>0</v>
      </c>
      <c r="E292" s="3" t="n">
        <v>0</v>
      </c>
      <c r="F292" s="3" t="n">
        <v>0</v>
      </c>
      <c r="G292" s="3" t="n">
        <v>0</v>
      </c>
      <c r="H292" s="3" t="n">
        <v>5</v>
      </c>
      <c r="I292" s="3" t="n">
        <v>5</v>
      </c>
      <c r="J292" s="3" t="n">
        <v>5</v>
      </c>
      <c r="K292" s="3" t="n">
        <v>5</v>
      </c>
      <c r="L292" s="3" t="n">
        <v>5</v>
      </c>
      <c r="M292" s="3" t="n">
        <v>3</v>
      </c>
      <c r="N292" s="3" t="n">
        <v>4</v>
      </c>
      <c r="O292" s="3" t="n">
        <v>4</v>
      </c>
      <c r="P292" s="3" t="n">
        <v>5</v>
      </c>
      <c r="Q292" s="3" t="n">
        <v>5</v>
      </c>
      <c r="R292" s="3" t="n">
        <v>5</v>
      </c>
      <c r="S292" s="3" t="n">
        <v>4</v>
      </c>
      <c r="T292" s="3" t="n">
        <v>0</v>
      </c>
      <c r="U292" s="3" t="n">
        <v>39</v>
      </c>
      <c r="V292" s="3" t="n">
        <v>19460</v>
      </c>
      <c r="W292" s="3" t="n">
        <v>2</v>
      </c>
      <c r="X292" s="3" t="n">
        <v>3</v>
      </c>
      <c r="Y292" s="3" t="n">
        <v>2</v>
      </c>
      <c r="Z292" s="3" t="n">
        <v>2</v>
      </c>
      <c r="AA292" s="4" t="n">
        <f aca="false">IF($B292=AA$1,1,0)</f>
        <v>0</v>
      </c>
      <c r="AB292" s="4" t="n">
        <f aca="false">IF($B292=AB$1,1,0)</f>
        <v>0</v>
      </c>
      <c r="AC292" s="4" t="n">
        <f aca="false">IF($B292=AC$1,1,0)</f>
        <v>0</v>
      </c>
      <c r="AD292" s="4" t="n">
        <f aca="false">IF($B292=AD$1,1,0)</f>
        <v>0</v>
      </c>
      <c r="AE292" s="4" t="n">
        <f aca="false">IF($B292=AE$1,1,0)</f>
        <v>0</v>
      </c>
      <c r="AF292" s="4" t="n">
        <f aca="false">IF($B292=AF$1,1,0)</f>
        <v>0</v>
      </c>
      <c r="AG292" s="4" t="n">
        <f aca="false">IF($B292=AG$1,1,0)</f>
        <v>0</v>
      </c>
      <c r="AH292" s="4" t="n">
        <f aca="false">IF($B292=AH$1,1,0)</f>
        <v>0</v>
      </c>
      <c r="AI292" s="4" t="n">
        <f aca="false">IF($B292=AI$1,1,0)</f>
        <v>0</v>
      </c>
      <c r="AJ292" s="4" t="n">
        <f aca="false">IF($B292=AJ$1,1,0)</f>
        <v>0</v>
      </c>
      <c r="AK292" s="4" t="n">
        <f aca="false">IF($B292=AK$1,1,0)</f>
        <v>0</v>
      </c>
      <c r="AL292" s="4" t="n">
        <f aca="false">IF($B292=AL$1,1,0)</f>
        <v>0</v>
      </c>
      <c r="AM292" s="4" t="n">
        <f aca="false">IF($B292=AM$1,1,0)</f>
        <v>0</v>
      </c>
      <c r="AN292" s="4" t="n">
        <f aca="false">IF($B292=AN$1,1,0)</f>
        <v>0</v>
      </c>
      <c r="AO292" s="4" t="n">
        <f aca="false">IF($B292=AO$1,1,0)</f>
        <v>0</v>
      </c>
      <c r="AP292" s="4" t="n">
        <f aca="false">IF($B292=AP$1,1,0)</f>
        <v>0</v>
      </c>
      <c r="AQ292" s="4" t="n">
        <f aca="false">IF($B292=AQ$1,1,0)</f>
        <v>1</v>
      </c>
      <c r="AR292" s="4" t="n">
        <f aca="false">IF($B292=AR$1,1,0)</f>
        <v>0</v>
      </c>
      <c r="AS292" s="4" t="n">
        <f aca="false">IF($B292=AS$1,1,0)</f>
        <v>0</v>
      </c>
      <c r="AT292" s="4" t="n">
        <f aca="false">IF($B292=AT$1,1,0)</f>
        <v>0</v>
      </c>
      <c r="BB292" s="4" t="n">
        <f aca="false">A292</f>
        <v>291</v>
      </c>
      <c r="BC292" s="7" t="n">
        <f aca="false">ABS($T292-$AX$2)+ABS($U292-$AY$2)+ABS($V292-$AZ$2)</f>
        <v>3374.66901408451</v>
      </c>
      <c r="BD292" s="7" t="n">
        <f aca="false">ABS($T292-$AX$3)+ABS($U292-$AY$3)+ABS($V292-$AZ$3)</f>
        <v>27205.7288135593</v>
      </c>
      <c r="BE292" s="7" t="n">
        <f aca="false">ABS($T292-$AX$4)+ABS($U292-$AY$4)+ABS($V292-$AZ$4)</f>
        <v>58337.641509434</v>
      </c>
      <c r="BF292" s="7" t="n">
        <f aca="false">MIN(BC292:BE292)</f>
        <v>3374.66901408451</v>
      </c>
      <c r="BG292" s="4" t="n">
        <f aca="false">MATCH(BF292,BC292:BE292,0)</f>
        <v>1</v>
      </c>
      <c r="BH292" s="8" t="n">
        <v>1</v>
      </c>
      <c r="BI292" s="4" t="n">
        <f aca="false">IF(BG292=BH292,0,1)</f>
        <v>0</v>
      </c>
      <c r="BK292" s="8" t="n">
        <v>1</v>
      </c>
      <c r="BL292" s="8" t="n">
        <v>1</v>
      </c>
      <c r="BM292" s="8" t="n">
        <v>1</v>
      </c>
    </row>
    <row r="293" customFormat="false" ht="15" hidden="false" customHeight="false" outlineLevel="0" collapsed="false">
      <c r="A293" s="3" t="n">
        <v>292</v>
      </c>
      <c r="B293" s="3" t="s">
        <v>35</v>
      </c>
      <c r="C293" s="3" t="n">
        <v>1</v>
      </c>
      <c r="D293" s="3" t="n">
        <v>0</v>
      </c>
      <c r="E293" s="3" t="n">
        <v>0</v>
      </c>
      <c r="F293" s="3" t="n">
        <v>0</v>
      </c>
      <c r="G293" s="3" t="n">
        <v>4</v>
      </c>
      <c r="H293" s="3" t="n">
        <v>4</v>
      </c>
      <c r="I293" s="3" t="n">
        <v>3</v>
      </c>
      <c r="J293" s="3" t="n">
        <v>4</v>
      </c>
      <c r="K293" s="3" t="n">
        <v>3</v>
      </c>
      <c r="L293" s="3" t="n">
        <v>5</v>
      </c>
      <c r="M293" s="3" t="n">
        <v>3</v>
      </c>
      <c r="N293" s="3" t="n">
        <v>4</v>
      </c>
      <c r="O293" s="3" t="n">
        <v>3</v>
      </c>
      <c r="P293" s="3" t="n">
        <v>3</v>
      </c>
      <c r="Q293" s="3" t="n">
        <v>3</v>
      </c>
      <c r="R293" s="3" t="n">
        <v>3</v>
      </c>
      <c r="S293" s="3" t="n">
        <v>3</v>
      </c>
      <c r="T293" s="3" t="n">
        <v>0</v>
      </c>
      <c r="U293" s="3" t="n">
        <v>58</v>
      </c>
      <c r="V293" s="3" t="n">
        <v>31482</v>
      </c>
      <c r="W293" s="3" t="n">
        <v>2</v>
      </c>
      <c r="X293" s="3" t="n">
        <v>4</v>
      </c>
      <c r="Y293" s="3" t="n">
        <v>2</v>
      </c>
      <c r="Z293" s="3" t="n">
        <v>4</v>
      </c>
      <c r="AA293" s="4" t="n">
        <f aca="false">IF($B293=AA$1,1,0)</f>
        <v>0</v>
      </c>
      <c r="AB293" s="4" t="n">
        <f aca="false">IF($B293=AB$1,1,0)</f>
        <v>0</v>
      </c>
      <c r="AC293" s="4" t="n">
        <f aca="false">IF($B293=AC$1,1,0)</f>
        <v>0</v>
      </c>
      <c r="AD293" s="4" t="n">
        <f aca="false">IF($B293=AD$1,1,0)</f>
        <v>0</v>
      </c>
      <c r="AE293" s="4" t="n">
        <f aca="false">IF($B293=AE$1,1,0)</f>
        <v>0</v>
      </c>
      <c r="AF293" s="4" t="n">
        <f aca="false">IF($B293=AF$1,1,0)</f>
        <v>0</v>
      </c>
      <c r="AG293" s="4" t="n">
        <f aca="false">IF($B293=AG$1,1,0)</f>
        <v>0</v>
      </c>
      <c r="AH293" s="4" t="n">
        <f aca="false">IF($B293=AH$1,1,0)</f>
        <v>0</v>
      </c>
      <c r="AI293" s="4" t="n">
        <f aca="false">IF($B293=AI$1,1,0)</f>
        <v>0</v>
      </c>
      <c r="AJ293" s="4" t="n">
        <f aca="false">IF($B293=AJ$1,1,0)</f>
        <v>1</v>
      </c>
      <c r="AK293" s="4" t="n">
        <f aca="false">IF($B293=AK$1,1,0)</f>
        <v>0</v>
      </c>
      <c r="AL293" s="4" t="n">
        <f aca="false">IF($B293=AL$1,1,0)</f>
        <v>0</v>
      </c>
      <c r="AM293" s="4" t="n">
        <f aca="false">IF($B293=AM$1,1,0)</f>
        <v>0</v>
      </c>
      <c r="AN293" s="4" t="n">
        <f aca="false">IF($B293=AN$1,1,0)</f>
        <v>0</v>
      </c>
      <c r="AO293" s="4" t="n">
        <f aca="false">IF($B293=AO$1,1,0)</f>
        <v>0</v>
      </c>
      <c r="AP293" s="4" t="n">
        <f aca="false">IF($B293=AP$1,1,0)</f>
        <v>0</v>
      </c>
      <c r="AQ293" s="4" t="n">
        <f aca="false">IF($B293=AQ$1,1,0)</f>
        <v>0</v>
      </c>
      <c r="AR293" s="4" t="n">
        <f aca="false">IF($B293=AR$1,1,0)</f>
        <v>0</v>
      </c>
      <c r="AS293" s="4" t="n">
        <f aca="false">IF($B293=AS$1,1,0)</f>
        <v>0</v>
      </c>
      <c r="AT293" s="4" t="n">
        <f aca="false">IF($B293=AT$1,1,0)</f>
        <v>0</v>
      </c>
      <c r="BB293" s="4" t="n">
        <f aca="false">A293</f>
        <v>292</v>
      </c>
      <c r="BC293" s="7" t="n">
        <f aca="false">ABS($T293-$AX$2)+ABS($U293-$AY$2)+ABS($V293-$AZ$2)</f>
        <v>8667.28873239437</v>
      </c>
      <c r="BD293" s="7" t="n">
        <f aca="false">ABS($T293-$AX$3)+ABS($U293-$AY$3)+ABS($V293-$AZ$3)</f>
        <v>15197.9661016949</v>
      </c>
      <c r="BE293" s="7" t="n">
        <f aca="false">ABS($T293-$AX$4)+ABS($U293-$AY$4)+ABS($V293-$AZ$4)</f>
        <v>46328.6037735849</v>
      </c>
      <c r="BF293" s="7" t="n">
        <f aca="false">MIN(BC293:BE293)</f>
        <v>8667.28873239437</v>
      </c>
      <c r="BG293" s="4" t="n">
        <f aca="false">MATCH(BF293,BC293:BE293,0)</f>
        <v>1</v>
      </c>
      <c r="BH293" s="8" t="n">
        <v>1</v>
      </c>
      <c r="BI293" s="4" t="n">
        <f aca="false">IF(BG293=BH293,0,1)</f>
        <v>0</v>
      </c>
      <c r="BK293" s="8" t="n">
        <v>2</v>
      </c>
      <c r="BL293" s="8" t="n">
        <v>1</v>
      </c>
      <c r="BM293" s="8" t="n">
        <v>1</v>
      </c>
    </row>
    <row r="294" customFormat="false" ht="15" hidden="false" customHeight="false" outlineLevel="0" collapsed="false">
      <c r="A294" s="3" t="n">
        <v>293</v>
      </c>
      <c r="B294" s="3" t="s">
        <v>42</v>
      </c>
      <c r="C294" s="3" t="n">
        <v>1</v>
      </c>
      <c r="D294" s="3" t="n">
        <v>1</v>
      </c>
      <c r="E294" s="3" t="n">
        <v>0</v>
      </c>
      <c r="F294" s="3" t="n">
        <v>0</v>
      </c>
      <c r="G294" s="3" t="n">
        <v>0</v>
      </c>
      <c r="H294" s="3" t="n">
        <v>5</v>
      </c>
      <c r="I294" s="3" t="n">
        <v>5</v>
      </c>
      <c r="J294" s="3" t="n">
        <v>5</v>
      </c>
      <c r="K294" s="3" t="n">
        <v>5</v>
      </c>
      <c r="L294" s="3" t="n">
        <v>5</v>
      </c>
      <c r="M294" s="3" t="n">
        <v>5</v>
      </c>
      <c r="N294" s="3" t="n">
        <v>5</v>
      </c>
      <c r="O294" s="3" t="n">
        <v>5</v>
      </c>
      <c r="P294" s="3" t="n">
        <v>5</v>
      </c>
      <c r="Q294" s="3" t="n">
        <v>5</v>
      </c>
      <c r="R294" s="3" t="n">
        <v>5</v>
      </c>
      <c r="S294" s="3" t="n">
        <v>5</v>
      </c>
      <c r="T294" s="3" t="n">
        <v>0</v>
      </c>
      <c r="U294" s="3" t="n">
        <v>32</v>
      </c>
      <c r="V294" s="3" t="n">
        <v>24397</v>
      </c>
      <c r="W294" s="3" t="n">
        <v>1</v>
      </c>
      <c r="X294" s="3" t="n">
        <v>4</v>
      </c>
      <c r="Y294" s="3" t="n">
        <v>2</v>
      </c>
      <c r="Z294" s="3" t="n">
        <v>2</v>
      </c>
      <c r="AA294" s="4" t="n">
        <f aca="false">IF($B294=AA$1,1,0)</f>
        <v>0</v>
      </c>
      <c r="AB294" s="4" t="n">
        <f aca="false">IF($B294=AB$1,1,0)</f>
        <v>0</v>
      </c>
      <c r="AC294" s="4" t="n">
        <f aca="false">IF($B294=AC$1,1,0)</f>
        <v>0</v>
      </c>
      <c r="AD294" s="4" t="n">
        <f aca="false">IF($B294=AD$1,1,0)</f>
        <v>0</v>
      </c>
      <c r="AE294" s="4" t="n">
        <f aca="false">IF($B294=AE$1,1,0)</f>
        <v>0</v>
      </c>
      <c r="AF294" s="4" t="n">
        <f aca="false">IF($B294=AF$1,1,0)</f>
        <v>0</v>
      </c>
      <c r="AG294" s="4" t="n">
        <f aca="false">IF($B294=AG$1,1,0)</f>
        <v>0</v>
      </c>
      <c r="AH294" s="4" t="n">
        <f aca="false">IF($B294=AH$1,1,0)</f>
        <v>0</v>
      </c>
      <c r="AI294" s="4" t="n">
        <f aca="false">IF($B294=AI$1,1,0)</f>
        <v>0</v>
      </c>
      <c r="AJ294" s="4" t="n">
        <f aca="false">IF($B294=AJ$1,1,0)</f>
        <v>0</v>
      </c>
      <c r="AK294" s="4" t="n">
        <f aca="false">IF($B294=AK$1,1,0)</f>
        <v>0</v>
      </c>
      <c r="AL294" s="4" t="n">
        <f aca="false">IF($B294=AL$1,1,0)</f>
        <v>0</v>
      </c>
      <c r="AM294" s="4" t="n">
        <f aca="false">IF($B294=AM$1,1,0)</f>
        <v>0</v>
      </c>
      <c r="AN294" s="4" t="n">
        <f aca="false">IF($B294=AN$1,1,0)</f>
        <v>0</v>
      </c>
      <c r="AO294" s="4" t="n">
        <f aca="false">IF($B294=AO$1,1,0)</f>
        <v>0</v>
      </c>
      <c r="AP294" s="4" t="n">
        <f aca="false">IF($B294=AP$1,1,0)</f>
        <v>0</v>
      </c>
      <c r="AQ294" s="4" t="n">
        <f aca="false">IF($B294=AQ$1,1,0)</f>
        <v>1</v>
      </c>
      <c r="AR294" s="4" t="n">
        <f aca="false">IF($B294=AR$1,1,0)</f>
        <v>0</v>
      </c>
      <c r="AS294" s="4" t="n">
        <f aca="false">IF($B294=AS$1,1,0)</f>
        <v>0</v>
      </c>
      <c r="AT294" s="4" t="n">
        <f aca="false">IF($B294=AT$1,1,0)</f>
        <v>0</v>
      </c>
      <c r="BB294" s="4" t="n">
        <f aca="false">A294</f>
        <v>293</v>
      </c>
      <c r="BC294" s="7" t="n">
        <f aca="false">ABS($T294-$AX$2)+ABS($U294-$AY$2)+ABS($V294-$AZ$2)</f>
        <v>1569.7676056338</v>
      </c>
      <c r="BD294" s="7" t="n">
        <f aca="false">ABS($T294-$AX$3)+ABS($U294-$AY$3)+ABS($V294-$AZ$3)</f>
        <v>22275.7288135593</v>
      </c>
      <c r="BE294" s="7" t="n">
        <f aca="false">ABS($T294-$AX$4)+ABS($U294-$AY$4)+ABS($V294-$AZ$4)</f>
        <v>53407.641509434</v>
      </c>
      <c r="BF294" s="7" t="n">
        <f aca="false">MIN(BC294:BE294)</f>
        <v>1569.7676056338</v>
      </c>
      <c r="BG294" s="4" t="n">
        <f aca="false">MATCH(BF294,BC294:BE294,0)</f>
        <v>1</v>
      </c>
      <c r="BH294" s="8" t="n">
        <v>1</v>
      </c>
      <c r="BI294" s="4" t="n">
        <f aca="false">IF(BG294=BH294,0,1)</f>
        <v>0</v>
      </c>
      <c r="BK294" s="8" t="n">
        <v>1</v>
      </c>
      <c r="BL294" s="8" t="n">
        <v>1</v>
      </c>
      <c r="BM294" s="8" t="n">
        <v>1</v>
      </c>
    </row>
    <row r="295" customFormat="false" ht="15" hidden="false" customHeight="false" outlineLevel="0" collapsed="false">
      <c r="A295" s="3" t="n">
        <v>294</v>
      </c>
      <c r="B295" s="3" t="s">
        <v>38</v>
      </c>
      <c r="C295" s="3" t="n">
        <v>1</v>
      </c>
      <c r="D295" s="3" t="n">
        <v>0</v>
      </c>
      <c r="E295" s="3" t="n">
        <v>1</v>
      </c>
      <c r="F295" s="3" t="n">
        <v>0</v>
      </c>
      <c r="G295" s="3" t="n">
        <v>0</v>
      </c>
      <c r="H295" s="3" t="n">
        <v>4</v>
      </c>
      <c r="I295" s="3" t="n">
        <v>4</v>
      </c>
      <c r="J295" s="3" t="n">
        <v>4</v>
      </c>
      <c r="K295" s="3" t="n">
        <v>4</v>
      </c>
      <c r="L295" s="3" t="n">
        <v>5</v>
      </c>
      <c r="M295" s="3" t="n">
        <v>4</v>
      </c>
      <c r="N295" s="3" t="n">
        <v>4</v>
      </c>
      <c r="O295" s="3" t="n">
        <v>5</v>
      </c>
      <c r="P295" s="3" t="n">
        <v>5</v>
      </c>
      <c r="Q295" s="3" t="n">
        <v>5</v>
      </c>
      <c r="R295" s="3" t="n">
        <v>5</v>
      </c>
      <c r="S295" s="3" t="n">
        <v>4</v>
      </c>
      <c r="T295" s="3" t="n">
        <v>0</v>
      </c>
      <c r="U295" s="3" t="n">
        <v>35</v>
      </c>
      <c r="V295" s="3" t="n">
        <v>20924</v>
      </c>
      <c r="W295" s="3" t="n">
        <v>1</v>
      </c>
      <c r="X295" s="3" t="n">
        <v>4</v>
      </c>
      <c r="Y295" s="3" t="n">
        <v>2</v>
      </c>
      <c r="Z295" s="3" t="n">
        <v>2</v>
      </c>
      <c r="AA295" s="4" t="n">
        <f aca="false">IF($B295=AA$1,1,0)</f>
        <v>0</v>
      </c>
      <c r="AB295" s="4" t="n">
        <f aca="false">IF($B295=AB$1,1,0)</f>
        <v>0</v>
      </c>
      <c r="AC295" s="4" t="n">
        <f aca="false">IF($B295=AC$1,1,0)</f>
        <v>0</v>
      </c>
      <c r="AD295" s="4" t="n">
        <f aca="false">IF($B295=AD$1,1,0)</f>
        <v>0</v>
      </c>
      <c r="AE295" s="4" t="n">
        <f aca="false">IF($B295=AE$1,1,0)</f>
        <v>0</v>
      </c>
      <c r="AF295" s="4" t="n">
        <f aca="false">IF($B295=AF$1,1,0)</f>
        <v>0</v>
      </c>
      <c r="AG295" s="4" t="n">
        <f aca="false">IF($B295=AG$1,1,0)</f>
        <v>0</v>
      </c>
      <c r="AH295" s="4" t="n">
        <f aca="false">IF($B295=AH$1,1,0)</f>
        <v>0</v>
      </c>
      <c r="AI295" s="4" t="n">
        <f aca="false">IF($B295=AI$1,1,0)</f>
        <v>0</v>
      </c>
      <c r="AJ295" s="4" t="n">
        <f aca="false">IF($B295=AJ$1,1,0)</f>
        <v>0</v>
      </c>
      <c r="AK295" s="4" t="n">
        <f aca="false">IF($B295=AK$1,1,0)</f>
        <v>0</v>
      </c>
      <c r="AL295" s="4" t="n">
        <f aca="false">IF($B295=AL$1,1,0)</f>
        <v>0</v>
      </c>
      <c r="AM295" s="4" t="n">
        <f aca="false">IF($B295=AM$1,1,0)</f>
        <v>1</v>
      </c>
      <c r="AN295" s="4" t="n">
        <f aca="false">IF($B295=AN$1,1,0)</f>
        <v>0</v>
      </c>
      <c r="AO295" s="4" t="n">
        <f aca="false">IF($B295=AO$1,1,0)</f>
        <v>0</v>
      </c>
      <c r="AP295" s="4" t="n">
        <f aca="false">IF($B295=AP$1,1,0)</f>
        <v>0</v>
      </c>
      <c r="AQ295" s="4" t="n">
        <f aca="false">IF($B295=AQ$1,1,0)</f>
        <v>0</v>
      </c>
      <c r="AR295" s="4" t="n">
        <f aca="false">IF($B295=AR$1,1,0)</f>
        <v>0</v>
      </c>
      <c r="AS295" s="4" t="n">
        <f aca="false">IF($B295=AS$1,1,0)</f>
        <v>0</v>
      </c>
      <c r="AT295" s="4" t="n">
        <f aca="false">IF($B295=AT$1,1,0)</f>
        <v>0</v>
      </c>
      <c r="BB295" s="4" t="n">
        <f aca="false">A295</f>
        <v>294</v>
      </c>
      <c r="BC295" s="7" t="n">
        <f aca="false">ABS($T295-$AX$2)+ABS($U295-$AY$2)+ABS($V295-$AZ$2)</f>
        <v>1914.14788732395</v>
      </c>
      <c r="BD295" s="7" t="n">
        <f aca="false">ABS($T295-$AX$3)+ABS($U295-$AY$3)+ABS($V295-$AZ$3)</f>
        <v>25745.7288135593</v>
      </c>
      <c r="BE295" s="7" t="n">
        <f aca="false">ABS($T295-$AX$4)+ABS($U295-$AY$4)+ABS($V295-$AZ$4)</f>
        <v>56877.641509434</v>
      </c>
      <c r="BF295" s="7" t="n">
        <f aca="false">MIN(BC295:BE295)</f>
        <v>1914.14788732395</v>
      </c>
      <c r="BG295" s="4" t="n">
        <f aca="false">MATCH(BF295,BC295:BE295,0)</f>
        <v>1</v>
      </c>
      <c r="BH295" s="8" t="n">
        <v>1</v>
      </c>
      <c r="BI295" s="4" t="n">
        <f aca="false">IF(BG295=BH295,0,1)</f>
        <v>0</v>
      </c>
      <c r="BK295" s="8" t="n">
        <v>1</v>
      </c>
      <c r="BL295" s="8" t="n">
        <v>1</v>
      </c>
      <c r="BM295" s="8" t="n">
        <v>1</v>
      </c>
    </row>
    <row r="296" customFormat="false" ht="15" hidden="false" customHeight="false" outlineLevel="0" collapsed="false">
      <c r="A296" s="3" t="n">
        <v>295</v>
      </c>
      <c r="B296" s="3" t="s">
        <v>35</v>
      </c>
      <c r="C296" s="3" t="n">
        <v>0</v>
      </c>
      <c r="D296" s="3" t="n">
        <v>0</v>
      </c>
      <c r="E296" s="3" t="n">
        <v>1</v>
      </c>
      <c r="F296" s="3" t="n">
        <v>0</v>
      </c>
      <c r="G296" s="3" t="n">
        <v>0</v>
      </c>
      <c r="H296" s="3" t="n">
        <v>5</v>
      </c>
      <c r="I296" s="3" t="n">
        <v>4</v>
      </c>
      <c r="J296" s="3" t="n">
        <v>4</v>
      </c>
      <c r="K296" s="3" t="n">
        <v>4</v>
      </c>
      <c r="L296" s="3" t="n">
        <v>5</v>
      </c>
      <c r="M296" s="3" t="n">
        <v>4</v>
      </c>
      <c r="N296" s="3" t="n">
        <v>4</v>
      </c>
      <c r="O296" s="3" t="n">
        <v>5</v>
      </c>
      <c r="P296" s="3" t="n">
        <v>3</v>
      </c>
      <c r="Q296" s="3" t="n">
        <v>4</v>
      </c>
      <c r="R296" s="3" t="n">
        <v>5</v>
      </c>
      <c r="S296" s="3" t="n">
        <v>4</v>
      </c>
      <c r="T296" s="3" t="n">
        <v>1</v>
      </c>
      <c r="U296" s="3" t="n">
        <v>45</v>
      </c>
      <c r="V296" s="3" t="n">
        <v>66648</v>
      </c>
      <c r="W296" s="3" t="n">
        <v>1</v>
      </c>
      <c r="X296" s="3" t="n">
        <v>4</v>
      </c>
      <c r="Y296" s="3" t="n">
        <v>1</v>
      </c>
      <c r="Z296" s="3" t="n">
        <v>2</v>
      </c>
      <c r="AA296" s="4" t="n">
        <f aca="false">IF($B296=AA$1,1,0)</f>
        <v>0</v>
      </c>
      <c r="AB296" s="4" t="n">
        <f aca="false">IF($B296=AB$1,1,0)</f>
        <v>0</v>
      </c>
      <c r="AC296" s="4" t="n">
        <f aca="false">IF($B296=AC$1,1,0)</f>
        <v>0</v>
      </c>
      <c r="AD296" s="4" t="n">
        <f aca="false">IF($B296=AD$1,1,0)</f>
        <v>0</v>
      </c>
      <c r="AE296" s="4" t="n">
        <f aca="false">IF($B296=AE$1,1,0)</f>
        <v>0</v>
      </c>
      <c r="AF296" s="4" t="n">
        <f aca="false">IF($B296=AF$1,1,0)</f>
        <v>0</v>
      </c>
      <c r="AG296" s="4" t="n">
        <f aca="false">IF($B296=AG$1,1,0)</f>
        <v>0</v>
      </c>
      <c r="AH296" s="4" t="n">
        <f aca="false">IF($B296=AH$1,1,0)</f>
        <v>0</v>
      </c>
      <c r="AI296" s="4" t="n">
        <f aca="false">IF($B296=AI$1,1,0)</f>
        <v>0</v>
      </c>
      <c r="AJ296" s="4" t="n">
        <f aca="false">IF($B296=AJ$1,1,0)</f>
        <v>1</v>
      </c>
      <c r="AK296" s="4" t="n">
        <f aca="false">IF($B296=AK$1,1,0)</f>
        <v>0</v>
      </c>
      <c r="AL296" s="4" t="n">
        <f aca="false">IF($B296=AL$1,1,0)</f>
        <v>0</v>
      </c>
      <c r="AM296" s="4" t="n">
        <f aca="false">IF($B296=AM$1,1,0)</f>
        <v>0</v>
      </c>
      <c r="AN296" s="4" t="n">
        <f aca="false">IF($B296=AN$1,1,0)</f>
        <v>0</v>
      </c>
      <c r="AO296" s="4" t="n">
        <f aca="false">IF($B296=AO$1,1,0)</f>
        <v>0</v>
      </c>
      <c r="AP296" s="4" t="n">
        <f aca="false">IF($B296=AP$1,1,0)</f>
        <v>0</v>
      </c>
      <c r="AQ296" s="4" t="n">
        <f aca="false">IF($B296=AQ$1,1,0)</f>
        <v>0</v>
      </c>
      <c r="AR296" s="4" t="n">
        <f aca="false">IF($B296=AR$1,1,0)</f>
        <v>0</v>
      </c>
      <c r="AS296" s="4" t="n">
        <f aca="false">IF($B296=AS$1,1,0)</f>
        <v>0</v>
      </c>
      <c r="AT296" s="4" t="n">
        <f aca="false">IF($B296=AT$1,1,0)</f>
        <v>0</v>
      </c>
      <c r="BB296" s="4" t="n">
        <f aca="false">A296</f>
        <v>295</v>
      </c>
      <c r="BC296" s="7" t="n">
        <f aca="false">ABS($T296-$AX$2)+ABS($U296-$AY$2)+ABS($V296-$AZ$2)</f>
        <v>43820.8521126761</v>
      </c>
      <c r="BD296" s="7" t="n">
        <f aca="false">ABS($T296-$AX$3)+ABS($U296-$AY$3)+ABS($V296-$AZ$3)</f>
        <v>19989.2711864407</v>
      </c>
      <c r="BE296" s="7" t="n">
        <f aca="false">ABS($T296-$AX$4)+ABS($U296-$AY$4)+ABS($V296-$AZ$4)</f>
        <v>11150.0754716981</v>
      </c>
      <c r="BF296" s="7" t="n">
        <f aca="false">MIN(BC296:BE296)</f>
        <v>11150.0754716981</v>
      </c>
      <c r="BG296" s="4" t="n">
        <f aca="false">MATCH(BF296,BC296:BE296,0)</f>
        <v>3</v>
      </c>
      <c r="BH296" s="8" t="n">
        <v>3</v>
      </c>
      <c r="BI296" s="4" t="n">
        <f aca="false">IF(BG296=BH296,0,1)</f>
        <v>0</v>
      </c>
      <c r="BK296" s="8" t="n">
        <v>3</v>
      </c>
      <c r="BL296" s="8" t="n">
        <v>3</v>
      </c>
      <c r="BM296" s="8" t="n">
        <v>3</v>
      </c>
    </row>
    <row r="297" customFormat="false" ht="15" hidden="false" customHeight="false" outlineLevel="0" collapsed="false">
      <c r="A297" s="3" t="n">
        <v>296</v>
      </c>
      <c r="B297" s="3" t="s">
        <v>31</v>
      </c>
      <c r="C297" s="3" t="n">
        <v>0</v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3</v>
      </c>
      <c r="I297" s="3" t="n">
        <v>4</v>
      </c>
      <c r="J297" s="3" t="n">
        <v>5</v>
      </c>
      <c r="K297" s="3" t="n">
        <v>4</v>
      </c>
      <c r="L297" s="3" t="n">
        <v>5</v>
      </c>
      <c r="M297" s="3" t="n">
        <v>5</v>
      </c>
      <c r="N297" s="3" t="n">
        <v>6</v>
      </c>
      <c r="O297" s="3" t="n">
        <v>3</v>
      </c>
      <c r="P297" s="3" t="n">
        <v>3</v>
      </c>
      <c r="Q297" s="3" t="n">
        <v>4</v>
      </c>
      <c r="R297" s="3" t="n">
        <v>4</v>
      </c>
      <c r="S297" s="3" t="n">
        <v>5</v>
      </c>
      <c r="T297" s="3" t="n">
        <v>0</v>
      </c>
      <c r="U297" s="3" t="n">
        <v>55</v>
      </c>
      <c r="V297" s="3" t="n">
        <v>57404</v>
      </c>
      <c r="W297" s="3" t="n">
        <v>2</v>
      </c>
      <c r="X297" s="3" t="n">
        <v>4</v>
      </c>
      <c r="Y297" s="3" t="n">
        <v>2</v>
      </c>
      <c r="Z297" s="3" t="n">
        <v>2</v>
      </c>
      <c r="AA297" s="4" t="n">
        <f aca="false">IF($B297=AA$1,1,0)</f>
        <v>0</v>
      </c>
      <c r="AB297" s="4" t="n">
        <f aca="false">IF($B297=AB$1,1,0)</f>
        <v>0</v>
      </c>
      <c r="AC297" s="4" t="n">
        <f aca="false">IF($B297=AC$1,1,0)</f>
        <v>0</v>
      </c>
      <c r="AD297" s="4" t="n">
        <f aca="false">IF($B297=AD$1,1,0)</f>
        <v>0</v>
      </c>
      <c r="AE297" s="4" t="n">
        <f aca="false">IF($B297=AE$1,1,0)</f>
        <v>0</v>
      </c>
      <c r="AF297" s="4" t="n">
        <f aca="false">IF($B297=AF$1,1,0)</f>
        <v>1</v>
      </c>
      <c r="AG297" s="4" t="n">
        <f aca="false">IF($B297=AG$1,1,0)</f>
        <v>0</v>
      </c>
      <c r="AH297" s="4" t="n">
        <f aca="false">IF($B297=AH$1,1,0)</f>
        <v>0</v>
      </c>
      <c r="AI297" s="4" t="n">
        <f aca="false">IF($B297=AI$1,1,0)</f>
        <v>0</v>
      </c>
      <c r="AJ297" s="4" t="n">
        <f aca="false">IF($B297=AJ$1,1,0)</f>
        <v>0</v>
      </c>
      <c r="AK297" s="4" t="n">
        <f aca="false">IF($B297=AK$1,1,0)</f>
        <v>0</v>
      </c>
      <c r="AL297" s="4" t="n">
        <f aca="false">IF($B297=AL$1,1,0)</f>
        <v>0</v>
      </c>
      <c r="AM297" s="4" t="n">
        <f aca="false">IF($B297=AM$1,1,0)</f>
        <v>0</v>
      </c>
      <c r="AN297" s="4" t="n">
        <f aca="false">IF($B297=AN$1,1,0)</f>
        <v>0</v>
      </c>
      <c r="AO297" s="4" t="n">
        <f aca="false">IF($B297=AO$1,1,0)</f>
        <v>0</v>
      </c>
      <c r="AP297" s="4" t="n">
        <f aca="false">IF($B297=AP$1,1,0)</f>
        <v>0</v>
      </c>
      <c r="AQ297" s="4" t="n">
        <f aca="false">IF($B297=AQ$1,1,0)</f>
        <v>0</v>
      </c>
      <c r="AR297" s="4" t="n">
        <f aca="false">IF($B297=AR$1,1,0)</f>
        <v>0</v>
      </c>
      <c r="AS297" s="4" t="n">
        <f aca="false">IF($B297=AS$1,1,0)</f>
        <v>0</v>
      </c>
      <c r="AT297" s="4" t="n">
        <f aca="false">IF($B297=AT$1,1,0)</f>
        <v>0</v>
      </c>
      <c r="BB297" s="4" t="n">
        <f aca="false">A297</f>
        <v>296</v>
      </c>
      <c r="BC297" s="7" t="n">
        <f aca="false">ABS($T297-$AX$2)+ABS($U297-$AY$2)+ABS($V297-$AZ$2)</f>
        <v>34586.2887323944</v>
      </c>
      <c r="BD297" s="7" t="n">
        <f aca="false">ABS($T297-$AX$3)+ABS($U297-$AY$3)+ABS($V297-$AZ$3)</f>
        <v>10754.6440677966</v>
      </c>
      <c r="BE297" s="7" t="n">
        <f aca="false">ABS($T297-$AX$4)+ABS($U297-$AY$4)+ABS($V297-$AZ$4)</f>
        <v>20403.6037735849</v>
      </c>
      <c r="BF297" s="7" t="n">
        <f aca="false">MIN(BC297:BE297)</f>
        <v>10754.6440677966</v>
      </c>
      <c r="BG297" s="4" t="n">
        <f aca="false">MATCH(BF297,BC297:BE297,0)</f>
        <v>2</v>
      </c>
      <c r="BH297" s="8" t="n">
        <v>2</v>
      </c>
      <c r="BI297" s="4" t="n">
        <f aca="false">IF(BG297=BH297,0,1)</f>
        <v>0</v>
      </c>
      <c r="BK297" s="8" t="n">
        <v>2</v>
      </c>
      <c r="BL297" s="8" t="n">
        <v>2</v>
      </c>
      <c r="BM297" s="8" t="n">
        <v>2</v>
      </c>
    </row>
    <row r="298" customFormat="false" ht="15" hidden="false" customHeight="false" outlineLevel="0" collapsed="false">
      <c r="A298" s="3" t="n">
        <v>297</v>
      </c>
      <c r="B298" s="3" t="s">
        <v>31</v>
      </c>
      <c r="C298" s="3" t="n">
        <v>1</v>
      </c>
      <c r="D298" s="3" t="n">
        <v>0</v>
      </c>
      <c r="E298" s="3" t="n">
        <v>0</v>
      </c>
      <c r="F298" s="3" t="n">
        <v>0</v>
      </c>
      <c r="G298" s="3" t="n">
        <v>0</v>
      </c>
      <c r="H298" s="3" t="n">
        <v>5</v>
      </c>
      <c r="I298" s="3" t="n">
        <v>5</v>
      </c>
      <c r="J298" s="3" t="n">
        <v>5</v>
      </c>
      <c r="K298" s="3" t="n">
        <v>5</v>
      </c>
      <c r="L298" s="3" t="n">
        <v>5</v>
      </c>
      <c r="M298" s="3" t="n">
        <v>5</v>
      </c>
      <c r="N298" s="3" t="n">
        <v>5</v>
      </c>
      <c r="O298" s="3" t="n">
        <v>5</v>
      </c>
      <c r="P298" s="3" t="n">
        <v>5</v>
      </c>
      <c r="Q298" s="3" t="n">
        <v>5</v>
      </c>
      <c r="R298" s="3" t="n">
        <v>5</v>
      </c>
      <c r="S298" s="3" t="n">
        <v>5</v>
      </c>
      <c r="T298" s="3" t="n">
        <v>0</v>
      </c>
      <c r="U298" s="3" t="n">
        <v>29</v>
      </c>
      <c r="V298" s="3" t="n">
        <v>15332</v>
      </c>
      <c r="W298" s="3" t="n">
        <v>1</v>
      </c>
      <c r="X298" s="3" t="n">
        <v>1</v>
      </c>
      <c r="Y298" s="3" t="n">
        <v>1</v>
      </c>
      <c r="Z298" s="3" t="n">
        <v>1</v>
      </c>
      <c r="AA298" s="4" t="n">
        <f aca="false">IF($B298=AA$1,1,0)</f>
        <v>0</v>
      </c>
      <c r="AB298" s="4" t="n">
        <f aca="false">IF($B298=AB$1,1,0)</f>
        <v>0</v>
      </c>
      <c r="AC298" s="4" t="n">
        <f aca="false">IF($B298=AC$1,1,0)</f>
        <v>0</v>
      </c>
      <c r="AD298" s="4" t="n">
        <f aca="false">IF($B298=AD$1,1,0)</f>
        <v>0</v>
      </c>
      <c r="AE298" s="4" t="n">
        <f aca="false">IF($B298=AE$1,1,0)</f>
        <v>0</v>
      </c>
      <c r="AF298" s="4" t="n">
        <f aca="false">IF($B298=AF$1,1,0)</f>
        <v>1</v>
      </c>
      <c r="AG298" s="4" t="n">
        <f aca="false">IF($B298=AG$1,1,0)</f>
        <v>0</v>
      </c>
      <c r="AH298" s="4" t="n">
        <f aca="false">IF($B298=AH$1,1,0)</f>
        <v>0</v>
      </c>
      <c r="AI298" s="4" t="n">
        <f aca="false">IF($B298=AI$1,1,0)</f>
        <v>0</v>
      </c>
      <c r="AJ298" s="4" t="n">
        <f aca="false">IF($B298=AJ$1,1,0)</f>
        <v>0</v>
      </c>
      <c r="AK298" s="4" t="n">
        <f aca="false">IF($B298=AK$1,1,0)</f>
        <v>0</v>
      </c>
      <c r="AL298" s="4" t="n">
        <f aca="false">IF($B298=AL$1,1,0)</f>
        <v>0</v>
      </c>
      <c r="AM298" s="4" t="n">
        <f aca="false">IF($B298=AM$1,1,0)</f>
        <v>0</v>
      </c>
      <c r="AN298" s="4" t="n">
        <f aca="false">IF($B298=AN$1,1,0)</f>
        <v>0</v>
      </c>
      <c r="AO298" s="4" t="n">
        <f aca="false">IF($B298=AO$1,1,0)</f>
        <v>0</v>
      </c>
      <c r="AP298" s="4" t="n">
        <f aca="false">IF($B298=AP$1,1,0)</f>
        <v>0</v>
      </c>
      <c r="AQ298" s="4" t="n">
        <f aca="false">IF($B298=AQ$1,1,0)</f>
        <v>0</v>
      </c>
      <c r="AR298" s="4" t="n">
        <f aca="false">IF($B298=AR$1,1,0)</f>
        <v>0</v>
      </c>
      <c r="AS298" s="4" t="n">
        <f aca="false">IF($B298=AS$1,1,0)</f>
        <v>0</v>
      </c>
      <c r="AT298" s="4" t="n">
        <f aca="false">IF($B298=AT$1,1,0)</f>
        <v>0</v>
      </c>
      <c r="BB298" s="4" t="n">
        <f aca="false">A298</f>
        <v>297</v>
      </c>
      <c r="BC298" s="7" t="n">
        <f aca="false">ABS($T298-$AX$2)+ABS($U298-$AY$2)+ABS($V298-$AZ$2)</f>
        <v>7512.14788732395</v>
      </c>
      <c r="BD298" s="7" t="n">
        <f aca="false">ABS($T298-$AX$3)+ABS($U298-$AY$3)+ABS($V298-$AZ$3)</f>
        <v>31343.7288135593</v>
      </c>
      <c r="BE298" s="7" t="n">
        <f aca="false">ABS($T298-$AX$4)+ABS($U298-$AY$4)+ABS($V298-$AZ$4)</f>
        <v>62475.641509434</v>
      </c>
      <c r="BF298" s="7" t="n">
        <f aca="false">MIN(BC298:BE298)</f>
        <v>7512.14788732395</v>
      </c>
      <c r="BG298" s="4" t="n">
        <f aca="false">MATCH(BF298,BC298:BE298,0)</f>
        <v>1</v>
      </c>
      <c r="BH298" s="8" t="n">
        <v>1</v>
      </c>
      <c r="BI298" s="4" t="n">
        <f aca="false">IF(BG298=BH298,0,1)</f>
        <v>0</v>
      </c>
      <c r="BK298" s="8" t="n">
        <v>1</v>
      </c>
      <c r="BL298" s="8" t="n">
        <v>1</v>
      </c>
      <c r="BM298" s="8" t="n">
        <v>1</v>
      </c>
    </row>
    <row r="299" customFormat="false" ht="15" hidden="false" customHeight="false" outlineLevel="0" collapsed="false">
      <c r="A299" s="3" t="n">
        <v>298</v>
      </c>
      <c r="B299" s="3" t="s">
        <v>30</v>
      </c>
      <c r="C299" s="3" t="n">
        <v>1</v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4</v>
      </c>
      <c r="I299" s="3" t="n">
        <v>3</v>
      </c>
      <c r="J299" s="3" t="n">
        <v>4</v>
      </c>
      <c r="K299" s="3" t="n">
        <v>5</v>
      </c>
      <c r="L299" s="3" t="n">
        <v>5</v>
      </c>
      <c r="M299" s="3" t="n">
        <v>4</v>
      </c>
      <c r="N299" s="3" t="n">
        <v>4</v>
      </c>
      <c r="O299" s="3" t="n">
        <v>3</v>
      </c>
      <c r="P299" s="3" t="n">
        <v>4</v>
      </c>
      <c r="Q299" s="3" t="n">
        <v>5</v>
      </c>
      <c r="R299" s="3" t="n">
        <v>5</v>
      </c>
      <c r="S299" s="3" t="n">
        <v>4</v>
      </c>
      <c r="T299" s="3" t="n">
        <v>0</v>
      </c>
      <c r="U299" s="3" t="n">
        <v>24</v>
      </c>
      <c r="V299" s="3" t="n">
        <v>10157</v>
      </c>
      <c r="W299" s="3" t="n">
        <v>2</v>
      </c>
      <c r="X299" s="3" t="n">
        <v>2</v>
      </c>
      <c r="Y299" s="3" t="n">
        <v>2</v>
      </c>
      <c r="Z299" s="3" t="n">
        <v>1</v>
      </c>
      <c r="AA299" s="4" t="n">
        <f aca="false">IF($B299=AA$1,1,0)</f>
        <v>0</v>
      </c>
      <c r="AB299" s="4" t="n">
        <f aca="false">IF($B299=AB$1,1,0)</f>
        <v>0</v>
      </c>
      <c r="AC299" s="4" t="n">
        <f aca="false">IF($B299=AC$1,1,0)</f>
        <v>0</v>
      </c>
      <c r="AD299" s="4" t="n">
        <f aca="false">IF($B299=AD$1,1,0)</f>
        <v>0</v>
      </c>
      <c r="AE299" s="4" t="n">
        <f aca="false">IF($B299=AE$1,1,0)</f>
        <v>1</v>
      </c>
      <c r="AF299" s="4" t="n">
        <f aca="false">IF($B299=AF$1,1,0)</f>
        <v>0</v>
      </c>
      <c r="AG299" s="4" t="n">
        <f aca="false">IF($B299=AG$1,1,0)</f>
        <v>0</v>
      </c>
      <c r="AH299" s="4" t="n">
        <f aca="false">IF($B299=AH$1,1,0)</f>
        <v>0</v>
      </c>
      <c r="AI299" s="4" t="n">
        <f aca="false">IF($B299=AI$1,1,0)</f>
        <v>0</v>
      </c>
      <c r="AJ299" s="4" t="n">
        <f aca="false">IF($B299=AJ$1,1,0)</f>
        <v>0</v>
      </c>
      <c r="AK299" s="4" t="n">
        <f aca="false">IF($B299=AK$1,1,0)</f>
        <v>0</v>
      </c>
      <c r="AL299" s="4" t="n">
        <f aca="false">IF($B299=AL$1,1,0)</f>
        <v>0</v>
      </c>
      <c r="AM299" s="4" t="n">
        <f aca="false">IF($B299=AM$1,1,0)</f>
        <v>0</v>
      </c>
      <c r="AN299" s="4" t="n">
        <f aca="false">IF($B299=AN$1,1,0)</f>
        <v>0</v>
      </c>
      <c r="AO299" s="4" t="n">
        <f aca="false">IF($B299=AO$1,1,0)</f>
        <v>0</v>
      </c>
      <c r="AP299" s="4" t="n">
        <f aca="false">IF($B299=AP$1,1,0)</f>
        <v>0</v>
      </c>
      <c r="AQ299" s="4" t="n">
        <f aca="false">IF($B299=AQ$1,1,0)</f>
        <v>0</v>
      </c>
      <c r="AR299" s="4" t="n">
        <f aca="false">IF($B299=AR$1,1,0)</f>
        <v>0</v>
      </c>
      <c r="AS299" s="4" t="n">
        <f aca="false">IF($B299=AS$1,1,0)</f>
        <v>0</v>
      </c>
      <c r="AT299" s="4" t="n">
        <f aca="false">IF($B299=AT$1,1,0)</f>
        <v>0</v>
      </c>
      <c r="BB299" s="4" t="n">
        <f aca="false">A299</f>
        <v>298</v>
      </c>
      <c r="BC299" s="7" t="n">
        <f aca="false">ABS($T299-$AX$2)+ABS($U299-$AY$2)+ABS($V299-$AZ$2)</f>
        <v>12692.1478873239</v>
      </c>
      <c r="BD299" s="7" t="n">
        <f aca="false">ABS($T299-$AX$3)+ABS($U299-$AY$3)+ABS($V299-$AZ$3)</f>
        <v>36523.7288135593</v>
      </c>
      <c r="BE299" s="7" t="n">
        <f aca="false">ABS($T299-$AX$4)+ABS($U299-$AY$4)+ABS($V299-$AZ$4)</f>
        <v>67655.641509434</v>
      </c>
      <c r="BF299" s="7" t="n">
        <f aca="false">MIN(BC299:BE299)</f>
        <v>12692.1478873239</v>
      </c>
      <c r="BG299" s="4" t="n">
        <f aca="false">MATCH(BF299,BC299:BE299,0)</f>
        <v>1</v>
      </c>
      <c r="BH299" s="8" t="n">
        <v>1</v>
      </c>
      <c r="BI299" s="4" t="n">
        <f aca="false">IF(BG299=BH299,0,1)</f>
        <v>0</v>
      </c>
      <c r="BK299" s="8" t="n">
        <v>1</v>
      </c>
      <c r="BL299" s="8" t="n">
        <v>1</v>
      </c>
      <c r="BM299" s="8" t="n">
        <v>1</v>
      </c>
    </row>
    <row r="300" customFormat="false" ht="15" hidden="false" customHeight="false" outlineLevel="0" collapsed="false">
      <c r="A300" s="3" t="n">
        <v>299</v>
      </c>
      <c r="B300" s="3" t="s">
        <v>31</v>
      </c>
      <c r="C300" s="3" t="n">
        <v>1</v>
      </c>
      <c r="D300" s="3" t="n">
        <v>0</v>
      </c>
      <c r="E300" s="3" t="n">
        <v>0</v>
      </c>
      <c r="F300" s="3" t="n">
        <v>0</v>
      </c>
      <c r="G300" s="3" t="n">
        <v>1</v>
      </c>
      <c r="H300" s="3" t="n">
        <v>5</v>
      </c>
      <c r="I300" s="3" t="n">
        <v>5</v>
      </c>
      <c r="J300" s="3" t="n">
        <v>5</v>
      </c>
      <c r="K300" s="3" t="n">
        <v>5</v>
      </c>
      <c r="L300" s="3" t="n">
        <v>5</v>
      </c>
      <c r="M300" s="3" t="n">
        <v>4</v>
      </c>
      <c r="N300" s="3" t="n">
        <v>5</v>
      </c>
      <c r="O300" s="3" t="n">
        <v>5</v>
      </c>
      <c r="P300" s="3" t="n">
        <v>3</v>
      </c>
      <c r="Q300" s="3" t="n">
        <v>3</v>
      </c>
      <c r="R300" s="3" t="n">
        <v>5</v>
      </c>
      <c r="S300" s="3" t="n">
        <v>4</v>
      </c>
      <c r="T300" s="3" t="n">
        <v>0</v>
      </c>
      <c r="U300" s="3" t="n">
        <v>56</v>
      </c>
      <c r="V300" s="3" t="n">
        <v>25152</v>
      </c>
      <c r="W300" s="3" t="n">
        <v>5</v>
      </c>
      <c r="X300" s="3" t="n">
        <v>5</v>
      </c>
      <c r="Y300" s="3" t="n">
        <v>5</v>
      </c>
      <c r="Z300" s="3" t="n">
        <v>5</v>
      </c>
      <c r="AA300" s="4" t="n">
        <f aca="false">IF($B300=AA$1,1,0)</f>
        <v>0</v>
      </c>
      <c r="AB300" s="4" t="n">
        <f aca="false">IF($B300=AB$1,1,0)</f>
        <v>0</v>
      </c>
      <c r="AC300" s="4" t="n">
        <f aca="false">IF($B300=AC$1,1,0)</f>
        <v>0</v>
      </c>
      <c r="AD300" s="4" t="n">
        <f aca="false">IF($B300=AD$1,1,0)</f>
        <v>0</v>
      </c>
      <c r="AE300" s="4" t="n">
        <f aca="false">IF($B300=AE$1,1,0)</f>
        <v>0</v>
      </c>
      <c r="AF300" s="4" t="n">
        <f aca="false">IF($B300=AF$1,1,0)</f>
        <v>1</v>
      </c>
      <c r="AG300" s="4" t="n">
        <f aca="false">IF($B300=AG$1,1,0)</f>
        <v>0</v>
      </c>
      <c r="AH300" s="4" t="n">
        <f aca="false">IF($B300=AH$1,1,0)</f>
        <v>0</v>
      </c>
      <c r="AI300" s="4" t="n">
        <f aca="false">IF($B300=AI$1,1,0)</f>
        <v>0</v>
      </c>
      <c r="AJ300" s="4" t="n">
        <f aca="false">IF($B300=AJ$1,1,0)</f>
        <v>0</v>
      </c>
      <c r="AK300" s="4" t="n">
        <f aca="false">IF($B300=AK$1,1,0)</f>
        <v>0</v>
      </c>
      <c r="AL300" s="4" t="n">
        <f aca="false">IF($B300=AL$1,1,0)</f>
        <v>0</v>
      </c>
      <c r="AM300" s="4" t="n">
        <f aca="false">IF($B300=AM$1,1,0)</f>
        <v>0</v>
      </c>
      <c r="AN300" s="4" t="n">
        <f aca="false">IF($B300=AN$1,1,0)</f>
        <v>0</v>
      </c>
      <c r="AO300" s="4" t="n">
        <f aca="false">IF($B300=AO$1,1,0)</f>
        <v>0</v>
      </c>
      <c r="AP300" s="4" t="n">
        <f aca="false">IF($B300=AP$1,1,0)</f>
        <v>0</v>
      </c>
      <c r="AQ300" s="4" t="n">
        <f aca="false">IF($B300=AQ$1,1,0)</f>
        <v>0</v>
      </c>
      <c r="AR300" s="4" t="n">
        <f aca="false">IF($B300=AR$1,1,0)</f>
        <v>0</v>
      </c>
      <c r="AS300" s="4" t="n">
        <f aca="false">IF($B300=AS$1,1,0)</f>
        <v>0</v>
      </c>
      <c r="AT300" s="4" t="n">
        <f aca="false">IF($B300=AT$1,1,0)</f>
        <v>0</v>
      </c>
      <c r="BB300" s="4" t="n">
        <f aca="false">A300</f>
        <v>299</v>
      </c>
      <c r="BC300" s="7" t="n">
        <f aca="false">ABS($T300-$AX$2)+ABS($U300-$AY$2)+ABS($V300-$AZ$2)</f>
        <v>2335.28873239436</v>
      </c>
      <c r="BD300" s="7" t="n">
        <f aca="false">ABS($T300-$AX$3)+ABS($U300-$AY$3)+ABS($V300-$AZ$3)</f>
        <v>21525.9661016949</v>
      </c>
      <c r="BE300" s="7" t="n">
        <f aca="false">ABS($T300-$AX$4)+ABS($U300-$AY$4)+ABS($V300-$AZ$4)</f>
        <v>52656.6037735849</v>
      </c>
      <c r="BF300" s="7" t="n">
        <f aca="false">MIN(BC300:BE300)</f>
        <v>2335.28873239436</v>
      </c>
      <c r="BG300" s="4" t="n">
        <f aca="false">MATCH(BF300,BC300:BE300,0)</f>
        <v>1</v>
      </c>
      <c r="BH300" s="8" t="n">
        <v>1</v>
      </c>
      <c r="BI300" s="4" t="n">
        <f aca="false">IF(BG300=BH300,0,1)</f>
        <v>0</v>
      </c>
      <c r="BK300" s="8" t="n">
        <v>1</v>
      </c>
      <c r="BL300" s="8" t="n">
        <v>1</v>
      </c>
      <c r="BM300" s="8" t="n">
        <v>1</v>
      </c>
    </row>
    <row r="301" customFormat="false" ht="15" hidden="false" customHeight="false" outlineLevel="0" collapsed="false">
      <c r="A301" s="3" t="n">
        <v>300</v>
      </c>
      <c r="B301" s="3" t="s">
        <v>42</v>
      </c>
      <c r="C301" s="3" t="n">
        <v>1</v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4</v>
      </c>
      <c r="I301" s="3" t="n">
        <v>4</v>
      </c>
      <c r="J301" s="3" t="n">
        <v>4</v>
      </c>
      <c r="K301" s="3" t="n">
        <v>4</v>
      </c>
      <c r="L301" s="3" t="n">
        <v>5</v>
      </c>
      <c r="M301" s="3" t="n">
        <v>4</v>
      </c>
      <c r="N301" s="3" t="n">
        <v>5</v>
      </c>
      <c r="O301" s="3" t="n">
        <v>4</v>
      </c>
      <c r="P301" s="3" t="n">
        <v>3</v>
      </c>
      <c r="Q301" s="3" t="n">
        <v>4</v>
      </c>
      <c r="R301" s="3" t="n">
        <v>5</v>
      </c>
      <c r="S301" s="3" t="n">
        <v>4</v>
      </c>
      <c r="T301" s="3" t="n">
        <v>0</v>
      </c>
      <c r="U301" s="3" t="n">
        <v>33</v>
      </c>
      <c r="V301" s="3" t="n">
        <v>27529</v>
      </c>
      <c r="W301" s="3" t="n">
        <v>2</v>
      </c>
      <c r="X301" s="3" t="n">
        <v>4</v>
      </c>
      <c r="Y301" s="3" t="n">
        <v>1</v>
      </c>
      <c r="Z301" s="3" t="n">
        <v>1</v>
      </c>
      <c r="AA301" s="4" t="n">
        <f aca="false">IF($B301=AA$1,1,0)</f>
        <v>0</v>
      </c>
      <c r="AB301" s="4" t="n">
        <f aca="false">IF($B301=AB$1,1,0)</f>
        <v>0</v>
      </c>
      <c r="AC301" s="4" t="n">
        <f aca="false">IF($B301=AC$1,1,0)</f>
        <v>0</v>
      </c>
      <c r="AD301" s="4" t="n">
        <f aca="false">IF($B301=AD$1,1,0)</f>
        <v>0</v>
      </c>
      <c r="AE301" s="4" t="n">
        <f aca="false">IF($B301=AE$1,1,0)</f>
        <v>0</v>
      </c>
      <c r="AF301" s="4" t="n">
        <f aca="false">IF($B301=AF$1,1,0)</f>
        <v>0</v>
      </c>
      <c r="AG301" s="4" t="n">
        <f aca="false">IF($B301=AG$1,1,0)</f>
        <v>0</v>
      </c>
      <c r="AH301" s="4" t="n">
        <f aca="false">IF($B301=AH$1,1,0)</f>
        <v>0</v>
      </c>
      <c r="AI301" s="4" t="n">
        <f aca="false">IF($B301=AI$1,1,0)</f>
        <v>0</v>
      </c>
      <c r="AJ301" s="4" t="n">
        <f aca="false">IF($B301=AJ$1,1,0)</f>
        <v>0</v>
      </c>
      <c r="AK301" s="4" t="n">
        <f aca="false">IF($B301=AK$1,1,0)</f>
        <v>0</v>
      </c>
      <c r="AL301" s="4" t="n">
        <f aca="false">IF($B301=AL$1,1,0)</f>
        <v>0</v>
      </c>
      <c r="AM301" s="4" t="n">
        <f aca="false">IF($B301=AM$1,1,0)</f>
        <v>0</v>
      </c>
      <c r="AN301" s="4" t="n">
        <f aca="false">IF($B301=AN$1,1,0)</f>
        <v>0</v>
      </c>
      <c r="AO301" s="4" t="n">
        <f aca="false">IF($B301=AO$1,1,0)</f>
        <v>0</v>
      </c>
      <c r="AP301" s="4" t="n">
        <f aca="false">IF($B301=AP$1,1,0)</f>
        <v>0</v>
      </c>
      <c r="AQ301" s="4" t="n">
        <f aca="false">IF($B301=AQ$1,1,0)</f>
        <v>1</v>
      </c>
      <c r="AR301" s="4" t="n">
        <f aca="false">IF($B301=AR$1,1,0)</f>
        <v>0</v>
      </c>
      <c r="AS301" s="4" t="n">
        <f aca="false">IF($B301=AS$1,1,0)</f>
        <v>0</v>
      </c>
      <c r="AT301" s="4" t="n">
        <f aca="false">IF($B301=AT$1,1,0)</f>
        <v>0</v>
      </c>
      <c r="BB301" s="4" t="n">
        <f aca="false">A301</f>
        <v>300</v>
      </c>
      <c r="BC301" s="7" t="n">
        <f aca="false">ABS($T301-$AX$2)+ABS($U301-$AY$2)+ABS($V301-$AZ$2)</f>
        <v>4700.7676056338</v>
      </c>
      <c r="BD301" s="7" t="n">
        <f aca="false">ABS($T301-$AX$3)+ABS($U301-$AY$3)+ABS($V301-$AZ$3)</f>
        <v>19142.7288135593</v>
      </c>
      <c r="BE301" s="7" t="n">
        <f aca="false">ABS($T301-$AX$4)+ABS($U301-$AY$4)+ABS($V301-$AZ$4)</f>
        <v>50274.641509434</v>
      </c>
      <c r="BF301" s="7" t="n">
        <f aca="false">MIN(BC301:BE301)</f>
        <v>4700.7676056338</v>
      </c>
      <c r="BG301" s="4" t="n">
        <f aca="false">MATCH(BF301,BC301:BE301,0)</f>
        <v>1</v>
      </c>
      <c r="BH301" s="8" t="n">
        <v>1</v>
      </c>
      <c r="BI301" s="4" t="n">
        <f aca="false">IF(BG301=BH301,0,1)</f>
        <v>0</v>
      </c>
      <c r="BK301" s="8" t="n">
        <v>1</v>
      </c>
      <c r="BL301" s="8" t="n">
        <v>1</v>
      </c>
      <c r="BM301" s="8" t="n">
        <v>1</v>
      </c>
    </row>
    <row r="302" customFormat="false" ht="15" hidden="false" customHeight="false" outlineLevel="0" collapsed="false">
      <c r="A302" s="3" t="n">
        <v>301</v>
      </c>
      <c r="B302" s="3" t="s">
        <v>31</v>
      </c>
      <c r="C302" s="3" t="n">
        <v>0</v>
      </c>
      <c r="D302" s="3" t="n">
        <v>0</v>
      </c>
      <c r="E302" s="3" t="n">
        <v>0</v>
      </c>
      <c r="F302" s="3" t="n">
        <v>0</v>
      </c>
      <c r="G302" s="3" t="n">
        <v>0</v>
      </c>
      <c r="H302" s="3" t="n">
        <v>5</v>
      </c>
      <c r="I302" s="3" t="n">
        <v>5</v>
      </c>
      <c r="J302" s="3" t="n">
        <v>5</v>
      </c>
      <c r="K302" s="3" t="n">
        <v>5</v>
      </c>
      <c r="L302" s="3" t="n">
        <v>5</v>
      </c>
      <c r="M302" s="3" t="n">
        <v>5</v>
      </c>
      <c r="N302" s="3" t="n">
        <v>5</v>
      </c>
      <c r="O302" s="3" t="n">
        <v>5</v>
      </c>
      <c r="P302" s="3" t="n">
        <v>5</v>
      </c>
      <c r="Q302" s="3" t="n">
        <v>5</v>
      </c>
      <c r="R302" s="3" t="n">
        <v>5</v>
      </c>
      <c r="S302" s="3" t="n">
        <v>5</v>
      </c>
      <c r="T302" s="3" t="n">
        <v>0</v>
      </c>
      <c r="U302" s="3" t="n">
        <v>19</v>
      </c>
      <c r="V302" s="3" t="n">
        <v>63255</v>
      </c>
      <c r="W302" s="3" t="n">
        <v>1</v>
      </c>
      <c r="X302" s="3" t="n">
        <v>1</v>
      </c>
      <c r="Y302" s="3" t="n">
        <v>1</v>
      </c>
      <c r="Z302" s="3" t="n">
        <v>1</v>
      </c>
      <c r="AA302" s="4" t="n">
        <f aca="false">IF($B302=AA$1,1,0)</f>
        <v>0</v>
      </c>
      <c r="AB302" s="4" t="n">
        <f aca="false">IF($B302=AB$1,1,0)</f>
        <v>0</v>
      </c>
      <c r="AC302" s="4" t="n">
        <f aca="false">IF($B302=AC$1,1,0)</f>
        <v>0</v>
      </c>
      <c r="AD302" s="4" t="n">
        <f aca="false">IF($B302=AD$1,1,0)</f>
        <v>0</v>
      </c>
      <c r="AE302" s="4" t="n">
        <f aca="false">IF($B302=AE$1,1,0)</f>
        <v>0</v>
      </c>
      <c r="AF302" s="4" t="n">
        <f aca="false">IF($B302=AF$1,1,0)</f>
        <v>1</v>
      </c>
      <c r="AG302" s="4" t="n">
        <f aca="false">IF($B302=AG$1,1,0)</f>
        <v>0</v>
      </c>
      <c r="AH302" s="4" t="n">
        <f aca="false">IF($B302=AH$1,1,0)</f>
        <v>0</v>
      </c>
      <c r="AI302" s="4" t="n">
        <f aca="false">IF($B302=AI$1,1,0)</f>
        <v>0</v>
      </c>
      <c r="AJ302" s="4" t="n">
        <f aca="false">IF($B302=AJ$1,1,0)</f>
        <v>0</v>
      </c>
      <c r="AK302" s="4" t="n">
        <f aca="false">IF($B302=AK$1,1,0)</f>
        <v>0</v>
      </c>
      <c r="AL302" s="4" t="n">
        <f aca="false">IF($B302=AL$1,1,0)</f>
        <v>0</v>
      </c>
      <c r="AM302" s="4" t="n">
        <f aca="false">IF($B302=AM$1,1,0)</f>
        <v>0</v>
      </c>
      <c r="AN302" s="4" t="n">
        <f aca="false">IF($B302=AN$1,1,0)</f>
        <v>0</v>
      </c>
      <c r="AO302" s="4" t="n">
        <f aca="false">IF($B302=AO$1,1,0)</f>
        <v>0</v>
      </c>
      <c r="AP302" s="4" t="n">
        <f aca="false">IF($B302=AP$1,1,0)</f>
        <v>0</v>
      </c>
      <c r="AQ302" s="4" t="n">
        <f aca="false">IF($B302=AQ$1,1,0)</f>
        <v>0</v>
      </c>
      <c r="AR302" s="4" t="n">
        <f aca="false">IF($B302=AR$1,1,0)</f>
        <v>0</v>
      </c>
      <c r="AS302" s="4" t="n">
        <f aca="false">IF($B302=AS$1,1,0)</f>
        <v>0</v>
      </c>
      <c r="AT302" s="4" t="n">
        <f aca="false">IF($B302=AT$1,1,0)</f>
        <v>0</v>
      </c>
      <c r="BB302" s="4" t="n">
        <f aca="false">A302</f>
        <v>301</v>
      </c>
      <c r="BC302" s="7" t="n">
        <f aca="false">ABS($T302-$AX$2)+ABS($U302-$AY$2)+ABS($V302-$AZ$2)</f>
        <v>40440.7676056338</v>
      </c>
      <c r="BD302" s="7" t="n">
        <f aca="false">ABS($T302-$AX$3)+ABS($U302-$AY$3)+ABS($V302-$AZ$3)</f>
        <v>16614.406779661</v>
      </c>
      <c r="BE302" s="7" t="n">
        <f aca="false">ABS($T302-$AX$4)+ABS($U302-$AY$4)+ABS($V302-$AZ$4)</f>
        <v>14562.641509434</v>
      </c>
      <c r="BF302" s="7" t="n">
        <f aca="false">MIN(BC302:BE302)</f>
        <v>14562.641509434</v>
      </c>
      <c r="BG302" s="4" t="n">
        <f aca="false">MATCH(BF302,BC302:BE302,0)</f>
        <v>3</v>
      </c>
      <c r="BH302" s="8" t="n">
        <v>3</v>
      </c>
      <c r="BI302" s="4" t="n">
        <f aca="false">IF(BG302=BH302,0,1)</f>
        <v>0</v>
      </c>
      <c r="BK302" s="8" t="n">
        <v>2</v>
      </c>
      <c r="BL302" s="8" t="n">
        <v>3</v>
      </c>
      <c r="BM302" s="8" t="n">
        <v>3</v>
      </c>
    </row>
    <row r="303" customFormat="false" ht="15" hidden="false" customHeight="false" outlineLevel="0" collapsed="false">
      <c r="A303" s="3" t="n">
        <v>302</v>
      </c>
      <c r="B303" s="3" t="s">
        <v>31</v>
      </c>
      <c r="C303" s="3" t="n">
        <v>0</v>
      </c>
      <c r="D303" s="3" t="n">
        <v>1</v>
      </c>
      <c r="E303" s="3" t="n">
        <v>1</v>
      </c>
      <c r="F303" s="3" t="n">
        <v>0</v>
      </c>
      <c r="G303" s="3" t="n">
        <v>0</v>
      </c>
      <c r="H303" s="3" t="n">
        <v>5</v>
      </c>
      <c r="I303" s="3" t="n">
        <v>3</v>
      </c>
      <c r="J303" s="3" t="n">
        <v>5</v>
      </c>
      <c r="K303" s="3" t="n">
        <v>4</v>
      </c>
      <c r="L303" s="3" t="n">
        <v>5</v>
      </c>
      <c r="M303" s="3" t="n">
        <v>4</v>
      </c>
      <c r="N303" s="3" t="n">
        <v>3</v>
      </c>
      <c r="O303" s="3" t="n">
        <v>3</v>
      </c>
      <c r="P303" s="3" t="n">
        <v>2</v>
      </c>
      <c r="Q303" s="3" t="n">
        <v>5</v>
      </c>
      <c r="R303" s="3" t="n">
        <v>5</v>
      </c>
      <c r="S303" s="3" t="n">
        <v>2</v>
      </c>
      <c r="T303" s="3" t="n">
        <v>1</v>
      </c>
      <c r="U303" s="3" t="n">
        <v>55</v>
      </c>
      <c r="V303" s="3" t="n">
        <v>67983</v>
      </c>
      <c r="W303" s="3" t="n">
        <v>2</v>
      </c>
      <c r="X303" s="3" t="n">
        <v>4</v>
      </c>
      <c r="Y303" s="3" t="n">
        <v>2</v>
      </c>
      <c r="Z303" s="3" t="n">
        <v>1</v>
      </c>
      <c r="AA303" s="4" t="n">
        <f aca="false">IF($B303=AA$1,1,0)</f>
        <v>0</v>
      </c>
      <c r="AB303" s="4" t="n">
        <f aca="false">IF($B303=AB$1,1,0)</f>
        <v>0</v>
      </c>
      <c r="AC303" s="4" t="n">
        <f aca="false">IF($B303=AC$1,1,0)</f>
        <v>0</v>
      </c>
      <c r="AD303" s="4" t="n">
        <f aca="false">IF($B303=AD$1,1,0)</f>
        <v>0</v>
      </c>
      <c r="AE303" s="4" t="n">
        <f aca="false">IF($B303=AE$1,1,0)</f>
        <v>0</v>
      </c>
      <c r="AF303" s="4" t="n">
        <f aca="false">IF($B303=AF$1,1,0)</f>
        <v>1</v>
      </c>
      <c r="AG303" s="4" t="n">
        <f aca="false">IF($B303=AG$1,1,0)</f>
        <v>0</v>
      </c>
      <c r="AH303" s="4" t="n">
        <f aca="false">IF($B303=AH$1,1,0)</f>
        <v>0</v>
      </c>
      <c r="AI303" s="4" t="n">
        <f aca="false">IF($B303=AI$1,1,0)</f>
        <v>0</v>
      </c>
      <c r="AJ303" s="4" t="n">
        <f aca="false">IF($B303=AJ$1,1,0)</f>
        <v>0</v>
      </c>
      <c r="AK303" s="4" t="n">
        <f aca="false">IF($B303=AK$1,1,0)</f>
        <v>0</v>
      </c>
      <c r="AL303" s="4" t="n">
        <f aca="false">IF($B303=AL$1,1,0)</f>
        <v>0</v>
      </c>
      <c r="AM303" s="4" t="n">
        <f aca="false">IF($B303=AM$1,1,0)</f>
        <v>0</v>
      </c>
      <c r="AN303" s="4" t="n">
        <f aca="false">IF($B303=AN$1,1,0)</f>
        <v>0</v>
      </c>
      <c r="AO303" s="4" t="n">
        <f aca="false">IF($B303=AO$1,1,0)</f>
        <v>0</v>
      </c>
      <c r="AP303" s="4" t="n">
        <f aca="false">IF($B303=AP$1,1,0)</f>
        <v>0</v>
      </c>
      <c r="AQ303" s="4" t="n">
        <f aca="false">IF($B303=AQ$1,1,0)</f>
        <v>0</v>
      </c>
      <c r="AR303" s="4" t="n">
        <f aca="false">IF($B303=AR$1,1,0)</f>
        <v>0</v>
      </c>
      <c r="AS303" s="4" t="n">
        <f aca="false">IF($B303=AS$1,1,0)</f>
        <v>0</v>
      </c>
      <c r="AT303" s="4" t="n">
        <f aca="false">IF($B303=AT$1,1,0)</f>
        <v>0</v>
      </c>
      <c r="BB303" s="4" t="n">
        <f aca="false">A303</f>
        <v>302</v>
      </c>
      <c r="BC303" s="7" t="n">
        <f aca="false">ABS($T303-$AX$2)+ABS($U303-$AY$2)+ABS($V303-$AZ$2)</f>
        <v>45165.8521126761</v>
      </c>
      <c r="BD303" s="7" t="n">
        <f aca="false">ABS($T303-$AX$3)+ABS($U303-$AY$3)+ABS($V303-$AZ$3)</f>
        <v>21334.2711864407</v>
      </c>
      <c r="BE303" s="7" t="n">
        <f aca="false">ABS($T303-$AX$4)+ABS($U303-$AY$4)+ABS($V303-$AZ$4)</f>
        <v>9825.07547169811</v>
      </c>
      <c r="BF303" s="7" t="n">
        <f aca="false">MIN(BC303:BE303)</f>
        <v>9825.07547169811</v>
      </c>
      <c r="BG303" s="4" t="n">
        <f aca="false">MATCH(BF303,BC303:BE303,0)</f>
        <v>3</v>
      </c>
      <c r="BH303" s="8" t="n">
        <v>3</v>
      </c>
      <c r="BI303" s="4" t="n">
        <f aca="false">IF(BG303=BH303,0,1)</f>
        <v>0</v>
      </c>
      <c r="BK303" s="8" t="n">
        <v>3</v>
      </c>
      <c r="BL303" s="8" t="n">
        <v>3</v>
      </c>
      <c r="BM303" s="8" t="n">
        <v>3</v>
      </c>
    </row>
    <row r="304" customFormat="false" ht="15" hidden="false" customHeight="false" outlineLevel="0" collapsed="false">
      <c r="A304" s="3" t="n">
        <v>303</v>
      </c>
      <c r="B304" s="3" t="s">
        <v>30</v>
      </c>
      <c r="C304" s="3" t="n">
        <v>1</v>
      </c>
      <c r="D304" s="3" t="n">
        <v>0</v>
      </c>
      <c r="E304" s="3" t="n">
        <v>0</v>
      </c>
      <c r="F304" s="3" t="n">
        <v>0</v>
      </c>
      <c r="G304" s="3" t="n">
        <v>0</v>
      </c>
      <c r="H304" s="3" t="n">
        <v>5</v>
      </c>
      <c r="I304" s="3" t="n">
        <v>4</v>
      </c>
      <c r="J304" s="3" t="n">
        <v>5</v>
      </c>
      <c r="K304" s="3" t="n">
        <v>5</v>
      </c>
      <c r="L304" s="3" t="n">
        <v>5</v>
      </c>
      <c r="M304" s="3" t="n">
        <v>5</v>
      </c>
      <c r="N304" s="3" t="n">
        <v>5</v>
      </c>
      <c r="O304" s="3" t="n">
        <v>4</v>
      </c>
      <c r="P304" s="3" t="n">
        <v>3</v>
      </c>
      <c r="Q304" s="3" t="n">
        <v>5</v>
      </c>
      <c r="R304" s="3" t="n">
        <v>4</v>
      </c>
      <c r="S304" s="3" t="n">
        <v>5</v>
      </c>
      <c r="T304" s="3" t="n">
        <v>0</v>
      </c>
      <c r="U304" s="3" t="n">
        <v>34</v>
      </c>
      <c r="V304" s="3" t="n">
        <v>27244</v>
      </c>
      <c r="W304" s="3" t="n">
        <v>1</v>
      </c>
      <c r="X304" s="3" t="n">
        <v>4</v>
      </c>
      <c r="Y304" s="3" t="n">
        <v>2</v>
      </c>
      <c r="Z304" s="3" t="n">
        <v>2</v>
      </c>
      <c r="AA304" s="4" t="n">
        <f aca="false">IF($B304=AA$1,1,0)</f>
        <v>0</v>
      </c>
      <c r="AB304" s="4" t="n">
        <f aca="false">IF($B304=AB$1,1,0)</f>
        <v>0</v>
      </c>
      <c r="AC304" s="4" t="n">
        <f aca="false">IF($B304=AC$1,1,0)</f>
        <v>0</v>
      </c>
      <c r="AD304" s="4" t="n">
        <f aca="false">IF($B304=AD$1,1,0)</f>
        <v>0</v>
      </c>
      <c r="AE304" s="4" t="n">
        <f aca="false">IF($B304=AE$1,1,0)</f>
        <v>1</v>
      </c>
      <c r="AF304" s="4" t="n">
        <f aca="false">IF($B304=AF$1,1,0)</f>
        <v>0</v>
      </c>
      <c r="AG304" s="4" t="n">
        <f aca="false">IF($B304=AG$1,1,0)</f>
        <v>0</v>
      </c>
      <c r="AH304" s="4" t="n">
        <f aca="false">IF($B304=AH$1,1,0)</f>
        <v>0</v>
      </c>
      <c r="AI304" s="4" t="n">
        <f aca="false">IF($B304=AI$1,1,0)</f>
        <v>0</v>
      </c>
      <c r="AJ304" s="4" t="n">
        <f aca="false">IF($B304=AJ$1,1,0)</f>
        <v>0</v>
      </c>
      <c r="AK304" s="4" t="n">
        <f aca="false">IF($B304=AK$1,1,0)</f>
        <v>0</v>
      </c>
      <c r="AL304" s="4" t="n">
        <f aca="false">IF($B304=AL$1,1,0)</f>
        <v>0</v>
      </c>
      <c r="AM304" s="4" t="n">
        <f aca="false">IF($B304=AM$1,1,0)</f>
        <v>0</v>
      </c>
      <c r="AN304" s="4" t="n">
        <f aca="false">IF($B304=AN$1,1,0)</f>
        <v>0</v>
      </c>
      <c r="AO304" s="4" t="n">
        <f aca="false">IF($B304=AO$1,1,0)</f>
        <v>0</v>
      </c>
      <c r="AP304" s="4" t="n">
        <f aca="false">IF($B304=AP$1,1,0)</f>
        <v>0</v>
      </c>
      <c r="AQ304" s="4" t="n">
        <f aca="false">IF($B304=AQ$1,1,0)</f>
        <v>0</v>
      </c>
      <c r="AR304" s="4" t="n">
        <f aca="false">IF($B304=AR$1,1,0)</f>
        <v>0</v>
      </c>
      <c r="AS304" s="4" t="n">
        <f aca="false">IF($B304=AS$1,1,0)</f>
        <v>0</v>
      </c>
      <c r="AT304" s="4" t="n">
        <f aca="false">IF($B304=AT$1,1,0)</f>
        <v>0</v>
      </c>
      <c r="BB304" s="4" t="n">
        <f aca="false">A304</f>
        <v>303</v>
      </c>
      <c r="BC304" s="7" t="n">
        <f aca="false">ABS($T304-$AX$2)+ABS($U304-$AY$2)+ABS($V304-$AZ$2)</f>
        <v>4414.7676056338</v>
      </c>
      <c r="BD304" s="7" t="n">
        <f aca="false">ABS($T304-$AX$3)+ABS($U304-$AY$3)+ABS($V304-$AZ$3)</f>
        <v>19426.7288135593</v>
      </c>
      <c r="BE304" s="7" t="n">
        <f aca="false">ABS($T304-$AX$4)+ABS($U304-$AY$4)+ABS($V304-$AZ$4)</f>
        <v>50558.641509434</v>
      </c>
      <c r="BF304" s="7" t="n">
        <f aca="false">MIN(BC304:BE304)</f>
        <v>4414.7676056338</v>
      </c>
      <c r="BG304" s="4" t="n">
        <f aca="false">MATCH(BF304,BC304:BE304,0)</f>
        <v>1</v>
      </c>
      <c r="BH304" s="8" t="n">
        <v>1</v>
      </c>
      <c r="BI304" s="4" t="n">
        <f aca="false">IF(BG304=BH304,0,1)</f>
        <v>0</v>
      </c>
      <c r="BK304" s="8" t="n">
        <v>1</v>
      </c>
      <c r="BL304" s="8" t="n">
        <v>1</v>
      </c>
      <c r="BM304" s="8" t="n">
        <v>1</v>
      </c>
    </row>
    <row r="305" customFormat="false" ht="15" hidden="false" customHeight="false" outlineLevel="0" collapsed="false">
      <c r="A305" s="3" t="n">
        <v>304</v>
      </c>
      <c r="B305" s="3" t="s">
        <v>33</v>
      </c>
      <c r="C305" s="3" t="n">
        <v>0</v>
      </c>
      <c r="D305" s="3" t="n">
        <v>0</v>
      </c>
      <c r="E305" s="3" t="n">
        <v>1</v>
      </c>
      <c r="F305" s="3" t="n">
        <v>0</v>
      </c>
      <c r="G305" s="3" t="n">
        <v>0</v>
      </c>
      <c r="H305" s="3" t="n">
        <v>4</v>
      </c>
      <c r="I305" s="3" t="n">
        <v>4</v>
      </c>
      <c r="J305" s="3" t="n">
        <v>3</v>
      </c>
      <c r="K305" s="3" t="n">
        <v>5</v>
      </c>
      <c r="L305" s="3" t="n">
        <v>5</v>
      </c>
      <c r="M305" s="3" t="n">
        <v>4</v>
      </c>
      <c r="N305" s="3" t="n">
        <v>3</v>
      </c>
      <c r="O305" s="3" t="n">
        <v>2</v>
      </c>
      <c r="P305" s="3" t="n">
        <v>2</v>
      </c>
      <c r="Q305" s="3" t="n">
        <v>3</v>
      </c>
      <c r="R305" s="3" t="n">
        <v>3</v>
      </c>
      <c r="S305" s="3" t="n">
        <v>3</v>
      </c>
      <c r="T305" s="3" t="n">
        <v>0</v>
      </c>
      <c r="U305" s="3" t="n">
        <v>37</v>
      </c>
      <c r="V305" s="3" t="n">
        <v>83082</v>
      </c>
      <c r="W305" s="3" t="n">
        <v>1</v>
      </c>
      <c r="X305" s="3" t="n">
        <v>4</v>
      </c>
      <c r="Y305" s="3" t="n">
        <v>1</v>
      </c>
      <c r="Z305" s="3" t="n">
        <v>1</v>
      </c>
      <c r="AA305" s="4" t="n">
        <f aca="false">IF($B305=AA$1,1,0)</f>
        <v>0</v>
      </c>
      <c r="AB305" s="4" t="n">
        <f aca="false">IF($B305=AB$1,1,0)</f>
        <v>0</v>
      </c>
      <c r="AC305" s="4" t="n">
        <f aca="false">IF($B305=AC$1,1,0)</f>
        <v>0</v>
      </c>
      <c r="AD305" s="4" t="n">
        <f aca="false">IF($B305=AD$1,1,0)</f>
        <v>0</v>
      </c>
      <c r="AE305" s="4" t="n">
        <f aca="false">IF($B305=AE$1,1,0)</f>
        <v>0</v>
      </c>
      <c r="AF305" s="4" t="n">
        <f aca="false">IF($B305=AF$1,1,0)</f>
        <v>0</v>
      </c>
      <c r="AG305" s="4" t="n">
        <f aca="false">IF($B305=AG$1,1,0)</f>
        <v>0</v>
      </c>
      <c r="AH305" s="4" t="n">
        <f aca="false">IF($B305=AH$1,1,0)</f>
        <v>1</v>
      </c>
      <c r="AI305" s="4" t="n">
        <f aca="false">IF($B305=AI$1,1,0)</f>
        <v>0</v>
      </c>
      <c r="AJ305" s="4" t="n">
        <f aca="false">IF($B305=AJ$1,1,0)</f>
        <v>0</v>
      </c>
      <c r="AK305" s="4" t="n">
        <f aca="false">IF($B305=AK$1,1,0)</f>
        <v>0</v>
      </c>
      <c r="AL305" s="4" t="n">
        <f aca="false">IF($B305=AL$1,1,0)</f>
        <v>0</v>
      </c>
      <c r="AM305" s="4" t="n">
        <f aca="false">IF($B305=AM$1,1,0)</f>
        <v>0</v>
      </c>
      <c r="AN305" s="4" t="n">
        <f aca="false">IF($B305=AN$1,1,0)</f>
        <v>0</v>
      </c>
      <c r="AO305" s="4" t="n">
        <f aca="false">IF($B305=AO$1,1,0)</f>
        <v>0</v>
      </c>
      <c r="AP305" s="4" t="n">
        <f aca="false">IF($B305=AP$1,1,0)</f>
        <v>0</v>
      </c>
      <c r="AQ305" s="4" t="n">
        <f aca="false">IF($B305=AQ$1,1,0)</f>
        <v>0</v>
      </c>
      <c r="AR305" s="4" t="n">
        <f aca="false">IF($B305=AR$1,1,0)</f>
        <v>0</v>
      </c>
      <c r="AS305" s="4" t="n">
        <f aca="false">IF($B305=AS$1,1,0)</f>
        <v>0</v>
      </c>
      <c r="AT305" s="4" t="n">
        <f aca="false">IF($B305=AT$1,1,0)</f>
        <v>0</v>
      </c>
      <c r="BB305" s="4" t="n">
        <f aca="false">A305</f>
        <v>304</v>
      </c>
      <c r="BC305" s="7" t="n">
        <f aca="false">ABS($T305-$AX$2)+ABS($U305-$AY$2)+ABS($V305-$AZ$2)</f>
        <v>60249.7676056338</v>
      </c>
      <c r="BD305" s="7" t="n">
        <f aca="false">ABS($T305-$AX$3)+ABS($U305-$AY$3)+ABS($V305-$AZ$3)</f>
        <v>36423.406779661</v>
      </c>
      <c r="BE305" s="7" t="n">
        <f aca="false">ABS($T305-$AX$4)+ABS($U305-$AY$4)+ABS($V305-$AZ$4)</f>
        <v>5292.92452830189</v>
      </c>
      <c r="BF305" s="7" t="n">
        <f aca="false">MIN(BC305:BE305)</f>
        <v>5292.92452830189</v>
      </c>
      <c r="BG305" s="4" t="n">
        <f aca="false">MATCH(BF305,BC305:BE305,0)</f>
        <v>3</v>
      </c>
      <c r="BH305" s="8" t="n">
        <v>3</v>
      </c>
      <c r="BI305" s="4" t="n">
        <f aca="false">IF(BG305=BH305,0,1)</f>
        <v>0</v>
      </c>
      <c r="BK305" s="8" t="n">
        <v>3</v>
      </c>
      <c r="BL305" s="8" t="n">
        <v>3</v>
      </c>
      <c r="BM305" s="8" t="n">
        <v>3</v>
      </c>
    </row>
    <row r="306" customFormat="false" ht="15" hidden="false" customHeight="false" outlineLevel="0" collapsed="false">
      <c r="A306" s="3" t="n">
        <v>305</v>
      </c>
      <c r="B306" s="3" t="s">
        <v>33</v>
      </c>
      <c r="C306" s="3" t="n">
        <v>0</v>
      </c>
      <c r="D306" s="3" t="n">
        <v>0</v>
      </c>
      <c r="E306" s="3" t="n">
        <v>1</v>
      </c>
      <c r="F306" s="3" t="n">
        <v>0</v>
      </c>
      <c r="G306" s="3" t="n">
        <v>0</v>
      </c>
      <c r="H306" s="3" t="n">
        <v>5</v>
      </c>
      <c r="I306" s="3" t="n">
        <v>5</v>
      </c>
      <c r="J306" s="3" t="n">
        <v>5</v>
      </c>
      <c r="K306" s="3" t="n">
        <v>5</v>
      </c>
      <c r="L306" s="3" t="n">
        <v>5</v>
      </c>
      <c r="M306" s="3" t="n">
        <v>4</v>
      </c>
      <c r="N306" s="3" t="n">
        <v>5</v>
      </c>
      <c r="O306" s="3" t="n">
        <v>3</v>
      </c>
      <c r="P306" s="3" t="n">
        <v>2</v>
      </c>
      <c r="Q306" s="3" t="n">
        <v>4</v>
      </c>
      <c r="R306" s="3" t="n">
        <v>5</v>
      </c>
      <c r="S306" s="3" t="n">
        <v>5</v>
      </c>
      <c r="T306" s="3" t="n">
        <v>0</v>
      </c>
      <c r="U306" s="3" t="n">
        <v>29</v>
      </c>
      <c r="V306" s="3" t="n">
        <v>26778</v>
      </c>
      <c r="W306" s="3" t="n">
        <v>1</v>
      </c>
      <c r="X306" s="3" t="n">
        <v>4</v>
      </c>
      <c r="Y306" s="3" t="n">
        <v>2</v>
      </c>
      <c r="Z306" s="3" t="n">
        <v>1</v>
      </c>
      <c r="AA306" s="4" t="n">
        <f aca="false">IF($B306=AA$1,1,0)</f>
        <v>0</v>
      </c>
      <c r="AB306" s="4" t="n">
        <f aca="false">IF($B306=AB$1,1,0)</f>
        <v>0</v>
      </c>
      <c r="AC306" s="4" t="n">
        <f aca="false">IF($B306=AC$1,1,0)</f>
        <v>0</v>
      </c>
      <c r="AD306" s="4" t="n">
        <f aca="false">IF($B306=AD$1,1,0)</f>
        <v>0</v>
      </c>
      <c r="AE306" s="4" t="n">
        <f aca="false">IF($B306=AE$1,1,0)</f>
        <v>0</v>
      </c>
      <c r="AF306" s="4" t="n">
        <f aca="false">IF($B306=AF$1,1,0)</f>
        <v>0</v>
      </c>
      <c r="AG306" s="4" t="n">
        <f aca="false">IF($B306=AG$1,1,0)</f>
        <v>0</v>
      </c>
      <c r="AH306" s="4" t="n">
        <f aca="false">IF($B306=AH$1,1,0)</f>
        <v>1</v>
      </c>
      <c r="AI306" s="4" t="n">
        <f aca="false">IF($B306=AI$1,1,0)</f>
        <v>0</v>
      </c>
      <c r="AJ306" s="4" t="n">
        <f aca="false">IF($B306=AJ$1,1,0)</f>
        <v>0</v>
      </c>
      <c r="AK306" s="4" t="n">
        <f aca="false">IF($B306=AK$1,1,0)</f>
        <v>0</v>
      </c>
      <c r="AL306" s="4" t="n">
        <f aca="false">IF($B306=AL$1,1,0)</f>
        <v>0</v>
      </c>
      <c r="AM306" s="4" t="n">
        <f aca="false">IF($B306=AM$1,1,0)</f>
        <v>0</v>
      </c>
      <c r="AN306" s="4" t="n">
        <f aca="false">IF($B306=AN$1,1,0)</f>
        <v>0</v>
      </c>
      <c r="AO306" s="4" t="n">
        <f aca="false">IF($B306=AO$1,1,0)</f>
        <v>0</v>
      </c>
      <c r="AP306" s="4" t="n">
        <f aca="false">IF($B306=AP$1,1,0)</f>
        <v>0</v>
      </c>
      <c r="AQ306" s="4" t="n">
        <f aca="false">IF($B306=AQ$1,1,0)</f>
        <v>0</v>
      </c>
      <c r="AR306" s="4" t="n">
        <f aca="false">IF($B306=AR$1,1,0)</f>
        <v>0</v>
      </c>
      <c r="AS306" s="4" t="n">
        <f aca="false">IF($B306=AS$1,1,0)</f>
        <v>0</v>
      </c>
      <c r="AT306" s="4" t="n">
        <f aca="false">IF($B306=AT$1,1,0)</f>
        <v>0</v>
      </c>
      <c r="BB306" s="4" t="n">
        <f aca="false">A306</f>
        <v>305</v>
      </c>
      <c r="BC306" s="7" t="n">
        <f aca="false">ABS($T306-$AX$2)+ABS($U306-$AY$2)+ABS($V306-$AZ$2)</f>
        <v>3953.7676056338</v>
      </c>
      <c r="BD306" s="7" t="n">
        <f aca="false">ABS($T306-$AX$3)+ABS($U306-$AY$3)+ABS($V306-$AZ$3)</f>
        <v>19897.7288135593</v>
      </c>
      <c r="BE306" s="7" t="n">
        <f aca="false">ABS($T306-$AX$4)+ABS($U306-$AY$4)+ABS($V306-$AZ$4)</f>
        <v>51029.641509434</v>
      </c>
      <c r="BF306" s="7" t="n">
        <f aca="false">MIN(BC306:BE306)</f>
        <v>3953.7676056338</v>
      </c>
      <c r="BG306" s="4" t="n">
        <f aca="false">MATCH(BF306,BC306:BE306,0)</f>
        <v>1</v>
      </c>
      <c r="BH306" s="8" t="n">
        <v>1</v>
      </c>
      <c r="BI306" s="4" t="n">
        <f aca="false">IF(BG306=BH306,0,1)</f>
        <v>0</v>
      </c>
      <c r="BK306" s="8" t="n">
        <v>1</v>
      </c>
      <c r="BL306" s="8" t="n">
        <v>1</v>
      </c>
      <c r="BM306" s="8" t="n">
        <v>1</v>
      </c>
    </row>
    <row r="307" customFormat="false" ht="15" hidden="false" customHeight="false" outlineLevel="0" collapsed="false">
      <c r="A307" s="3" t="n">
        <v>306</v>
      </c>
      <c r="B307" s="3" t="s">
        <v>30</v>
      </c>
      <c r="C307" s="3" t="n">
        <v>1</v>
      </c>
      <c r="D307" s="3" t="n">
        <v>0</v>
      </c>
      <c r="E307" s="3" t="n">
        <v>0</v>
      </c>
      <c r="F307" s="3" t="n">
        <v>0</v>
      </c>
      <c r="G307" s="3" t="n">
        <v>0</v>
      </c>
      <c r="H307" s="3" t="n">
        <v>4</v>
      </c>
      <c r="I307" s="3" t="n">
        <v>4</v>
      </c>
      <c r="J307" s="3" t="n">
        <v>5</v>
      </c>
      <c r="K307" s="3" t="n">
        <v>4</v>
      </c>
      <c r="L307" s="3" t="n">
        <v>5</v>
      </c>
      <c r="M307" s="3" t="n">
        <v>4</v>
      </c>
      <c r="N307" s="3" t="n">
        <v>4</v>
      </c>
      <c r="O307" s="3" t="n">
        <v>4</v>
      </c>
      <c r="P307" s="3" t="n">
        <v>3</v>
      </c>
      <c r="Q307" s="3" t="n">
        <v>5</v>
      </c>
      <c r="R307" s="3" t="n">
        <v>5</v>
      </c>
      <c r="S307" s="3" t="n">
        <v>3</v>
      </c>
      <c r="T307" s="3" t="n">
        <v>1</v>
      </c>
      <c r="U307" s="3" t="n">
        <v>59</v>
      </c>
      <c r="V307" s="3" t="n">
        <v>75777</v>
      </c>
      <c r="W307" s="3" t="n">
        <v>2</v>
      </c>
      <c r="X307" s="3" t="n">
        <v>3</v>
      </c>
      <c r="Y307" s="3" t="n">
        <v>2</v>
      </c>
      <c r="Z307" s="3" t="n">
        <v>2</v>
      </c>
      <c r="AA307" s="4" t="n">
        <f aca="false">IF($B307=AA$1,1,0)</f>
        <v>0</v>
      </c>
      <c r="AB307" s="4" t="n">
        <f aca="false">IF($B307=AB$1,1,0)</f>
        <v>0</v>
      </c>
      <c r="AC307" s="4" t="n">
        <f aca="false">IF($B307=AC$1,1,0)</f>
        <v>0</v>
      </c>
      <c r="AD307" s="4" t="n">
        <f aca="false">IF($B307=AD$1,1,0)</f>
        <v>0</v>
      </c>
      <c r="AE307" s="4" t="n">
        <f aca="false">IF($B307=AE$1,1,0)</f>
        <v>1</v>
      </c>
      <c r="AF307" s="4" t="n">
        <f aca="false">IF($B307=AF$1,1,0)</f>
        <v>0</v>
      </c>
      <c r="AG307" s="4" t="n">
        <f aca="false">IF($B307=AG$1,1,0)</f>
        <v>0</v>
      </c>
      <c r="AH307" s="4" t="n">
        <f aca="false">IF($B307=AH$1,1,0)</f>
        <v>0</v>
      </c>
      <c r="AI307" s="4" t="n">
        <f aca="false">IF($B307=AI$1,1,0)</f>
        <v>0</v>
      </c>
      <c r="AJ307" s="4" t="n">
        <f aca="false">IF($B307=AJ$1,1,0)</f>
        <v>0</v>
      </c>
      <c r="AK307" s="4" t="n">
        <f aca="false">IF($B307=AK$1,1,0)</f>
        <v>0</v>
      </c>
      <c r="AL307" s="4" t="n">
        <f aca="false">IF($B307=AL$1,1,0)</f>
        <v>0</v>
      </c>
      <c r="AM307" s="4" t="n">
        <f aca="false">IF($B307=AM$1,1,0)</f>
        <v>0</v>
      </c>
      <c r="AN307" s="4" t="n">
        <f aca="false">IF($B307=AN$1,1,0)</f>
        <v>0</v>
      </c>
      <c r="AO307" s="4" t="n">
        <f aca="false">IF($B307=AO$1,1,0)</f>
        <v>0</v>
      </c>
      <c r="AP307" s="4" t="n">
        <f aca="false">IF($B307=AP$1,1,0)</f>
        <v>0</v>
      </c>
      <c r="AQ307" s="4" t="n">
        <f aca="false">IF($B307=AQ$1,1,0)</f>
        <v>0</v>
      </c>
      <c r="AR307" s="4" t="n">
        <f aca="false">IF($B307=AR$1,1,0)</f>
        <v>0</v>
      </c>
      <c r="AS307" s="4" t="n">
        <f aca="false">IF($B307=AS$1,1,0)</f>
        <v>0</v>
      </c>
      <c r="AT307" s="4" t="n">
        <f aca="false">IF($B307=AT$1,1,0)</f>
        <v>0</v>
      </c>
      <c r="BB307" s="4" t="n">
        <f aca="false">A307</f>
        <v>306</v>
      </c>
      <c r="BC307" s="7" t="n">
        <f aca="false">ABS($T307-$AX$2)+ABS($U307-$AY$2)+ABS($V307-$AZ$2)</f>
        <v>52963.8521126761</v>
      </c>
      <c r="BD307" s="7" t="n">
        <f aca="false">ABS($T307-$AX$3)+ABS($U307-$AY$3)+ABS($V307-$AZ$3)</f>
        <v>29132.2711864407</v>
      </c>
      <c r="BE307" s="7" t="n">
        <f aca="false">ABS($T307-$AX$4)+ABS($U307-$AY$4)+ABS($V307-$AZ$4)</f>
        <v>2035.07547169811</v>
      </c>
      <c r="BF307" s="7" t="n">
        <f aca="false">MIN(BC307:BE307)</f>
        <v>2035.07547169811</v>
      </c>
      <c r="BG307" s="4" t="n">
        <f aca="false">MATCH(BF307,BC307:BE307,0)</f>
        <v>3</v>
      </c>
      <c r="BH307" s="8" t="n">
        <v>3</v>
      </c>
      <c r="BI307" s="4" t="n">
        <f aca="false">IF(BG307=BH307,0,1)</f>
        <v>0</v>
      </c>
      <c r="BK307" s="8" t="n">
        <v>3</v>
      </c>
      <c r="BL307" s="8" t="n">
        <v>3</v>
      </c>
      <c r="BM307" s="8" t="n">
        <v>3</v>
      </c>
    </row>
    <row r="308" customFormat="false" ht="15" hidden="false" customHeight="false" outlineLevel="0" collapsed="false">
      <c r="A308" s="3" t="n">
        <v>307</v>
      </c>
      <c r="B308" s="3" t="s">
        <v>33</v>
      </c>
      <c r="C308" s="3" t="n">
        <v>0</v>
      </c>
      <c r="D308" s="3" t="n">
        <v>0</v>
      </c>
      <c r="E308" s="3" t="n">
        <v>1</v>
      </c>
      <c r="F308" s="3" t="n">
        <v>0</v>
      </c>
      <c r="G308" s="3" t="n">
        <v>0</v>
      </c>
      <c r="H308" s="3" t="n">
        <v>5</v>
      </c>
      <c r="I308" s="3" t="n">
        <v>5</v>
      </c>
      <c r="J308" s="3" t="n">
        <v>5</v>
      </c>
      <c r="K308" s="3" t="n">
        <v>3</v>
      </c>
      <c r="L308" s="3" t="n">
        <v>5</v>
      </c>
      <c r="M308" s="3" t="n">
        <v>5</v>
      </c>
      <c r="N308" s="3" t="n">
        <v>5</v>
      </c>
      <c r="O308" s="3" t="n">
        <v>5</v>
      </c>
      <c r="P308" s="3" t="n">
        <v>3</v>
      </c>
      <c r="Q308" s="3" t="n">
        <v>5</v>
      </c>
      <c r="R308" s="3" t="n">
        <v>5</v>
      </c>
      <c r="S308" s="3" t="n">
        <v>5</v>
      </c>
      <c r="T308" s="3" t="n">
        <v>0</v>
      </c>
      <c r="U308" s="3" t="n">
        <v>54</v>
      </c>
      <c r="V308" s="3" t="n">
        <v>58036</v>
      </c>
      <c r="W308" s="3" t="n">
        <v>1</v>
      </c>
      <c r="X308" s="3" t="n">
        <v>4</v>
      </c>
      <c r="Y308" s="3" t="n">
        <v>2</v>
      </c>
      <c r="Z308" s="3" t="n">
        <v>1</v>
      </c>
      <c r="AA308" s="4" t="n">
        <f aca="false">IF($B308=AA$1,1,0)</f>
        <v>0</v>
      </c>
      <c r="AB308" s="4" t="n">
        <f aca="false">IF($B308=AB$1,1,0)</f>
        <v>0</v>
      </c>
      <c r="AC308" s="4" t="n">
        <f aca="false">IF($B308=AC$1,1,0)</f>
        <v>0</v>
      </c>
      <c r="AD308" s="4" t="n">
        <f aca="false">IF($B308=AD$1,1,0)</f>
        <v>0</v>
      </c>
      <c r="AE308" s="4" t="n">
        <f aca="false">IF($B308=AE$1,1,0)</f>
        <v>0</v>
      </c>
      <c r="AF308" s="4" t="n">
        <f aca="false">IF($B308=AF$1,1,0)</f>
        <v>0</v>
      </c>
      <c r="AG308" s="4" t="n">
        <f aca="false">IF($B308=AG$1,1,0)</f>
        <v>0</v>
      </c>
      <c r="AH308" s="4" t="n">
        <f aca="false">IF($B308=AH$1,1,0)</f>
        <v>1</v>
      </c>
      <c r="AI308" s="4" t="n">
        <f aca="false">IF($B308=AI$1,1,0)</f>
        <v>0</v>
      </c>
      <c r="AJ308" s="4" t="n">
        <f aca="false">IF($B308=AJ$1,1,0)</f>
        <v>0</v>
      </c>
      <c r="AK308" s="4" t="n">
        <f aca="false">IF($B308=AK$1,1,0)</f>
        <v>0</v>
      </c>
      <c r="AL308" s="4" t="n">
        <f aca="false">IF($B308=AL$1,1,0)</f>
        <v>0</v>
      </c>
      <c r="AM308" s="4" t="n">
        <f aca="false">IF($B308=AM$1,1,0)</f>
        <v>0</v>
      </c>
      <c r="AN308" s="4" t="n">
        <f aca="false">IF($B308=AN$1,1,0)</f>
        <v>0</v>
      </c>
      <c r="AO308" s="4" t="n">
        <f aca="false">IF($B308=AO$1,1,0)</f>
        <v>0</v>
      </c>
      <c r="AP308" s="4" t="n">
        <f aca="false">IF($B308=AP$1,1,0)</f>
        <v>0</v>
      </c>
      <c r="AQ308" s="4" t="n">
        <f aca="false">IF($B308=AQ$1,1,0)</f>
        <v>0</v>
      </c>
      <c r="AR308" s="4" t="n">
        <f aca="false">IF($B308=AR$1,1,0)</f>
        <v>0</v>
      </c>
      <c r="AS308" s="4" t="n">
        <f aca="false">IF($B308=AS$1,1,0)</f>
        <v>0</v>
      </c>
      <c r="AT308" s="4" t="n">
        <f aca="false">IF($B308=AT$1,1,0)</f>
        <v>0</v>
      </c>
      <c r="BB308" s="4" t="n">
        <f aca="false">A308</f>
        <v>307</v>
      </c>
      <c r="BC308" s="7" t="n">
        <f aca="false">ABS($T308-$AX$2)+ABS($U308-$AY$2)+ABS($V308-$AZ$2)</f>
        <v>35217.2887323944</v>
      </c>
      <c r="BD308" s="7" t="n">
        <f aca="false">ABS($T308-$AX$3)+ABS($U308-$AY$3)+ABS($V308-$AZ$3)</f>
        <v>11385.6440677966</v>
      </c>
      <c r="BE308" s="7" t="n">
        <f aca="false">ABS($T308-$AX$4)+ABS($U308-$AY$4)+ABS($V308-$AZ$4)</f>
        <v>19770.6037735849</v>
      </c>
      <c r="BF308" s="7" t="n">
        <f aca="false">MIN(BC308:BE308)</f>
        <v>11385.6440677966</v>
      </c>
      <c r="BG308" s="4" t="n">
        <f aca="false">MATCH(BF308,BC308:BE308,0)</f>
        <v>2</v>
      </c>
      <c r="BH308" s="8" t="n">
        <v>2</v>
      </c>
      <c r="BI308" s="4" t="n">
        <f aca="false">IF(BG308=BH308,0,1)</f>
        <v>0</v>
      </c>
      <c r="BK308" s="8" t="n">
        <v>2</v>
      </c>
      <c r="BL308" s="8" t="n">
        <v>2</v>
      </c>
      <c r="BM308" s="8" t="n">
        <v>2</v>
      </c>
    </row>
    <row r="309" customFormat="false" ht="15" hidden="false" customHeight="false" outlineLevel="0" collapsed="false">
      <c r="A309" s="3" t="n">
        <v>308</v>
      </c>
      <c r="B309" s="3" t="s">
        <v>36</v>
      </c>
      <c r="C309" s="3" t="n">
        <v>1</v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5</v>
      </c>
      <c r="I309" s="3" t="n">
        <v>5</v>
      </c>
      <c r="J309" s="3" t="n">
        <v>5</v>
      </c>
      <c r="K309" s="3" t="n">
        <v>5</v>
      </c>
      <c r="L309" s="3" t="n">
        <v>5</v>
      </c>
      <c r="M309" s="3" t="n">
        <v>4</v>
      </c>
      <c r="N309" s="3" t="n">
        <v>2</v>
      </c>
      <c r="O309" s="3" t="n">
        <v>3</v>
      </c>
      <c r="P309" s="3" t="n">
        <v>4</v>
      </c>
      <c r="Q309" s="3" t="n">
        <v>3</v>
      </c>
      <c r="R309" s="3" t="n">
        <v>3</v>
      </c>
      <c r="S309" s="3" t="n">
        <v>3</v>
      </c>
      <c r="T309" s="3" t="n">
        <v>0</v>
      </c>
      <c r="U309" s="3" t="n">
        <v>57</v>
      </c>
      <c r="V309" s="3" t="n">
        <v>82425</v>
      </c>
      <c r="W309" s="3" t="n">
        <v>2</v>
      </c>
      <c r="X309" s="3" t="n">
        <v>4</v>
      </c>
      <c r="Y309" s="3" t="n">
        <v>2</v>
      </c>
      <c r="Z309" s="3" t="n">
        <v>1</v>
      </c>
      <c r="AA309" s="4" t="n">
        <f aca="false">IF($B309=AA$1,1,0)</f>
        <v>0</v>
      </c>
      <c r="AB309" s="4" t="n">
        <f aca="false">IF($B309=AB$1,1,0)</f>
        <v>0</v>
      </c>
      <c r="AC309" s="4" t="n">
        <f aca="false">IF($B309=AC$1,1,0)</f>
        <v>0</v>
      </c>
      <c r="AD309" s="4" t="n">
        <f aca="false">IF($B309=AD$1,1,0)</f>
        <v>0</v>
      </c>
      <c r="AE309" s="4" t="n">
        <f aca="false">IF($B309=AE$1,1,0)</f>
        <v>0</v>
      </c>
      <c r="AF309" s="4" t="n">
        <f aca="false">IF($B309=AF$1,1,0)</f>
        <v>0</v>
      </c>
      <c r="AG309" s="4" t="n">
        <f aca="false">IF($B309=AG$1,1,0)</f>
        <v>0</v>
      </c>
      <c r="AH309" s="4" t="n">
        <f aca="false">IF($B309=AH$1,1,0)</f>
        <v>0</v>
      </c>
      <c r="AI309" s="4" t="n">
        <f aca="false">IF($B309=AI$1,1,0)</f>
        <v>0</v>
      </c>
      <c r="AJ309" s="4" t="n">
        <f aca="false">IF($B309=AJ$1,1,0)</f>
        <v>0</v>
      </c>
      <c r="AK309" s="4" t="n">
        <f aca="false">IF($B309=AK$1,1,0)</f>
        <v>1</v>
      </c>
      <c r="AL309" s="4" t="n">
        <f aca="false">IF($B309=AL$1,1,0)</f>
        <v>0</v>
      </c>
      <c r="AM309" s="4" t="n">
        <f aca="false">IF($B309=AM$1,1,0)</f>
        <v>0</v>
      </c>
      <c r="AN309" s="4" t="n">
        <f aca="false">IF($B309=AN$1,1,0)</f>
        <v>0</v>
      </c>
      <c r="AO309" s="4" t="n">
        <f aca="false">IF($B309=AO$1,1,0)</f>
        <v>0</v>
      </c>
      <c r="AP309" s="4" t="n">
        <f aca="false">IF($B309=AP$1,1,0)</f>
        <v>0</v>
      </c>
      <c r="AQ309" s="4" t="n">
        <f aca="false">IF($B309=AQ$1,1,0)</f>
        <v>0</v>
      </c>
      <c r="AR309" s="4" t="n">
        <f aca="false">IF($B309=AR$1,1,0)</f>
        <v>0</v>
      </c>
      <c r="AS309" s="4" t="n">
        <f aca="false">IF($B309=AS$1,1,0)</f>
        <v>0</v>
      </c>
      <c r="AT309" s="4" t="n">
        <f aca="false">IF($B309=AT$1,1,0)</f>
        <v>0</v>
      </c>
      <c r="BB309" s="4" t="n">
        <f aca="false">A309</f>
        <v>308</v>
      </c>
      <c r="BC309" s="7" t="n">
        <f aca="false">ABS($T309-$AX$2)+ABS($U309-$AY$2)+ABS($V309-$AZ$2)</f>
        <v>59609.2887323944</v>
      </c>
      <c r="BD309" s="7" t="n">
        <f aca="false">ABS($T309-$AX$3)+ABS($U309-$AY$3)+ABS($V309-$AZ$3)</f>
        <v>35777.6440677966</v>
      </c>
      <c r="BE309" s="7" t="n">
        <f aca="false">ABS($T309-$AX$4)+ABS($U309-$AY$4)+ABS($V309-$AZ$4)</f>
        <v>4645.88679245283</v>
      </c>
      <c r="BF309" s="7" t="n">
        <f aca="false">MIN(BC309:BE309)</f>
        <v>4645.88679245283</v>
      </c>
      <c r="BG309" s="4" t="n">
        <f aca="false">MATCH(BF309,BC309:BE309,0)</f>
        <v>3</v>
      </c>
      <c r="BH309" s="8" t="n">
        <v>3</v>
      </c>
      <c r="BI309" s="4" t="n">
        <f aca="false">IF(BG309=BH309,0,1)</f>
        <v>0</v>
      </c>
      <c r="BK309" s="8" t="n">
        <v>3</v>
      </c>
      <c r="BL309" s="8" t="n">
        <v>3</v>
      </c>
      <c r="BM309" s="8" t="n">
        <v>3</v>
      </c>
    </row>
    <row r="310" customFormat="false" ht="15" hidden="false" customHeight="false" outlineLevel="0" collapsed="false">
      <c r="A310" s="3" t="n">
        <v>309</v>
      </c>
      <c r="B310" s="3" t="s">
        <v>33</v>
      </c>
      <c r="C310" s="3" t="n">
        <v>1</v>
      </c>
      <c r="D310" s="3" t="n">
        <v>1</v>
      </c>
      <c r="E310" s="3" t="n">
        <v>1</v>
      </c>
      <c r="F310" s="3" t="n">
        <v>0</v>
      </c>
      <c r="G310" s="3" t="n">
        <v>0</v>
      </c>
      <c r="H310" s="3" t="n">
        <v>5</v>
      </c>
      <c r="I310" s="3" t="n">
        <v>5</v>
      </c>
      <c r="J310" s="3" t="n">
        <v>5</v>
      </c>
      <c r="K310" s="3" t="n">
        <v>5</v>
      </c>
      <c r="L310" s="3" t="n">
        <v>5</v>
      </c>
      <c r="M310" s="3" t="n">
        <v>5</v>
      </c>
      <c r="N310" s="3" t="n">
        <v>5</v>
      </c>
      <c r="O310" s="3" t="n">
        <v>4</v>
      </c>
      <c r="P310" s="3" t="n">
        <v>5</v>
      </c>
      <c r="Q310" s="3" t="n">
        <v>5</v>
      </c>
      <c r="R310" s="3" t="n">
        <v>5</v>
      </c>
      <c r="S310" s="3" t="n">
        <v>4</v>
      </c>
      <c r="T310" s="3" t="n">
        <v>0</v>
      </c>
      <c r="U310" s="3" t="n">
        <v>29</v>
      </c>
      <c r="V310" s="3" t="n">
        <v>14472</v>
      </c>
      <c r="W310" s="3" t="n">
        <v>1</v>
      </c>
      <c r="X310" s="3" t="n">
        <v>3</v>
      </c>
      <c r="Y310" s="3" t="n">
        <v>1</v>
      </c>
      <c r="Z310" s="3" t="n">
        <v>2</v>
      </c>
      <c r="AA310" s="4" t="n">
        <f aca="false">IF($B310=AA$1,1,0)</f>
        <v>0</v>
      </c>
      <c r="AB310" s="4" t="n">
        <f aca="false">IF($B310=AB$1,1,0)</f>
        <v>0</v>
      </c>
      <c r="AC310" s="4" t="n">
        <f aca="false">IF($B310=AC$1,1,0)</f>
        <v>0</v>
      </c>
      <c r="AD310" s="4" t="n">
        <f aca="false">IF($B310=AD$1,1,0)</f>
        <v>0</v>
      </c>
      <c r="AE310" s="4" t="n">
        <f aca="false">IF($B310=AE$1,1,0)</f>
        <v>0</v>
      </c>
      <c r="AF310" s="4" t="n">
        <f aca="false">IF($B310=AF$1,1,0)</f>
        <v>0</v>
      </c>
      <c r="AG310" s="4" t="n">
        <f aca="false">IF($B310=AG$1,1,0)</f>
        <v>0</v>
      </c>
      <c r="AH310" s="4" t="n">
        <f aca="false">IF($B310=AH$1,1,0)</f>
        <v>1</v>
      </c>
      <c r="AI310" s="4" t="n">
        <f aca="false">IF($B310=AI$1,1,0)</f>
        <v>0</v>
      </c>
      <c r="AJ310" s="4" t="n">
        <f aca="false">IF($B310=AJ$1,1,0)</f>
        <v>0</v>
      </c>
      <c r="AK310" s="4" t="n">
        <f aca="false">IF($B310=AK$1,1,0)</f>
        <v>0</v>
      </c>
      <c r="AL310" s="4" t="n">
        <f aca="false">IF($B310=AL$1,1,0)</f>
        <v>0</v>
      </c>
      <c r="AM310" s="4" t="n">
        <f aca="false">IF($B310=AM$1,1,0)</f>
        <v>0</v>
      </c>
      <c r="AN310" s="4" t="n">
        <f aca="false">IF($B310=AN$1,1,0)</f>
        <v>0</v>
      </c>
      <c r="AO310" s="4" t="n">
        <f aca="false">IF($B310=AO$1,1,0)</f>
        <v>0</v>
      </c>
      <c r="AP310" s="4" t="n">
        <f aca="false">IF($B310=AP$1,1,0)</f>
        <v>0</v>
      </c>
      <c r="AQ310" s="4" t="n">
        <f aca="false">IF($B310=AQ$1,1,0)</f>
        <v>0</v>
      </c>
      <c r="AR310" s="4" t="n">
        <f aca="false">IF($B310=AR$1,1,0)</f>
        <v>0</v>
      </c>
      <c r="AS310" s="4" t="n">
        <f aca="false">IF($B310=AS$1,1,0)</f>
        <v>0</v>
      </c>
      <c r="AT310" s="4" t="n">
        <f aca="false">IF($B310=AT$1,1,0)</f>
        <v>0</v>
      </c>
      <c r="BB310" s="4" t="n">
        <f aca="false">A310</f>
        <v>309</v>
      </c>
      <c r="BC310" s="7" t="n">
        <f aca="false">ABS($T310-$AX$2)+ABS($U310-$AY$2)+ABS($V310-$AZ$2)</f>
        <v>8372.14788732395</v>
      </c>
      <c r="BD310" s="7" t="n">
        <f aca="false">ABS($T310-$AX$3)+ABS($U310-$AY$3)+ABS($V310-$AZ$3)</f>
        <v>32203.7288135593</v>
      </c>
      <c r="BE310" s="7" t="n">
        <f aca="false">ABS($T310-$AX$4)+ABS($U310-$AY$4)+ABS($V310-$AZ$4)</f>
        <v>63335.641509434</v>
      </c>
      <c r="BF310" s="7" t="n">
        <f aca="false">MIN(BC310:BE310)</f>
        <v>8372.14788732395</v>
      </c>
      <c r="BG310" s="4" t="n">
        <f aca="false">MATCH(BF310,BC310:BE310,0)</f>
        <v>1</v>
      </c>
      <c r="BH310" s="8" t="n">
        <v>1</v>
      </c>
      <c r="BI310" s="4" t="n">
        <f aca="false">IF(BG310=BH310,0,1)</f>
        <v>0</v>
      </c>
      <c r="BK310" s="8" t="n">
        <v>1</v>
      </c>
      <c r="BL310" s="8" t="n">
        <v>1</v>
      </c>
      <c r="BM310" s="8" t="n">
        <v>1</v>
      </c>
    </row>
    <row r="311" customFormat="false" ht="15" hidden="false" customHeight="false" outlineLevel="0" collapsed="false">
      <c r="A311" s="3" t="n">
        <v>310</v>
      </c>
      <c r="B311" s="3" t="s">
        <v>38</v>
      </c>
      <c r="C311" s="3" t="n">
        <v>0</v>
      </c>
      <c r="D311" s="3" t="n">
        <v>0</v>
      </c>
      <c r="E311" s="3" t="n">
        <v>1</v>
      </c>
      <c r="F311" s="3" t="n">
        <v>0</v>
      </c>
      <c r="G311" s="3" t="n">
        <v>0</v>
      </c>
      <c r="H311" s="3" t="n">
        <v>4</v>
      </c>
      <c r="I311" s="3" t="n">
        <v>4</v>
      </c>
      <c r="J311" s="3" t="n">
        <v>4</v>
      </c>
      <c r="K311" s="3" t="n">
        <v>5</v>
      </c>
      <c r="L311" s="3" t="n">
        <v>5</v>
      </c>
      <c r="M311" s="3" t="n">
        <v>4</v>
      </c>
      <c r="N311" s="3" t="n">
        <v>4</v>
      </c>
      <c r="O311" s="3" t="n">
        <v>4</v>
      </c>
      <c r="P311" s="3" t="n">
        <v>2</v>
      </c>
      <c r="Q311" s="3" t="n">
        <v>5</v>
      </c>
      <c r="R311" s="3" t="n">
        <v>5</v>
      </c>
      <c r="S311" s="3" t="n">
        <v>4</v>
      </c>
      <c r="T311" s="3" t="n">
        <v>1</v>
      </c>
      <c r="U311" s="3" t="n">
        <v>33</v>
      </c>
      <c r="V311" s="3" t="n">
        <v>80682</v>
      </c>
      <c r="W311" s="3" t="n">
        <v>5</v>
      </c>
      <c r="X311" s="3" t="n">
        <v>3</v>
      </c>
      <c r="Y311" s="3" t="n">
        <v>2</v>
      </c>
      <c r="Z311" s="3" t="n">
        <v>1</v>
      </c>
      <c r="AA311" s="4" t="n">
        <f aca="false">IF($B311=AA$1,1,0)</f>
        <v>0</v>
      </c>
      <c r="AB311" s="4" t="n">
        <f aca="false">IF($B311=AB$1,1,0)</f>
        <v>0</v>
      </c>
      <c r="AC311" s="4" t="n">
        <f aca="false">IF($B311=AC$1,1,0)</f>
        <v>0</v>
      </c>
      <c r="AD311" s="4" t="n">
        <f aca="false">IF($B311=AD$1,1,0)</f>
        <v>0</v>
      </c>
      <c r="AE311" s="4" t="n">
        <f aca="false">IF($B311=AE$1,1,0)</f>
        <v>0</v>
      </c>
      <c r="AF311" s="4" t="n">
        <f aca="false">IF($B311=AF$1,1,0)</f>
        <v>0</v>
      </c>
      <c r="AG311" s="4" t="n">
        <f aca="false">IF($B311=AG$1,1,0)</f>
        <v>0</v>
      </c>
      <c r="AH311" s="4" t="n">
        <f aca="false">IF($B311=AH$1,1,0)</f>
        <v>0</v>
      </c>
      <c r="AI311" s="4" t="n">
        <f aca="false">IF($B311=AI$1,1,0)</f>
        <v>0</v>
      </c>
      <c r="AJ311" s="4" t="n">
        <f aca="false">IF($B311=AJ$1,1,0)</f>
        <v>0</v>
      </c>
      <c r="AK311" s="4" t="n">
        <f aca="false">IF($B311=AK$1,1,0)</f>
        <v>0</v>
      </c>
      <c r="AL311" s="4" t="n">
        <f aca="false">IF($B311=AL$1,1,0)</f>
        <v>0</v>
      </c>
      <c r="AM311" s="4" t="n">
        <f aca="false">IF($B311=AM$1,1,0)</f>
        <v>1</v>
      </c>
      <c r="AN311" s="4" t="n">
        <f aca="false">IF($B311=AN$1,1,0)</f>
        <v>0</v>
      </c>
      <c r="AO311" s="4" t="n">
        <f aca="false">IF($B311=AO$1,1,0)</f>
        <v>0</v>
      </c>
      <c r="AP311" s="4" t="n">
        <f aca="false">IF($B311=AP$1,1,0)</f>
        <v>0</v>
      </c>
      <c r="AQ311" s="4" t="n">
        <f aca="false">IF($B311=AQ$1,1,0)</f>
        <v>0</v>
      </c>
      <c r="AR311" s="4" t="n">
        <f aca="false">IF($B311=AR$1,1,0)</f>
        <v>0</v>
      </c>
      <c r="AS311" s="4" t="n">
        <f aca="false">IF($B311=AS$1,1,0)</f>
        <v>0</v>
      </c>
      <c r="AT311" s="4" t="n">
        <f aca="false">IF($B311=AT$1,1,0)</f>
        <v>0</v>
      </c>
      <c r="BB311" s="4" t="n">
        <f aca="false">A311</f>
        <v>310</v>
      </c>
      <c r="BC311" s="7" t="n">
        <f aca="false">ABS($T311-$AX$2)+ABS($U311-$AY$2)+ABS($V311-$AZ$2)</f>
        <v>57854.3309859155</v>
      </c>
      <c r="BD311" s="7" t="n">
        <f aca="false">ABS($T311-$AX$3)+ABS($U311-$AY$3)+ABS($V311-$AZ$3)</f>
        <v>34028.0338983051</v>
      </c>
      <c r="BE311" s="7" t="n">
        <f aca="false">ABS($T311-$AX$4)+ABS($U311-$AY$4)+ABS($V311-$AZ$4)</f>
        <v>2897.39622641509</v>
      </c>
      <c r="BF311" s="7" t="n">
        <f aca="false">MIN(BC311:BE311)</f>
        <v>2897.39622641509</v>
      </c>
      <c r="BG311" s="4" t="n">
        <f aca="false">MATCH(BF311,BC311:BE311,0)</f>
        <v>3</v>
      </c>
      <c r="BH311" s="8" t="n">
        <v>3</v>
      </c>
      <c r="BI311" s="4" t="n">
        <f aca="false">IF(BG311=BH311,0,1)</f>
        <v>0</v>
      </c>
      <c r="BK311" s="8" t="n">
        <v>3</v>
      </c>
      <c r="BL311" s="8" t="n">
        <v>3</v>
      </c>
      <c r="BM311" s="8" t="n">
        <v>3</v>
      </c>
    </row>
    <row r="312" customFormat="false" ht="15" hidden="false" customHeight="false" outlineLevel="0" collapsed="false">
      <c r="A312" s="3" t="n">
        <v>311</v>
      </c>
      <c r="B312" s="3" t="s">
        <v>35</v>
      </c>
      <c r="C312" s="3" t="n">
        <v>1</v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4</v>
      </c>
      <c r="I312" s="3" t="n">
        <v>4</v>
      </c>
      <c r="J312" s="3" t="n">
        <v>5</v>
      </c>
      <c r="K312" s="3" t="n">
        <v>5</v>
      </c>
      <c r="L312" s="3" t="n">
        <v>5</v>
      </c>
      <c r="M312" s="3" t="n">
        <v>4</v>
      </c>
      <c r="N312" s="3" t="n">
        <v>4</v>
      </c>
      <c r="O312" s="3" t="n">
        <v>3</v>
      </c>
      <c r="P312" s="3" t="n">
        <v>3</v>
      </c>
      <c r="Q312" s="3" t="n">
        <v>5</v>
      </c>
      <c r="R312" s="3" t="n">
        <v>4</v>
      </c>
      <c r="S312" s="3" t="n">
        <v>4</v>
      </c>
      <c r="T312" s="3" t="n">
        <v>0</v>
      </c>
      <c r="U312" s="3" t="n">
        <v>21</v>
      </c>
      <c r="V312" s="3" t="n">
        <v>28482</v>
      </c>
      <c r="W312" s="3" t="n">
        <v>1</v>
      </c>
      <c r="X312" s="3" t="n">
        <v>4</v>
      </c>
      <c r="Y312" s="3" t="n">
        <v>1</v>
      </c>
      <c r="Z312" s="3" t="n">
        <v>1</v>
      </c>
      <c r="AA312" s="4" t="n">
        <f aca="false">IF($B312=AA$1,1,0)</f>
        <v>0</v>
      </c>
      <c r="AB312" s="4" t="n">
        <f aca="false">IF($B312=AB$1,1,0)</f>
        <v>0</v>
      </c>
      <c r="AC312" s="4" t="n">
        <f aca="false">IF($B312=AC$1,1,0)</f>
        <v>0</v>
      </c>
      <c r="AD312" s="4" t="n">
        <f aca="false">IF($B312=AD$1,1,0)</f>
        <v>0</v>
      </c>
      <c r="AE312" s="4" t="n">
        <f aca="false">IF($B312=AE$1,1,0)</f>
        <v>0</v>
      </c>
      <c r="AF312" s="4" t="n">
        <f aca="false">IF($B312=AF$1,1,0)</f>
        <v>0</v>
      </c>
      <c r="AG312" s="4" t="n">
        <f aca="false">IF($B312=AG$1,1,0)</f>
        <v>0</v>
      </c>
      <c r="AH312" s="4" t="n">
        <f aca="false">IF($B312=AH$1,1,0)</f>
        <v>0</v>
      </c>
      <c r="AI312" s="4" t="n">
        <f aca="false">IF($B312=AI$1,1,0)</f>
        <v>0</v>
      </c>
      <c r="AJ312" s="4" t="n">
        <f aca="false">IF($B312=AJ$1,1,0)</f>
        <v>1</v>
      </c>
      <c r="AK312" s="4" t="n">
        <f aca="false">IF($B312=AK$1,1,0)</f>
        <v>0</v>
      </c>
      <c r="AL312" s="4" t="n">
        <f aca="false">IF($B312=AL$1,1,0)</f>
        <v>0</v>
      </c>
      <c r="AM312" s="4" t="n">
        <f aca="false">IF($B312=AM$1,1,0)</f>
        <v>0</v>
      </c>
      <c r="AN312" s="4" t="n">
        <f aca="false">IF($B312=AN$1,1,0)</f>
        <v>0</v>
      </c>
      <c r="AO312" s="4" t="n">
        <f aca="false">IF($B312=AO$1,1,0)</f>
        <v>0</v>
      </c>
      <c r="AP312" s="4" t="n">
        <f aca="false">IF($B312=AP$1,1,0)</f>
        <v>0</v>
      </c>
      <c r="AQ312" s="4" t="n">
        <f aca="false">IF($B312=AQ$1,1,0)</f>
        <v>0</v>
      </c>
      <c r="AR312" s="4" t="n">
        <f aca="false">IF($B312=AR$1,1,0)</f>
        <v>0</v>
      </c>
      <c r="AS312" s="4" t="n">
        <f aca="false">IF($B312=AS$1,1,0)</f>
        <v>0</v>
      </c>
      <c r="AT312" s="4" t="n">
        <f aca="false">IF($B312=AT$1,1,0)</f>
        <v>0</v>
      </c>
      <c r="BB312" s="4" t="n">
        <f aca="false">A312</f>
        <v>311</v>
      </c>
      <c r="BC312" s="7" t="n">
        <f aca="false">ABS($T312-$AX$2)+ABS($U312-$AY$2)+ABS($V312-$AZ$2)</f>
        <v>5665.7676056338</v>
      </c>
      <c r="BD312" s="7" t="n">
        <f aca="false">ABS($T312-$AX$3)+ABS($U312-$AY$3)+ABS($V312-$AZ$3)</f>
        <v>18201.7288135593</v>
      </c>
      <c r="BE312" s="7" t="n">
        <f aca="false">ABS($T312-$AX$4)+ABS($U312-$AY$4)+ABS($V312-$AZ$4)</f>
        <v>49333.641509434</v>
      </c>
      <c r="BF312" s="7" t="n">
        <f aca="false">MIN(BC312:BE312)</f>
        <v>5665.7676056338</v>
      </c>
      <c r="BG312" s="4" t="n">
        <f aca="false">MATCH(BF312,BC312:BE312,0)</f>
        <v>1</v>
      </c>
      <c r="BH312" s="8" t="n">
        <v>1</v>
      </c>
      <c r="BI312" s="4" t="n">
        <f aca="false">IF(BG312=BH312,0,1)</f>
        <v>0</v>
      </c>
      <c r="BK312" s="8" t="n">
        <v>1</v>
      </c>
      <c r="BL312" s="8" t="n">
        <v>1</v>
      </c>
      <c r="BM312" s="8" t="n">
        <v>1</v>
      </c>
    </row>
    <row r="313" customFormat="false" ht="15" hidden="false" customHeight="false" outlineLevel="0" collapsed="false">
      <c r="A313" s="3" t="n">
        <v>312</v>
      </c>
      <c r="B313" s="3" t="s">
        <v>33</v>
      </c>
      <c r="C313" s="3" t="n">
        <v>0</v>
      </c>
      <c r="D313" s="3" t="n">
        <v>1</v>
      </c>
      <c r="E313" s="3" t="n">
        <v>0</v>
      </c>
      <c r="F313" s="3" t="n">
        <v>0</v>
      </c>
      <c r="G313" s="3" t="n">
        <v>0</v>
      </c>
      <c r="H313" s="3" t="n">
        <v>4</v>
      </c>
      <c r="I313" s="3" t="n">
        <v>4</v>
      </c>
      <c r="J313" s="3" t="n">
        <v>4</v>
      </c>
      <c r="K313" s="3" t="n">
        <v>4</v>
      </c>
      <c r="L313" s="3" t="n">
        <v>5</v>
      </c>
      <c r="M313" s="3" t="n">
        <v>4</v>
      </c>
      <c r="N313" s="3" t="n">
        <v>3</v>
      </c>
      <c r="O313" s="3" t="n">
        <v>4</v>
      </c>
      <c r="P313" s="3" t="n">
        <v>3</v>
      </c>
      <c r="Q313" s="3" t="n">
        <v>5</v>
      </c>
      <c r="R313" s="3" t="n">
        <v>5</v>
      </c>
      <c r="S313" s="3" t="n">
        <v>5</v>
      </c>
      <c r="T313" s="3" t="n">
        <v>0</v>
      </c>
      <c r="U313" s="3" t="n">
        <v>60</v>
      </c>
      <c r="V313" s="3" t="n">
        <v>74211</v>
      </c>
      <c r="W313" s="3" t="n">
        <v>3</v>
      </c>
      <c r="X313" s="3" t="n">
        <v>3</v>
      </c>
      <c r="Y313" s="3" t="n">
        <v>2</v>
      </c>
      <c r="Z313" s="3" t="n">
        <v>2</v>
      </c>
      <c r="AA313" s="4" t="n">
        <f aca="false">IF($B313=AA$1,1,0)</f>
        <v>0</v>
      </c>
      <c r="AB313" s="4" t="n">
        <f aca="false">IF($B313=AB$1,1,0)</f>
        <v>0</v>
      </c>
      <c r="AC313" s="4" t="n">
        <f aca="false">IF($B313=AC$1,1,0)</f>
        <v>0</v>
      </c>
      <c r="AD313" s="4" t="n">
        <f aca="false">IF($B313=AD$1,1,0)</f>
        <v>0</v>
      </c>
      <c r="AE313" s="4" t="n">
        <f aca="false">IF($B313=AE$1,1,0)</f>
        <v>0</v>
      </c>
      <c r="AF313" s="4" t="n">
        <f aca="false">IF($B313=AF$1,1,0)</f>
        <v>0</v>
      </c>
      <c r="AG313" s="4" t="n">
        <f aca="false">IF($B313=AG$1,1,0)</f>
        <v>0</v>
      </c>
      <c r="AH313" s="4" t="n">
        <f aca="false">IF($B313=AH$1,1,0)</f>
        <v>1</v>
      </c>
      <c r="AI313" s="4" t="n">
        <f aca="false">IF($B313=AI$1,1,0)</f>
        <v>0</v>
      </c>
      <c r="AJ313" s="4" t="n">
        <f aca="false">IF($B313=AJ$1,1,0)</f>
        <v>0</v>
      </c>
      <c r="AK313" s="4" t="n">
        <f aca="false">IF($B313=AK$1,1,0)</f>
        <v>0</v>
      </c>
      <c r="AL313" s="4" t="n">
        <f aca="false">IF($B313=AL$1,1,0)</f>
        <v>0</v>
      </c>
      <c r="AM313" s="4" t="n">
        <f aca="false">IF($B313=AM$1,1,0)</f>
        <v>0</v>
      </c>
      <c r="AN313" s="4" t="n">
        <f aca="false">IF($B313=AN$1,1,0)</f>
        <v>0</v>
      </c>
      <c r="AO313" s="4" t="n">
        <f aca="false">IF($B313=AO$1,1,0)</f>
        <v>0</v>
      </c>
      <c r="AP313" s="4" t="n">
        <f aca="false">IF($B313=AP$1,1,0)</f>
        <v>0</v>
      </c>
      <c r="AQ313" s="4" t="n">
        <f aca="false">IF($B313=AQ$1,1,0)</f>
        <v>0</v>
      </c>
      <c r="AR313" s="4" t="n">
        <f aca="false">IF($B313=AR$1,1,0)</f>
        <v>0</v>
      </c>
      <c r="AS313" s="4" t="n">
        <f aca="false">IF($B313=AS$1,1,0)</f>
        <v>0</v>
      </c>
      <c r="AT313" s="4" t="n">
        <f aca="false">IF($B313=AT$1,1,0)</f>
        <v>0</v>
      </c>
      <c r="BB313" s="4" t="n">
        <f aca="false">A313</f>
        <v>312</v>
      </c>
      <c r="BC313" s="7" t="n">
        <f aca="false">ABS($T313-$AX$2)+ABS($U313-$AY$2)+ABS($V313-$AZ$2)</f>
        <v>51398.2887323944</v>
      </c>
      <c r="BD313" s="7" t="n">
        <f aca="false">ABS($T313-$AX$3)+ABS($U313-$AY$3)+ABS($V313-$AZ$3)</f>
        <v>27566.6440677966</v>
      </c>
      <c r="BE313" s="7" t="n">
        <f aca="false">ABS($T313-$AX$4)+ABS($U313-$AY$4)+ABS($V313-$AZ$4)</f>
        <v>3601.60377358491</v>
      </c>
      <c r="BF313" s="7" t="n">
        <f aca="false">MIN(BC313:BE313)</f>
        <v>3601.60377358491</v>
      </c>
      <c r="BG313" s="4" t="n">
        <f aca="false">MATCH(BF313,BC313:BE313,0)</f>
        <v>3</v>
      </c>
      <c r="BH313" s="8" t="n">
        <v>3</v>
      </c>
      <c r="BI313" s="4" t="n">
        <f aca="false">IF(BG313=BH313,0,1)</f>
        <v>0</v>
      </c>
      <c r="BK313" s="8" t="n">
        <v>3</v>
      </c>
      <c r="BL313" s="8" t="n">
        <v>3</v>
      </c>
      <c r="BM313" s="8" t="n">
        <v>3</v>
      </c>
    </row>
    <row r="314" customFormat="false" ht="15" hidden="false" customHeight="false" outlineLevel="0" collapsed="false">
      <c r="A314" s="3" t="n">
        <v>313</v>
      </c>
      <c r="B314" s="3" t="s">
        <v>36</v>
      </c>
      <c r="C314" s="3" t="n">
        <v>0</v>
      </c>
      <c r="D314" s="3" t="n">
        <v>0</v>
      </c>
      <c r="E314" s="3" t="n">
        <v>1</v>
      </c>
      <c r="F314" s="3" t="n">
        <v>0</v>
      </c>
      <c r="G314" s="3" t="n">
        <v>0</v>
      </c>
      <c r="H314" s="3" t="n">
        <v>5</v>
      </c>
      <c r="I314" s="3" t="n">
        <v>5</v>
      </c>
      <c r="J314" s="3" t="n">
        <v>4</v>
      </c>
      <c r="K314" s="3" t="n">
        <v>4</v>
      </c>
      <c r="L314" s="3" t="n">
        <v>5</v>
      </c>
      <c r="M314" s="3" t="n">
        <v>4</v>
      </c>
      <c r="N314" s="3" t="n">
        <v>2</v>
      </c>
      <c r="O314" s="3" t="n">
        <v>5</v>
      </c>
      <c r="P314" s="3" t="n">
        <v>5</v>
      </c>
      <c r="Q314" s="3" t="n">
        <v>5</v>
      </c>
      <c r="R314" s="3" t="n">
        <v>5</v>
      </c>
      <c r="S314" s="3" t="n">
        <v>5</v>
      </c>
      <c r="T314" s="3" t="n">
        <v>0</v>
      </c>
      <c r="U314" s="3" t="n">
        <v>43</v>
      </c>
      <c r="V314" s="3" t="n">
        <v>42644</v>
      </c>
      <c r="W314" s="3" t="n">
        <v>1</v>
      </c>
      <c r="X314" s="3" t="n">
        <v>2</v>
      </c>
      <c r="Y314" s="3" t="n">
        <v>2</v>
      </c>
      <c r="Z314" s="3" t="n">
        <v>2</v>
      </c>
      <c r="AA314" s="4" t="n">
        <f aca="false">IF($B314=AA$1,1,0)</f>
        <v>0</v>
      </c>
      <c r="AB314" s="4" t="n">
        <f aca="false">IF($B314=AB$1,1,0)</f>
        <v>0</v>
      </c>
      <c r="AC314" s="4" t="n">
        <f aca="false">IF($B314=AC$1,1,0)</f>
        <v>0</v>
      </c>
      <c r="AD314" s="4" t="n">
        <f aca="false">IF($B314=AD$1,1,0)</f>
        <v>0</v>
      </c>
      <c r="AE314" s="4" t="n">
        <f aca="false">IF($B314=AE$1,1,0)</f>
        <v>0</v>
      </c>
      <c r="AF314" s="4" t="n">
        <f aca="false">IF($B314=AF$1,1,0)</f>
        <v>0</v>
      </c>
      <c r="AG314" s="4" t="n">
        <f aca="false">IF($B314=AG$1,1,0)</f>
        <v>0</v>
      </c>
      <c r="AH314" s="4" t="n">
        <f aca="false">IF($B314=AH$1,1,0)</f>
        <v>0</v>
      </c>
      <c r="AI314" s="4" t="n">
        <f aca="false">IF($B314=AI$1,1,0)</f>
        <v>0</v>
      </c>
      <c r="AJ314" s="4" t="n">
        <f aca="false">IF($B314=AJ$1,1,0)</f>
        <v>0</v>
      </c>
      <c r="AK314" s="4" t="n">
        <f aca="false">IF($B314=AK$1,1,0)</f>
        <v>1</v>
      </c>
      <c r="AL314" s="4" t="n">
        <f aca="false">IF($B314=AL$1,1,0)</f>
        <v>0</v>
      </c>
      <c r="AM314" s="4" t="n">
        <f aca="false">IF($B314=AM$1,1,0)</f>
        <v>0</v>
      </c>
      <c r="AN314" s="4" t="n">
        <f aca="false">IF($B314=AN$1,1,0)</f>
        <v>0</v>
      </c>
      <c r="AO314" s="4" t="n">
        <f aca="false">IF($B314=AO$1,1,0)</f>
        <v>0</v>
      </c>
      <c r="AP314" s="4" t="n">
        <f aca="false">IF($B314=AP$1,1,0)</f>
        <v>0</v>
      </c>
      <c r="AQ314" s="4" t="n">
        <f aca="false">IF($B314=AQ$1,1,0)</f>
        <v>0</v>
      </c>
      <c r="AR314" s="4" t="n">
        <f aca="false">IF($B314=AR$1,1,0)</f>
        <v>0</v>
      </c>
      <c r="AS314" s="4" t="n">
        <f aca="false">IF($B314=AS$1,1,0)</f>
        <v>0</v>
      </c>
      <c r="AT314" s="4" t="n">
        <f aca="false">IF($B314=AT$1,1,0)</f>
        <v>0</v>
      </c>
      <c r="BB314" s="4" t="n">
        <f aca="false">A314</f>
        <v>313</v>
      </c>
      <c r="BC314" s="7" t="n">
        <f aca="false">ABS($T314-$AX$2)+ABS($U314-$AY$2)+ABS($V314-$AZ$2)</f>
        <v>19814.2887323944</v>
      </c>
      <c r="BD314" s="7" t="n">
        <f aca="false">ABS($T314-$AX$3)+ABS($U314-$AY$3)+ABS($V314-$AZ$3)</f>
        <v>4020.96610169492</v>
      </c>
      <c r="BE314" s="7" t="n">
        <f aca="false">ABS($T314-$AX$4)+ABS($U314-$AY$4)+ABS($V314-$AZ$4)</f>
        <v>35151.6037735849</v>
      </c>
      <c r="BF314" s="7" t="n">
        <f aca="false">MIN(BC314:BE314)</f>
        <v>4020.96610169492</v>
      </c>
      <c r="BG314" s="4" t="n">
        <f aca="false">MATCH(BF314,BC314:BE314,0)</f>
        <v>2</v>
      </c>
      <c r="BH314" s="8" t="n">
        <v>2</v>
      </c>
      <c r="BI314" s="4" t="n">
        <f aca="false">IF(BG314=BH314,0,1)</f>
        <v>0</v>
      </c>
      <c r="BK314" s="8" t="n">
        <v>2</v>
      </c>
      <c r="BL314" s="8" t="n">
        <v>2</v>
      </c>
      <c r="BM314" s="8" t="n">
        <v>2</v>
      </c>
    </row>
  </sheetData>
  <autoFilter ref="A1:AT3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5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42"/>
    <col collapsed="false" customWidth="true" hidden="false" outlineLevel="0" max="8" min="8" style="0" width="20"/>
    <col collapsed="false" customWidth="true" hidden="false" outlineLevel="0" max="11" min="9" style="0" width="9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4" t="s">
        <v>81</v>
      </c>
    </row>
    <row r="2" customFormat="false" ht="15" hidden="false" customHeight="false" outlineLevel="0" collapsed="false">
      <c r="A2" s="3" t="s">
        <v>82</v>
      </c>
    </row>
    <row r="4" customFormat="false" ht="30" hidden="false" customHeight="true" outlineLevel="0" collapsed="false">
      <c r="A4" s="1" t="s">
        <v>50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  <c r="H4" s="2" t="s">
        <v>89</v>
      </c>
      <c r="I4" s="2" t="s">
        <v>2</v>
      </c>
      <c r="J4" s="2" t="s">
        <v>3</v>
      </c>
      <c r="K4" s="2" t="s">
        <v>4</v>
      </c>
      <c r="L4" s="2" t="s">
        <v>5</v>
      </c>
    </row>
    <row r="5" customFormat="false" ht="15" hidden="false" customHeight="false" outlineLevel="0" collapsed="false">
      <c r="A5" s="15" t="n">
        <v>1</v>
      </c>
      <c r="B5" s="4" t="n">
        <f aca="false">COUNTIF(ChipotleData!$BG$2:$BG$314,A5)</f>
        <v>142</v>
      </c>
      <c r="C5" s="16" t="n">
        <f aca="false">B5/$B$8</f>
        <v>0.453674121405751</v>
      </c>
      <c r="D5" s="16" t="n">
        <f aca="false">AVERAGEIF(ChipotleData!$BG$2:$BG$314,$A5,ChipotleData!T$2:T$314)</f>
        <v>0.21830985915493</v>
      </c>
      <c r="E5" s="17" t="n">
        <f aca="false">AVERAGEIF(ChipotleData!$BG$2:$BG$314,$A5,ChipotleData!U$2:U$314)</f>
        <v>38.7394366197183</v>
      </c>
      <c r="F5" s="18" t="n">
        <f aca="false">AVERAGEIF(ChipotleData!$BG$2:$BG$314,$A5,ChipotleData!V$2:V$314)</f>
        <v>22834.1901408451</v>
      </c>
      <c r="G5" s="19" t="s">
        <v>90</v>
      </c>
      <c r="H5" s="20" t="n">
        <f aca="false">AVERAGEIF(ChipotleData!$BG$2:$BG$314,$A5,ChipotleData!G$2:G$314)</f>
        <v>0.345070422535211</v>
      </c>
      <c r="I5" s="20" t="n">
        <f aca="false">AVERAGEIF(ChipotleData!$BG$2:$BG$314,$A5,ChipotleData!C$2:C$314)</f>
        <v>0.647887323943662</v>
      </c>
      <c r="J5" s="20" t="n">
        <f aca="false">AVERAGEIF(ChipotleData!$BG$2:$BG$314,$A5,ChipotleData!D$2:D$314)</f>
        <v>0.112676056338028</v>
      </c>
      <c r="K5" s="20" t="n">
        <f aca="false">AVERAGEIF(ChipotleData!$BG$2:$BG$314,$A5,ChipotleData!E$2:E$314)</f>
        <v>0.295774647887324</v>
      </c>
      <c r="L5" s="20" t="n">
        <f aca="false">AVERAGEIF(ChipotleData!$BG$2:$BG$314,$A5,ChipotleData!F$2:F$314)</f>
        <v>0.028169014084507</v>
      </c>
    </row>
    <row r="6" customFormat="false" ht="15" hidden="false" customHeight="false" outlineLevel="0" collapsed="false">
      <c r="A6" s="15" t="n">
        <v>2</v>
      </c>
      <c r="B6" s="4" t="n">
        <f aca="false">COUNTIF(ChipotleData!$BG$2:$BG$314,A6)</f>
        <v>118</v>
      </c>
      <c r="C6" s="16" t="n">
        <f aca="false">B6/$B$8</f>
        <v>0.376996805111821</v>
      </c>
      <c r="D6" s="16" t="n">
        <f aca="false">AVERAGEIF(ChipotleData!$BG$2:$BG$314,$A6,ChipotleData!T$2:T$314)</f>
        <v>0.186440677966102</v>
      </c>
      <c r="E6" s="17" t="n">
        <f aca="false">AVERAGEIF(ChipotleData!$BG$2:$BG$314,$A6,ChipotleData!U$2:U$314)</f>
        <v>41.3813559322034</v>
      </c>
      <c r="F6" s="18" t="n">
        <f aca="false">AVERAGEIF(ChipotleData!$BG$2:$BG$314,$A6,ChipotleData!V$2:V$314)</f>
        <v>46663.1610169492</v>
      </c>
      <c r="G6" s="19" t="s">
        <v>91</v>
      </c>
      <c r="H6" s="20" t="n">
        <f aca="false">AVERAGEIF(ChipotleData!$BG$2:$BG$314,$A6,ChipotleData!G$2:G$314)</f>
        <v>0.466101694915254</v>
      </c>
      <c r="I6" s="20" t="n">
        <f aca="false">AVERAGEIF(ChipotleData!$BG$2:$BG$314,$A6,ChipotleData!C$2:C$314)</f>
        <v>0.550847457627119</v>
      </c>
      <c r="J6" s="20" t="n">
        <f aca="false">AVERAGEIF(ChipotleData!$BG$2:$BG$314,$A6,ChipotleData!D$2:D$314)</f>
        <v>0</v>
      </c>
      <c r="K6" s="20" t="n">
        <f aca="false">AVERAGEIF(ChipotleData!$BG$2:$BG$314,$A6,ChipotleData!E$2:E$314)</f>
        <v>0.338983050847458</v>
      </c>
      <c r="L6" s="20" t="n">
        <f aca="false">AVERAGEIF(ChipotleData!$BG$2:$BG$314,$A6,ChipotleData!F$2:F$314)</f>
        <v>0</v>
      </c>
    </row>
    <row r="7" customFormat="false" ht="15" hidden="false" customHeight="false" outlineLevel="0" collapsed="false">
      <c r="A7" s="15" t="n">
        <v>3</v>
      </c>
      <c r="B7" s="4" t="n">
        <f aca="false">COUNTIF(ChipotleData!$BG$2:$BG$314,A7)</f>
        <v>53</v>
      </c>
      <c r="C7" s="16" t="n">
        <f aca="false">B7/$B$8</f>
        <v>0.169329073482428</v>
      </c>
      <c r="D7" s="16" t="n">
        <f aca="false">AVERAGEIF(ChipotleData!$BG$2:$BG$314,$A7,ChipotleData!T$2:T$314)</f>
        <v>0.264150943396226</v>
      </c>
      <c r="E7" s="17" t="n">
        <f aca="false">AVERAGEIF(ChipotleData!$BG$2:$BG$314,$A7,ChipotleData!U$2:U$314)</f>
        <v>42.0188679245283</v>
      </c>
      <c r="F7" s="18" t="n">
        <f aca="false">AVERAGEIF(ChipotleData!$BG$2:$BG$314,$A7,ChipotleData!V$2:V$314)</f>
        <v>77794.358490566</v>
      </c>
      <c r="G7" s="19" t="s">
        <v>92</v>
      </c>
      <c r="H7" s="20" t="n">
        <f aca="false">AVERAGEIF(ChipotleData!$BG$2:$BG$314,$A7,ChipotleData!G$2:G$314)</f>
        <v>0.415094339622642</v>
      </c>
      <c r="I7" s="20" t="n">
        <f aca="false">AVERAGEIF(ChipotleData!$BG$2:$BG$314,$A7,ChipotleData!C$2:C$314)</f>
        <v>0.39622641509434</v>
      </c>
      <c r="J7" s="20" t="n">
        <f aca="false">AVERAGEIF(ChipotleData!$BG$2:$BG$314,$A7,ChipotleData!D$2:D$314)</f>
        <v>0.150943396226415</v>
      </c>
      <c r="K7" s="20" t="n">
        <f aca="false">AVERAGEIF(ChipotleData!$BG$2:$BG$314,$A7,ChipotleData!E$2:E$314)</f>
        <v>0.415094339622642</v>
      </c>
      <c r="L7" s="20" t="n">
        <f aca="false">AVERAGEIF(ChipotleData!$BG$2:$BG$314,$A7,ChipotleData!F$2:F$314)</f>
        <v>0</v>
      </c>
    </row>
    <row r="8" customFormat="false" ht="15" hidden="false" customHeight="false" outlineLevel="0" collapsed="false">
      <c r="A8" s="9" t="s">
        <v>93</v>
      </c>
      <c r="B8" s="15" t="n">
        <f aca="false">SUM(B5:B7)</f>
        <v>313</v>
      </c>
      <c r="C8" s="21" t="n">
        <f aca="false">SUM(C5:C7)</f>
        <v>1</v>
      </c>
      <c r="D8" s="21" t="n">
        <f aca="false">AVERAGE(ChipotleData!T$2:T$314)</f>
        <v>0.21405750798722</v>
      </c>
      <c r="E8" s="22" t="n">
        <f aca="false">AVERAGE(ChipotleData!U$2:U$314)</f>
        <v>40.2907348242812</v>
      </c>
      <c r="F8" s="23" t="n">
        <f aca="false">AVERAGE(ChipotleData!V$2:V$314)</f>
        <v>41123.9904153355</v>
      </c>
      <c r="G8" s="9" t="s">
        <v>94</v>
      </c>
      <c r="H8" s="24" t="n">
        <f aca="false">AVERAGE(ChipotleData!G$2:G$314)</f>
        <v>0.402555910543131</v>
      </c>
      <c r="I8" s="24" t="n">
        <f aca="false">AVERAGE(ChipotleData!C$2:C$314)</f>
        <v>0.568690095846645</v>
      </c>
      <c r="J8" s="24" t="n">
        <f aca="false">AVERAGE(ChipotleData!D$2:D$314)</f>
        <v>0.0766773162939297</v>
      </c>
      <c r="K8" s="24" t="n">
        <f aca="false">AVERAGE(ChipotleData!E$2:E$314)</f>
        <v>0.332268370607029</v>
      </c>
      <c r="L8" s="24" t="n">
        <f aca="false">AVERAGE(ChipotleData!F$2:F$314)</f>
        <v>0.012779552715655</v>
      </c>
    </row>
    <row r="10" customFormat="false" ht="15" hidden="false" customHeight="false" outlineLevel="0" collapsed="false">
      <c r="A10" s="9" t="s">
        <v>95</v>
      </c>
    </row>
    <row r="11" customFormat="false" ht="15" hidden="false" customHeight="false" outlineLevel="0" collapsed="false">
      <c r="A11" s="1" t="s">
        <v>96</v>
      </c>
      <c r="B11" s="1" t="s">
        <v>97</v>
      </c>
      <c r="C11" s="1" t="s">
        <v>98</v>
      </c>
    </row>
    <row r="12" customFormat="false" ht="15" hidden="false" customHeight="false" outlineLevel="0" collapsed="false">
      <c r="A12" s="3" t="s">
        <v>85</v>
      </c>
      <c r="B12" s="4" t="n">
        <f aca="false">INDEX($A$5:$A$7,MATCH(MAX(D5:D7),D5:D7,0))</f>
        <v>3</v>
      </c>
      <c r="C12" s="4" t="n">
        <f aca="false">INDEX($A$5:$A$7,MATCH(MIN(D5:D7),D5:D7,0))</f>
        <v>2</v>
      </c>
    </row>
    <row r="13" customFormat="false" ht="15" hidden="false" customHeight="false" outlineLevel="0" collapsed="false">
      <c r="A13" s="3" t="s">
        <v>86</v>
      </c>
      <c r="B13" s="4" t="n">
        <f aca="false">INDEX($A$5:$A$7,MATCH(MAX(E5:E7),E5:E7,0))</f>
        <v>3</v>
      </c>
      <c r="C13" s="4" t="n">
        <f aca="false">INDEX($A$5:$A$7,MATCH(MIN(E5:E7),E5:E7,0))</f>
        <v>1</v>
      </c>
    </row>
    <row r="14" customFormat="false" ht="15" hidden="false" customHeight="false" outlineLevel="0" collapsed="false">
      <c r="A14" s="3" t="s">
        <v>87</v>
      </c>
      <c r="B14" s="4" t="n">
        <f aca="false">INDEX($A$5:$A$7,MATCH(MAX(F5:F7),F5:F7,0))</f>
        <v>3</v>
      </c>
      <c r="C14" s="4" t="n">
        <f aca="false">INDEX($A$5:$A$7,MATCH(MIN(F5:F7),F5:F7,0))</f>
        <v>1</v>
      </c>
    </row>
    <row r="15" customFormat="false" ht="15" hidden="false" customHeight="false" outlineLevel="0" collapsed="false">
      <c r="A15" s="3" t="s">
        <v>89</v>
      </c>
      <c r="B15" s="4" t="n">
        <f aca="false">INDEX($A$5:$A$7,MATCH(MAX(H5:H7),H5:H7,0))</f>
        <v>2</v>
      </c>
      <c r="C15" s="4" t="n">
        <f aca="false">INDEX($A$5:$A$7,MATCH(MIN(H5:H7),H5:H7,0))</f>
        <v>1</v>
      </c>
    </row>
    <row r="16" customFormat="false" ht="15" hidden="false" customHeight="false" outlineLevel="0" collapsed="false">
      <c r="A16" s="3" t="s">
        <v>2</v>
      </c>
      <c r="B16" s="4" t="n">
        <f aca="false">INDEX($A$5:$A$7,MATCH(MAX(I5:I7),I5:I7,0))</f>
        <v>1</v>
      </c>
      <c r="C16" s="4" t="n">
        <f aca="false">INDEX($A$5:$A$7,MATCH(MIN(I5:I7),I5:I7,0))</f>
        <v>3</v>
      </c>
    </row>
    <row r="17" customFormat="false" ht="15" hidden="false" customHeight="false" outlineLevel="0" collapsed="false">
      <c r="A17" s="3" t="s">
        <v>3</v>
      </c>
      <c r="B17" s="4" t="n">
        <f aca="false">INDEX($A$5:$A$7,MATCH(MAX(J5:J7),J5:J7,0))</f>
        <v>3</v>
      </c>
      <c r="C17" s="4" t="n">
        <f aca="false">INDEX($A$5:$A$7,MATCH(MIN(J5:J7),J5:J7,0))</f>
        <v>2</v>
      </c>
    </row>
    <row r="18" customFormat="false" ht="15" hidden="false" customHeight="false" outlineLevel="0" collapsed="false">
      <c r="A18" s="3" t="s">
        <v>4</v>
      </c>
      <c r="B18" s="4" t="n">
        <f aca="false">INDEX($A$5:$A$7,MATCH(MAX(K5:K7),K5:K7,0))</f>
        <v>3</v>
      </c>
      <c r="C18" s="4" t="n">
        <f aca="false">INDEX($A$5:$A$7,MATCH(MIN(K5:K7),K5:K7,0))</f>
        <v>1</v>
      </c>
    </row>
    <row r="19" customFormat="false" ht="15" hidden="false" customHeight="false" outlineLevel="0" collapsed="false">
      <c r="A19" s="3" t="s">
        <v>5</v>
      </c>
      <c r="B19" s="4" t="n">
        <f aca="false">INDEX($A$5:$A$7,MATCH(MAX(L5:L7),L5:L7,0))</f>
        <v>1</v>
      </c>
      <c r="C19" s="4" t="n">
        <f aca="false">INDEX($A$5:$A$7,MATCH(MIN(L5:L7),L5:L7,0))</f>
        <v>2</v>
      </c>
    </row>
    <row r="21" customFormat="false" ht="15" hidden="false" customHeight="false" outlineLevel="0" collapsed="false">
      <c r="A21" s="9" t="s">
        <v>99</v>
      </c>
    </row>
    <row r="22" customFormat="false" ht="15" hidden="false" customHeight="false" outlineLevel="0" collapsed="false">
      <c r="A22" s="3" t="s">
        <v>100</v>
      </c>
    </row>
    <row r="23" customFormat="false" ht="15" hidden="false" customHeight="false" outlineLevel="0" collapsed="false">
      <c r="A23" s="3" t="s">
        <v>101</v>
      </c>
    </row>
    <row r="24" customFormat="false" ht="15" hidden="false" customHeight="false" outlineLevel="0" collapsed="false">
      <c r="A24" s="3" t="s">
        <v>102</v>
      </c>
    </row>
    <row r="25" customFormat="false" ht="15" hidden="false" customHeight="false" outlineLevel="0" collapsed="false">
      <c r="A25" s="3" t="s">
        <v>103</v>
      </c>
    </row>
    <row r="26" customFormat="false" ht="15" hidden="false" customHeight="false" outlineLevel="0" collapsed="false">
      <c r="A26" s="3" t="s">
        <v>104</v>
      </c>
    </row>
    <row r="27" customFormat="false" ht="15" hidden="false" customHeight="false" outlineLevel="0" collapsed="false">
      <c r="A27" s="3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85546875" defaultRowHeight="12.75" zeroHeight="false" outlineLevelRow="0" outlineLevelCol="0"/>
  <cols>
    <col collapsed="false" customWidth="true" hidden="false" outlineLevel="0" max="1" min="1" style="25" width="20.57"/>
    <col collapsed="false" customWidth="true" hidden="false" outlineLevel="0" max="2" min="2" style="25" width="12.14"/>
    <col collapsed="false" customWidth="true" hidden="false" outlineLevel="0" max="3" min="3" style="25" width="13.14"/>
    <col collapsed="false" customWidth="true" hidden="false" outlineLevel="0" max="4" min="4" style="25" width="32.14"/>
    <col collapsed="false" customWidth="true" hidden="false" outlineLevel="0" max="5" min="5" style="25" width="62.29"/>
    <col collapsed="false" customWidth="false" hidden="false" outlineLevel="0" max="16384" min="6" style="25" width="8.85"/>
  </cols>
  <sheetData>
    <row r="1" customFormat="false" ht="15" hidden="false" customHeight="true" outlineLevel="0" collapsed="false">
      <c r="A1" s="26" t="s">
        <v>96</v>
      </c>
      <c r="B1" s="26" t="s">
        <v>106</v>
      </c>
      <c r="C1" s="26" t="s">
        <v>107</v>
      </c>
      <c r="D1" s="26" t="s">
        <v>108</v>
      </c>
      <c r="E1" s="26" t="s">
        <v>109</v>
      </c>
    </row>
    <row r="2" customFormat="false" ht="13.5" hidden="false" customHeight="true" outlineLevel="0" collapsed="false">
      <c r="A2" s="27" t="s">
        <v>1</v>
      </c>
      <c r="B2" s="3" t="s">
        <v>110</v>
      </c>
      <c r="C2" s="3" t="s">
        <v>111</v>
      </c>
      <c r="D2" s="25" t="s">
        <v>112</v>
      </c>
      <c r="E2" s="25" t="s">
        <v>113</v>
      </c>
    </row>
    <row r="3" customFormat="false" ht="13.5" hidden="false" customHeight="true" outlineLevel="0" collapsed="false">
      <c r="A3" s="28" t="s">
        <v>2</v>
      </c>
      <c r="B3" s="3" t="s">
        <v>114</v>
      </c>
      <c r="C3" s="3" t="s">
        <v>115</v>
      </c>
      <c r="D3" s="25" t="s">
        <v>116</v>
      </c>
      <c r="E3" s="25" t="s">
        <v>117</v>
      </c>
    </row>
    <row r="4" customFormat="false" ht="13.5" hidden="false" customHeight="true" outlineLevel="0" collapsed="false">
      <c r="A4" s="28" t="s">
        <v>3</v>
      </c>
      <c r="B4" s="3" t="s">
        <v>114</v>
      </c>
      <c r="C4" s="3" t="s">
        <v>115</v>
      </c>
      <c r="D4" s="25" t="s">
        <v>118</v>
      </c>
    </row>
    <row r="5" customFormat="false" ht="13.5" hidden="false" customHeight="true" outlineLevel="0" collapsed="false">
      <c r="A5" s="28" t="s">
        <v>4</v>
      </c>
      <c r="B5" s="3" t="s">
        <v>114</v>
      </c>
      <c r="C5" s="3" t="s">
        <v>115</v>
      </c>
      <c r="D5" s="25" t="s">
        <v>119</v>
      </c>
    </row>
    <row r="6" customFormat="false" ht="13.5" hidden="false" customHeight="true" outlineLevel="0" collapsed="false">
      <c r="A6" s="28" t="s">
        <v>5</v>
      </c>
      <c r="B6" s="3" t="s">
        <v>114</v>
      </c>
      <c r="C6" s="3" t="s">
        <v>115</v>
      </c>
      <c r="D6" s="25" t="s">
        <v>120</v>
      </c>
    </row>
    <row r="7" customFormat="false" ht="26.25" hidden="false" customHeight="true" outlineLevel="0" collapsed="false">
      <c r="A7" s="29" t="s">
        <v>6</v>
      </c>
      <c r="B7" s="3" t="s">
        <v>121</v>
      </c>
      <c r="C7" s="3"/>
      <c r="D7" s="25" t="s">
        <v>122</v>
      </c>
      <c r="E7" s="30" t="s">
        <v>123</v>
      </c>
    </row>
    <row r="8" customFormat="false" ht="39" hidden="false" customHeight="true" outlineLevel="0" collapsed="false">
      <c r="A8" s="31" t="s">
        <v>7</v>
      </c>
      <c r="B8" s="3" t="s">
        <v>110</v>
      </c>
      <c r="C8" s="3" t="s">
        <v>124</v>
      </c>
      <c r="D8" s="25" t="s">
        <v>125</v>
      </c>
      <c r="E8" s="30" t="s">
        <v>126</v>
      </c>
    </row>
    <row r="9" customFormat="false" ht="13.5" hidden="false" customHeight="true" outlineLevel="0" collapsed="false">
      <c r="A9" s="31" t="s">
        <v>8</v>
      </c>
      <c r="B9" s="3" t="s">
        <v>110</v>
      </c>
      <c r="C9" s="3" t="s">
        <v>124</v>
      </c>
      <c r="D9" s="25" t="s">
        <v>127</v>
      </c>
      <c r="E9" s="30"/>
    </row>
    <row r="10" customFormat="false" ht="13.5" hidden="false" customHeight="true" outlineLevel="0" collapsed="false">
      <c r="A10" s="31" t="s">
        <v>9</v>
      </c>
      <c r="B10" s="3" t="s">
        <v>110</v>
      </c>
      <c r="C10" s="3" t="s">
        <v>124</v>
      </c>
      <c r="D10" s="25" t="s">
        <v>128</v>
      </c>
      <c r="E10" s="30"/>
    </row>
    <row r="11" customFormat="false" ht="13.5" hidden="false" customHeight="true" outlineLevel="0" collapsed="false">
      <c r="A11" s="31" t="s">
        <v>10</v>
      </c>
      <c r="B11" s="3" t="s">
        <v>110</v>
      </c>
      <c r="C11" s="3" t="s">
        <v>124</v>
      </c>
      <c r="D11" s="25" t="s">
        <v>129</v>
      </c>
      <c r="E11" s="30"/>
    </row>
    <row r="12" customFormat="false" ht="13.5" hidden="false" customHeight="true" outlineLevel="0" collapsed="false">
      <c r="A12" s="31" t="s">
        <v>11</v>
      </c>
      <c r="B12" s="3" t="s">
        <v>110</v>
      </c>
      <c r="C12" s="3" t="s">
        <v>124</v>
      </c>
      <c r="D12" s="25" t="s">
        <v>130</v>
      </c>
      <c r="E12" s="30"/>
    </row>
    <row r="13" customFormat="false" ht="13.5" hidden="false" customHeight="true" outlineLevel="0" collapsed="false">
      <c r="A13" s="31" t="s">
        <v>12</v>
      </c>
      <c r="B13" s="3" t="s">
        <v>110</v>
      </c>
      <c r="C13" s="3" t="s">
        <v>124</v>
      </c>
      <c r="D13" s="25" t="s">
        <v>131</v>
      </c>
      <c r="E13" s="30"/>
    </row>
    <row r="14" customFormat="false" ht="39" hidden="false" customHeight="true" outlineLevel="0" collapsed="false">
      <c r="A14" s="32" t="s">
        <v>13</v>
      </c>
      <c r="B14" s="3" t="s">
        <v>114</v>
      </c>
      <c r="C14" s="3" t="s">
        <v>132</v>
      </c>
      <c r="D14" s="25" t="s">
        <v>125</v>
      </c>
      <c r="E14" s="30" t="s">
        <v>133</v>
      </c>
    </row>
    <row r="15" customFormat="false" ht="13.5" hidden="false" customHeight="true" outlineLevel="0" collapsed="false">
      <c r="A15" s="32" t="s">
        <v>14</v>
      </c>
      <c r="B15" s="3" t="s">
        <v>114</v>
      </c>
      <c r="C15" s="3" t="s">
        <v>134</v>
      </c>
      <c r="D15" s="25" t="s">
        <v>127</v>
      </c>
      <c r="E15" s="30"/>
    </row>
    <row r="16" customFormat="false" ht="13.5" hidden="false" customHeight="true" outlineLevel="0" collapsed="false">
      <c r="A16" s="32" t="s">
        <v>15</v>
      </c>
      <c r="B16" s="3" t="s">
        <v>114</v>
      </c>
      <c r="C16" s="3" t="s">
        <v>135</v>
      </c>
      <c r="D16" s="25" t="s">
        <v>128</v>
      </c>
      <c r="E16" s="30"/>
    </row>
    <row r="17" customFormat="false" ht="13.5" hidden="false" customHeight="true" outlineLevel="0" collapsed="false">
      <c r="A17" s="32" t="s">
        <v>16</v>
      </c>
      <c r="B17" s="3" t="s">
        <v>114</v>
      </c>
      <c r="C17" s="3" t="s">
        <v>134</v>
      </c>
      <c r="D17" s="25" t="s">
        <v>129</v>
      </c>
      <c r="E17" s="30"/>
    </row>
    <row r="18" customFormat="false" ht="13.5" hidden="false" customHeight="true" outlineLevel="0" collapsed="false">
      <c r="A18" s="32" t="s">
        <v>17</v>
      </c>
      <c r="B18" s="3" t="s">
        <v>114</v>
      </c>
      <c r="C18" s="3" t="s">
        <v>134</v>
      </c>
      <c r="D18" s="25" t="s">
        <v>130</v>
      </c>
      <c r="E18" s="30"/>
    </row>
    <row r="19" customFormat="false" ht="13.5" hidden="false" customHeight="true" outlineLevel="0" collapsed="false">
      <c r="A19" s="32" t="s">
        <v>18</v>
      </c>
      <c r="B19" s="3" t="s">
        <v>114</v>
      </c>
      <c r="C19" s="3" t="s">
        <v>134</v>
      </c>
      <c r="D19" s="25" t="s">
        <v>131</v>
      </c>
      <c r="E19" s="30"/>
    </row>
    <row r="20" customFormat="false" ht="26.25" hidden="false" customHeight="true" outlineLevel="0" collapsed="false">
      <c r="A20" s="33" t="s">
        <v>19</v>
      </c>
      <c r="B20" s="3" t="s">
        <v>110</v>
      </c>
      <c r="C20" s="3" t="s">
        <v>136</v>
      </c>
      <c r="D20" s="25" t="s">
        <v>137</v>
      </c>
      <c r="E20" s="30" t="s">
        <v>138</v>
      </c>
    </row>
    <row r="21" customFormat="false" ht="26.25" hidden="false" customHeight="true" outlineLevel="0" collapsed="false">
      <c r="A21" s="33" t="s">
        <v>20</v>
      </c>
      <c r="B21" s="3" t="s">
        <v>110</v>
      </c>
      <c r="C21" s="3" t="s">
        <v>136</v>
      </c>
      <c r="D21" s="25" t="s">
        <v>20</v>
      </c>
      <c r="E21" s="30" t="s">
        <v>139</v>
      </c>
    </row>
    <row r="22" customFormat="false" ht="26.25" hidden="false" customHeight="true" outlineLevel="0" collapsed="false">
      <c r="A22" s="33" t="s">
        <v>21</v>
      </c>
      <c r="B22" s="3" t="s">
        <v>110</v>
      </c>
      <c r="C22" s="3" t="s">
        <v>136</v>
      </c>
      <c r="D22" s="25" t="s">
        <v>140</v>
      </c>
      <c r="E22" s="30" t="s">
        <v>141</v>
      </c>
    </row>
    <row r="23" customFormat="false" ht="13.5" hidden="false" customHeight="true" outlineLevel="0" collapsed="false">
      <c r="A23" s="34" t="s">
        <v>22</v>
      </c>
      <c r="B23" s="3" t="s">
        <v>110</v>
      </c>
      <c r="C23" s="3" t="s">
        <v>124</v>
      </c>
      <c r="D23" s="25" t="s">
        <v>142</v>
      </c>
      <c r="E23" s="30" t="s">
        <v>143</v>
      </c>
    </row>
    <row r="24" customFormat="false" ht="13.5" hidden="false" customHeight="true" outlineLevel="0" collapsed="false">
      <c r="A24" s="34" t="s">
        <v>23</v>
      </c>
      <c r="B24" s="3" t="s">
        <v>110</v>
      </c>
      <c r="C24" s="3" t="s">
        <v>124</v>
      </c>
      <c r="D24" s="25" t="s">
        <v>144</v>
      </c>
    </row>
    <row r="25" customFormat="false" ht="13.5" hidden="false" customHeight="true" outlineLevel="0" collapsed="false">
      <c r="A25" s="34" t="s">
        <v>24</v>
      </c>
      <c r="B25" s="3" t="s">
        <v>110</v>
      </c>
      <c r="C25" s="3" t="s">
        <v>124</v>
      </c>
      <c r="D25" s="25" t="s">
        <v>145</v>
      </c>
    </row>
    <row r="26" customFormat="false" ht="13.5" hidden="false" customHeight="true" outlineLevel="0" collapsed="false">
      <c r="A26" s="34" t="s">
        <v>25</v>
      </c>
      <c r="B26" s="3" t="s">
        <v>110</v>
      </c>
      <c r="C26" s="3" t="s">
        <v>124</v>
      </c>
      <c r="D26" s="25" t="s">
        <v>146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6" min="6" style="0" width="46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14" t="s">
        <v>147</v>
      </c>
    </row>
    <row r="2" customFormat="false" ht="15" hidden="false" customHeight="false" outlineLevel="0" collapsed="false">
      <c r="A2" s="3" t="s">
        <v>148</v>
      </c>
    </row>
    <row r="4" customFormat="false" ht="42" hidden="false" customHeight="true" outlineLevel="0" collapsed="false">
      <c r="A4" s="1" t="s">
        <v>149</v>
      </c>
      <c r="B4" s="1" t="s">
        <v>150</v>
      </c>
      <c r="C4" s="1" t="s">
        <v>151</v>
      </c>
      <c r="D4" s="1" t="s">
        <v>152</v>
      </c>
      <c r="F4" s="1" t="s">
        <v>153</v>
      </c>
      <c r="G4" s="1" t="s">
        <v>154</v>
      </c>
      <c r="H4" s="1" t="s">
        <v>155</v>
      </c>
      <c r="I4" s="1" t="s">
        <v>156</v>
      </c>
      <c r="J4" s="1" t="s">
        <v>157</v>
      </c>
    </row>
    <row r="5" customFormat="false" ht="15" hidden="false" customHeight="false" outlineLevel="0" collapsed="false">
      <c r="A5" s="3" t="s">
        <v>26</v>
      </c>
      <c r="B5" s="35" t="s">
        <v>26</v>
      </c>
      <c r="C5" s="4" t="n">
        <f aca="false">SUMPRODUCT(--EXACT('Original Data'!$A$2:$A$358,A5))</f>
        <v>1</v>
      </c>
      <c r="D5" s="3" t="str">
        <f aca="false">IF(EXACT(A5,B5),"No","Yes")</f>
        <v>No</v>
      </c>
      <c r="F5" s="3" t="s">
        <v>33</v>
      </c>
      <c r="G5" s="4" t="n">
        <f aca="false">COUNTIF('Original Data'!$Z$2:$Z$358,F5)</f>
        <v>76</v>
      </c>
      <c r="H5" s="36" t="n">
        <f aca="false">G5/$G$26</f>
        <v>0.212885154061625</v>
      </c>
      <c r="I5" s="3" t="str">
        <f aca="false">IF(G5&gt;$G$8,"Yes","")</f>
        <v>Yes</v>
      </c>
      <c r="J5" s="4" t="n">
        <f aca="false">COUNTIF(ChipotleData!$B$2:$B$314,F5)</f>
        <v>68</v>
      </c>
    </row>
    <row r="6" customFormat="false" ht="15" hidden="false" customHeight="false" outlineLevel="0" collapsed="false">
      <c r="A6" s="3" t="s">
        <v>27</v>
      </c>
      <c r="B6" s="35" t="s">
        <v>27</v>
      </c>
      <c r="C6" s="4" t="n">
        <f aca="false">SUMPRODUCT(--EXACT('Original Data'!$A$2:$A$358,A6))</f>
        <v>2</v>
      </c>
      <c r="D6" s="3" t="str">
        <f aca="false">IF(EXACT(A6,B6),"No","Yes")</f>
        <v>No</v>
      </c>
      <c r="F6" s="3" t="s">
        <v>31</v>
      </c>
      <c r="G6" s="4" t="n">
        <f aca="false">COUNTIF('Original Data'!$Z$2:$Z$358,F6)</f>
        <v>57</v>
      </c>
      <c r="H6" s="36" t="n">
        <f aca="false">G6/$G$26</f>
        <v>0.159663865546218</v>
      </c>
      <c r="I6" s="3" t="str">
        <f aca="false">IF(G6&gt;$G$8,"Yes","")</f>
        <v>Yes</v>
      </c>
      <c r="J6" s="4" t="n">
        <f aca="false">COUNTIF(ChipotleData!$B$2:$B$314,F6)</f>
        <v>50</v>
      </c>
    </row>
    <row r="7" customFormat="false" ht="15" hidden="false" customHeight="false" outlineLevel="0" collapsed="false">
      <c r="A7" s="3" t="s">
        <v>158</v>
      </c>
      <c r="B7" s="35" t="s">
        <v>27</v>
      </c>
      <c r="C7" s="4" t="n">
        <f aca="false">SUMPRODUCT(--EXACT('Original Data'!$A$2:$A$358,A7))</f>
        <v>1</v>
      </c>
      <c r="D7" s="3" t="str">
        <f aca="false">IF(EXACT(A7,B7),"No","Yes")</f>
        <v>Yes</v>
      </c>
      <c r="F7" s="3" t="s">
        <v>38</v>
      </c>
      <c r="G7" s="4" t="n">
        <f aca="false">COUNTIF('Original Data'!$Z$2:$Z$358,F7)</f>
        <v>50</v>
      </c>
      <c r="H7" s="36" t="n">
        <f aca="false">G7/$G$26</f>
        <v>0.140056022408964</v>
      </c>
      <c r="I7" s="3" t="str">
        <f aca="false">IF(G7&gt;$G$8,"Yes","")</f>
        <v>Yes</v>
      </c>
      <c r="J7" s="4" t="n">
        <f aca="false">COUNTIF(ChipotleData!$B$2:$B$314,F7)</f>
        <v>42</v>
      </c>
    </row>
    <row r="8" customFormat="false" ht="15" hidden="false" customHeight="false" outlineLevel="0" collapsed="false">
      <c r="A8" s="3" t="s">
        <v>159</v>
      </c>
      <c r="B8" s="35" t="s">
        <v>28</v>
      </c>
      <c r="C8" s="4" t="n">
        <f aca="false">SUMPRODUCT(--EXACT('Original Data'!$A$2:$A$358,A8))</f>
        <v>1</v>
      </c>
      <c r="D8" s="3" t="str">
        <f aca="false">IF(EXACT(A8,B8),"No","Yes")</f>
        <v>Yes</v>
      </c>
      <c r="F8" s="3" t="s">
        <v>30</v>
      </c>
      <c r="G8" s="4" t="n">
        <f aca="false">COUNTIF('Original Data'!$Z$2:$Z$358,F8)</f>
        <v>42</v>
      </c>
      <c r="H8" s="36" t="n">
        <f aca="false">G8/$G$26</f>
        <v>0.117647058823529</v>
      </c>
      <c r="I8" s="3" t="str">
        <f aca="false">IF(G8&gt;$G$8,"Yes","")</f>
        <v/>
      </c>
      <c r="J8" s="4" t="n">
        <f aca="false">COUNTIF(ChipotleData!$B$2:$B$314,F8)</f>
        <v>39</v>
      </c>
    </row>
    <row r="9" customFormat="false" ht="15" hidden="false" customHeight="false" outlineLevel="0" collapsed="false">
      <c r="A9" s="3" t="s">
        <v>160</v>
      </c>
      <c r="B9" s="35" t="s">
        <v>29</v>
      </c>
      <c r="C9" s="4" t="n">
        <f aca="false">SUMPRODUCT(--EXACT('Original Data'!$A$2:$A$358,A9))</f>
        <v>1</v>
      </c>
      <c r="D9" s="3" t="str">
        <f aca="false">IF(EXACT(A9,B9),"No","Yes")</f>
        <v>Yes</v>
      </c>
      <c r="F9" s="3" t="s">
        <v>42</v>
      </c>
      <c r="G9" s="4" t="n">
        <f aca="false">COUNTIF('Original Data'!$Z$2:$Z$358,F9)</f>
        <v>40</v>
      </c>
      <c r="H9" s="36" t="n">
        <f aca="false">G9/$G$26</f>
        <v>0.112044817927171</v>
      </c>
      <c r="I9" s="3" t="str">
        <f aca="false">IF(G9&gt;$G$8,"Yes","")</f>
        <v/>
      </c>
      <c r="J9" s="4" t="n">
        <f aca="false">COUNTIF(ChipotleData!$B$2:$B$314,F9)</f>
        <v>37</v>
      </c>
    </row>
    <row r="10" customFormat="false" ht="15" hidden="false" customHeight="false" outlineLevel="0" collapsed="false">
      <c r="A10" s="3" t="s">
        <v>161</v>
      </c>
      <c r="B10" s="35" t="s">
        <v>29</v>
      </c>
      <c r="C10" s="4" t="n">
        <f aca="false">SUMPRODUCT(--EXACT('Original Data'!$A$2:$A$358,A10))</f>
        <v>1</v>
      </c>
      <c r="D10" s="3" t="str">
        <f aca="false">IF(EXACT(A10,B10),"No","Yes")</f>
        <v>Yes</v>
      </c>
      <c r="F10" s="3" t="s">
        <v>29</v>
      </c>
      <c r="G10" s="4" t="n">
        <f aca="false">COUNTIF('Original Data'!$Z$2:$Z$358,F10)</f>
        <v>33</v>
      </c>
      <c r="H10" s="36" t="n">
        <f aca="false">G10/$G$26</f>
        <v>0.092436974789916</v>
      </c>
      <c r="I10" s="3" t="str">
        <f aca="false">IF(G10&gt;$G$8,"Yes","")</f>
        <v/>
      </c>
      <c r="J10" s="4" t="n">
        <f aca="false">COUNTIF(ChipotleData!$B$2:$B$314,F10)</f>
        <v>25</v>
      </c>
    </row>
    <row r="11" customFormat="false" ht="15" hidden="false" customHeight="false" outlineLevel="0" collapsed="false">
      <c r="A11" s="3" t="s">
        <v>162</v>
      </c>
      <c r="B11" s="35" t="s">
        <v>29</v>
      </c>
      <c r="C11" s="4" t="n">
        <f aca="false">SUMPRODUCT(--EXACT('Original Data'!$A$2:$A$358,A11))</f>
        <v>26</v>
      </c>
      <c r="D11" s="3" t="str">
        <f aca="false">IF(EXACT(A11,B11),"No","Yes")</f>
        <v>Yes</v>
      </c>
      <c r="F11" s="3" t="s">
        <v>35</v>
      </c>
      <c r="G11" s="4" t="n">
        <f aca="false">COUNTIF('Original Data'!$Z$2:$Z$358,F11)</f>
        <v>25</v>
      </c>
      <c r="H11" s="36" t="n">
        <f aca="false">G11/$G$26</f>
        <v>0.0700280112044818</v>
      </c>
      <c r="I11" s="3" t="str">
        <f aca="false">IF(G11&gt;$G$8,"Yes","")</f>
        <v/>
      </c>
      <c r="J11" s="4" t="n">
        <f aca="false">COUNTIF(ChipotleData!$B$2:$B$314,F11)</f>
        <v>22</v>
      </c>
    </row>
    <row r="12" customFormat="false" ht="15" hidden="false" customHeight="false" outlineLevel="0" collapsed="false">
      <c r="A12" s="3" t="s">
        <v>163</v>
      </c>
      <c r="B12" s="35" t="s">
        <v>29</v>
      </c>
      <c r="C12" s="4" t="n">
        <f aca="false">SUMPRODUCT(--EXACT('Original Data'!$A$2:$A$358,A12))</f>
        <v>3</v>
      </c>
      <c r="D12" s="3" t="str">
        <f aca="false">IF(EXACT(A12,B12),"No","Yes")</f>
        <v>Yes</v>
      </c>
      <c r="F12" s="3" t="s">
        <v>36</v>
      </c>
      <c r="G12" s="4" t="n">
        <f aca="false">COUNTIF('Original Data'!$Z$2:$Z$358,F12)</f>
        <v>16</v>
      </c>
      <c r="H12" s="36" t="n">
        <f aca="false">G12/$G$26</f>
        <v>0.0448179271708684</v>
      </c>
      <c r="I12" s="3" t="str">
        <f aca="false">IF(G12&gt;$G$8,"Yes","")</f>
        <v/>
      </c>
      <c r="J12" s="4" t="n">
        <f aca="false">COUNTIF(ChipotleData!$B$2:$B$314,F12)</f>
        <v>13</v>
      </c>
    </row>
    <row r="13" customFormat="false" ht="15" hidden="false" customHeight="false" outlineLevel="0" collapsed="false">
      <c r="A13" s="3" t="s">
        <v>164</v>
      </c>
      <c r="B13" s="35" t="s">
        <v>29</v>
      </c>
      <c r="C13" s="4" t="n">
        <f aca="false">SUMPRODUCT(--EXACT('Original Data'!$A$2:$A$358,A13))</f>
        <v>1</v>
      </c>
      <c r="D13" s="3" t="str">
        <f aca="false">IF(EXACT(A13,B13),"No","Yes")</f>
        <v>Yes</v>
      </c>
      <c r="F13" s="3" t="s">
        <v>27</v>
      </c>
      <c r="G13" s="4" t="n">
        <f aca="false">COUNTIF('Original Data'!$Z$2:$Z$358,F13)</f>
        <v>3</v>
      </c>
      <c r="H13" s="36" t="n">
        <f aca="false">G13/$G$26</f>
        <v>0.00840336134453782</v>
      </c>
      <c r="I13" s="3" t="str">
        <f aca="false">IF(G13&gt;$G$8,"Yes","")</f>
        <v/>
      </c>
      <c r="J13" s="4" t="n">
        <f aca="false">COUNTIF(ChipotleData!$B$2:$B$314,F13)</f>
        <v>3</v>
      </c>
    </row>
    <row r="14" customFormat="false" ht="15" hidden="false" customHeight="false" outlineLevel="0" collapsed="false">
      <c r="A14" s="3" t="s">
        <v>165</v>
      </c>
      <c r="B14" s="35" t="s">
        <v>29</v>
      </c>
      <c r="C14" s="4" t="n">
        <f aca="false">SUMPRODUCT(--EXACT('Original Data'!$A$2:$A$358,A14))</f>
        <v>1</v>
      </c>
      <c r="D14" s="3" t="str">
        <f aca="false">IF(EXACT(A14,B14),"No","Yes")</f>
        <v>Yes</v>
      </c>
      <c r="F14" s="3" t="s">
        <v>34</v>
      </c>
      <c r="G14" s="4" t="n">
        <f aca="false">COUNTIF('Original Data'!$Z$2:$Z$358,F14)</f>
        <v>2</v>
      </c>
      <c r="H14" s="36" t="n">
        <f aca="false">G14/$G$26</f>
        <v>0.00560224089635854</v>
      </c>
      <c r="I14" s="3" t="str">
        <f aca="false">IF(G14&gt;$G$8,"Yes","")</f>
        <v/>
      </c>
      <c r="J14" s="4" t="n">
        <f aca="false">COUNTIF(ChipotleData!$B$2:$B$314,F14)</f>
        <v>2</v>
      </c>
    </row>
    <row r="15" customFormat="false" ht="15" hidden="false" customHeight="false" outlineLevel="0" collapsed="false">
      <c r="A15" s="3" t="s">
        <v>166</v>
      </c>
      <c r="B15" s="35" t="s">
        <v>30</v>
      </c>
      <c r="C15" s="4" t="n">
        <f aca="false">SUMPRODUCT(--EXACT('Original Data'!$A$2:$A$358,A15))</f>
        <v>6</v>
      </c>
      <c r="D15" s="3" t="str">
        <f aca="false">IF(EXACT(A15,B15),"No","Yes")</f>
        <v>Yes</v>
      </c>
      <c r="F15" s="3" t="s">
        <v>41</v>
      </c>
      <c r="G15" s="4" t="n">
        <f aca="false">COUNTIF('Original Data'!$Z$2:$Z$358,F15)</f>
        <v>2</v>
      </c>
      <c r="H15" s="36" t="n">
        <f aca="false">G15/$G$26</f>
        <v>0.00560224089635854</v>
      </c>
      <c r="I15" s="3" t="str">
        <f aca="false">IF(G15&gt;$G$8,"Yes","")</f>
        <v/>
      </c>
      <c r="J15" s="4" t="n">
        <f aca="false">COUNTIF(ChipotleData!$B$2:$B$314,F15)</f>
        <v>2</v>
      </c>
    </row>
    <row r="16" customFormat="false" ht="15" hidden="false" customHeight="false" outlineLevel="0" collapsed="false">
      <c r="A16" s="3" t="s">
        <v>167</v>
      </c>
      <c r="B16" s="35" t="s">
        <v>30</v>
      </c>
      <c r="C16" s="4" t="n">
        <f aca="false">SUMPRODUCT(--EXACT('Original Data'!$A$2:$A$358,A16))</f>
        <v>1</v>
      </c>
      <c r="D16" s="3" t="str">
        <f aca="false">IF(EXACT(A16,B16),"No","Yes")</f>
        <v>Yes</v>
      </c>
      <c r="F16" s="3" t="s">
        <v>45</v>
      </c>
      <c r="G16" s="4" t="n">
        <f aca="false">COUNTIF('Original Data'!$Z$2:$Z$358,F16)</f>
        <v>2</v>
      </c>
      <c r="H16" s="36" t="n">
        <f aca="false">G16/$G$26</f>
        <v>0.00560224089635854</v>
      </c>
      <c r="I16" s="3" t="str">
        <f aca="false">IF(G16&gt;$G$8,"Yes","")</f>
        <v/>
      </c>
      <c r="J16" s="4" t="n">
        <f aca="false">COUNTIF(ChipotleData!$B$2:$B$314,F16)</f>
        <v>2</v>
      </c>
    </row>
    <row r="17" customFormat="false" ht="15" hidden="false" customHeight="false" outlineLevel="0" collapsed="false">
      <c r="A17" s="3" t="s">
        <v>30</v>
      </c>
      <c r="B17" s="35" t="s">
        <v>30</v>
      </c>
      <c r="C17" s="4" t="n">
        <f aca="false">SUMPRODUCT(--EXACT('Original Data'!$A$2:$A$358,A17))</f>
        <v>35</v>
      </c>
      <c r="D17" s="3" t="str">
        <f aca="false">IF(EXACT(A17,B17),"No","Yes")</f>
        <v>No</v>
      </c>
      <c r="F17" s="3" t="s">
        <v>26</v>
      </c>
      <c r="G17" s="4" t="n">
        <f aca="false">COUNTIF('Original Data'!$Z$2:$Z$358,F17)</f>
        <v>1</v>
      </c>
      <c r="H17" s="36" t="n">
        <f aca="false">G17/$G$26</f>
        <v>0.00280112044817927</v>
      </c>
      <c r="I17" s="3" t="str">
        <f aca="false">IF(G17&gt;$G$8,"Yes","")</f>
        <v/>
      </c>
      <c r="J17" s="4" t="n">
        <f aca="false">COUNTIF(ChipotleData!$B$2:$B$314,F17)</f>
        <v>1</v>
      </c>
    </row>
    <row r="18" customFormat="false" ht="15" hidden="false" customHeight="false" outlineLevel="0" collapsed="false">
      <c r="A18" s="3" t="s">
        <v>31</v>
      </c>
      <c r="B18" s="35" t="s">
        <v>31</v>
      </c>
      <c r="C18" s="4" t="n">
        <f aca="false">SUMPRODUCT(--EXACT('Original Data'!$A$2:$A$358,A18))</f>
        <v>57</v>
      </c>
      <c r="D18" s="3" t="str">
        <f aca="false">IF(EXACT(A18,B18),"No","Yes")</f>
        <v>No</v>
      </c>
      <c r="F18" s="3" t="s">
        <v>28</v>
      </c>
      <c r="G18" s="4" t="n">
        <f aca="false">COUNTIF('Original Data'!$Z$2:$Z$358,F18)</f>
        <v>1</v>
      </c>
      <c r="H18" s="36" t="n">
        <f aca="false">G18/$G$26</f>
        <v>0.00280112044817927</v>
      </c>
      <c r="I18" s="3" t="str">
        <f aca="false">IF(G18&gt;$G$8,"Yes","")</f>
        <v/>
      </c>
      <c r="J18" s="4" t="n">
        <f aca="false">COUNTIF(ChipotleData!$B$2:$B$314,F18)</f>
        <v>1</v>
      </c>
    </row>
    <row r="19" customFormat="false" ht="15" hidden="false" customHeight="false" outlineLevel="0" collapsed="false">
      <c r="A19" s="3" t="s">
        <v>32</v>
      </c>
      <c r="B19" s="35" t="s">
        <v>32</v>
      </c>
      <c r="C19" s="4" t="n">
        <f aca="false">SUMPRODUCT(--EXACT('Original Data'!$A$2:$A$358,A19))</f>
        <v>1</v>
      </c>
      <c r="D19" s="3" t="str">
        <f aca="false">IF(EXACT(A19,B19),"No","Yes")</f>
        <v>No</v>
      </c>
      <c r="F19" s="3" t="s">
        <v>32</v>
      </c>
      <c r="G19" s="4" t="n">
        <f aca="false">COUNTIF('Original Data'!$Z$2:$Z$358,F19)</f>
        <v>1</v>
      </c>
      <c r="H19" s="36" t="n">
        <f aca="false">G19/$G$26</f>
        <v>0.00280112044817927</v>
      </c>
      <c r="I19" s="3" t="str">
        <f aca="false">IF(G19&gt;$G$8,"Yes","")</f>
        <v/>
      </c>
      <c r="J19" s="4" t="n">
        <f aca="false">COUNTIF(ChipotleData!$B$2:$B$314,F19)</f>
        <v>1</v>
      </c>
    </row>
    <row r="20" customFormat="false" ht="15" hidden="false" customHeight="false" outlineLevel="0" collapsed="false">
      <c r="A20" s="3" t="s">
        <v>33</v>
      </c>
      <c r="B20" s="35" t="s">
        <v>33</v>
      </c>
      <c r="C20" s="4" t="n">
        <f aca="false">SUMPRODUCT(--EXACT('Original Data'!$A$2:$A$358,A20))</f>
        <v>75</v>
      </c>
      <c r="D20" s="3" t="str">
        <f aca="false">IF(EXACT(A20,B20),"No","Yes")</f>
        <v>No</v>
      </c>
      <c r="F20" s="3" t="s">
        <v>168</v>
      </c>
      <c r="G20" s="4" t="n">
        <f aca="false">COUNTIF('Original Data'!$Z$2:$Z$358,F20)</f>
        <v>1</v>
      </c>
      <c r="H20" s="36" t="n">
        <f aca="false">G20/$G$26</f>
        <v>0.00280112044817927</v>
      </c>
      <c r="I20" s="3" t="str">
        <f aca="false">IF(G20&gt;$G$8,"Yes","")</f>
        <v/>
      </c>
      <c r="J20" s="4" t="n">
        <f aca="false">COUNTIF(ChipotleData!$B$2:$B$314,F20)</f>
        <v>0</v>
      </c>
    </row>
    <row r="21" customFormat="false" ht="15" hidden="false" customHeight="false" outlineLevel="0" collapsed="false">
      <c r="A21" s="3" t="s">
        <v>169</v>
      </c>
      <c r="B21" s="35" t="s">
        <v>33</v>
      </c>
      <c r="C21" s="4" t="n">
        <f aca="false">SUMPRODUCT(--EXACT('Original Data'!$A$2:$A$358,A21))</f>
        <v>1</v>
      </c>
      <c r="D21" s="3" t="str">
        <f aca="false">IF(EXACT(A21,B21),"No","Yes")</f>
        <v>Yes</v>
      </c>
      <c r="F21" s="3" t="s">
        <v>37</v>
      </c>
      <c r="G21" s="4" t="n">
        <f aca="false">COUNTIF('Original Data'!$Z$2:$Z$358,F21)</f>
        <v>1</v>
      </c>
      <c r="H21" s="36" t="n">
        <f aca="false">G21/$G$26</f>
        <v>0.00280112044817927</v>
      </c>
      <c r="I21" s="3" t="str">
        <f aca="false">IF(G21&gt;$G$8,"Yes","")</f>
        <v/>
      </c>
      <c r="J21" s="4" t="n">
        <f aca="false">COUNTIF(ChipotleData!$B$2:$B$314,F21)</f>
        <v>1</v>
      </c>
    </row>
    <row r="22" customFormat="false" ht="15" hidden="false" customHeight="false" outlineLevel="0" collapsed="false">
      <c r="A22" s="3" t="s">
        <v>170</v>
      </c>
      <c r="B22" s="35" t="s">
        <v>34</v>
      </c>
      <c r="C22" s="4" t="n">
        <f aca="false">SUMPRODUCT(--EXACT('Original Data'!$A$2:$A$358,A22))</f>
        <v>1</v>
      </c>
      <c r="D22" s="3" t="str">
        <f aca="false">IF(EXACT(A22,B22),"No","Yes")</f>
        <v>Yes</v>
      </c>
      <c r="F22" s="3" t="s">
        <v>39</v>
      </c>
      <c r="G22" s="4" t="n">
        <f aca="false">COUNTIF('Original Data'!$Z$2:$Z$358,F22)</f>
        <v>1</v>
      </c>
      <c r="H22" s="36" t="n">
        <f aca="false">G22/$G$26</f>
        <v>0.00280112044817927</v>
      </c>
      <c r="I22" s="3" t="str">
        <f aca="false">IF(G22&gt;$G$8,"Yes","")</f>
        <v/>
      </c>
      <c r="J22" s="4" t="n">
        <f aca="false">COUNTIF(ChipotleData!$B$2:$B$314,F22)</f>
        <v>1</v>
      </c>
    </row>
    <row r="23" customFormat="false" ht="15" hidden="false" customHeight="false" outlineLevel="0" collapsed="false">
      <c r="A23" s="3" t="s">
        <v>34</v>
      </c>
      <c r="B23" s="35" t="s">
        <v>34</v>
      </c>
      <c r="C23" s="4" t="n">
        <f aca="false">SUMPRODUCT(--EXACT('Original Data'!$A$2:$A$358,A23))</f>
        <v>1</v>
      </c>
      <c r="D23" s="3" t="str">
        <f aca="false">IF(EXACT(A23,B23),"No","Yes")</f>
        <v>No</v>
      </c>
      <c r="F23" s="3" t="s">
        <v>40</v>
      </c>
      <c r="G23" s="4" t="n">
        <f aca="false">COUNTIF('Original Data'!$Z$2:$Z$358,F23)</f>
        <v>1</v>
      </c>
      <c r="H23" s="36" t="n">
        <f aca="false">G23/$G$26</f>
        <v>0.00280112044817927</v>
      </c>
      <c r="I23" s="3" t="str">
        <f aca="false">IF(G23&gt;$G$8,"Yes","")</f>
        <v/>
      </c>
      <c r="J23" s="4" t="n">
        <f aca="false">COUNTIF(ChipotleData!$B$2:$B$314,F23)</f>
        <v>1</v>
      </c>
    </row>
    <row r="24" customFormat="false" ht="15" hidden="false" customHeight="false" outlineLevel="0" collapsed="false">
      <c r="A24" s="3" t="s">
        <v>35</v>
      </c>
      <c r="B24" s="35" t="s">
        <v>35</v>
      </c>
      <c r="C24" s="4" t="n">
        <f aca="false">SUMPRODUCT(--EXACT('Original Data'!$A$2:$A$358,A24))</f>
        <v>25</v>
      </c>
      <c r="D24" s="3" t="str">
        <f aca="false">IF(EXACT(A24,B24),"No","Yes")</f>
        <v>No</v>
      </c>
      <c r="F24" s="3" t="s">
        <v>43</v>
      </c>
      <c r="G24" s="4" t="n">
        <f aca="false">COUNTIF('Original Data'!$Z$2:$Z$358,F24)</f>
        <v>1</v>
      </c>
      <c r="H24" s="36" t="n">
        <f aca="false">G24/$G$26</f>
        <v>0.00280112044817927</v>
      </c>
      <c r="I24" s="3" t="str">
        <f aca="false">IF(G24&gt;$G$8,"Yes","")</f>
        <v/>
      </c>
      <c r="J24" s="4" t="n">
        <f aca="false">COUNTIF(ChipotleData!$B$2:$B$314,F24)</f>
        <v>1</v>
      </c>
    </row>
    <row r="25" customFormat="false" ht="15" hidden="false" customHeight="false" outlineLevel="0" collapsed="false">
      <c r="A25" s="3" t="s">
        <v>168</v>
      </c>
      <c r="B25" s="35" t="s">
        <v>168</v>
      </c>
      <c r="C25" s="4" t="n">
        <f aca="false">SUMPRODUCT(--EXACT('Original Data'!$A$2:$A$358,A25))</f>
        <v>1</v>
      </c>
      <c r="D25" s="3" t="str">
        <f aca="false">IF(EXACT(A25,B25),"No","Yes")</f>
        <v>No</v>
      </c>
      <c r="F25" s="3" t="s">
        <v>44</v>
      </c>
      <c r="G25" s="4" t="n">
        <f aca="false">COUNTIF('Original Data'!$Z$2:$Z$358,F25)</f>
        <v>1</v>
      </c>
      <c r="H25" s="36" t="n">
        <f aca="false">G25/$G$26</f>
        <v>0.00280112044817927</v>
      </c>
      <c r="I25" s="3" t="str">
        <f aca="false">IF(G25&gt;$G$8,"Yes","")</f>
        <v/>
      </c>
      <c r="J25" s="4" t="n">
        <f aca="false">COUNTIF(ChipotleData!$B$2:$B$314,F25)</f>
        <v>1</v>
      </c>
    </row>
    <row r="26" customFormat="false" ht="15" hidden="false" customHeight="false" outlineLevel="0" collapsed="false">
      <c r="A26" s="3" t="s">
        <v>171</v>
      </c>
      <c r="B26" s="35" t="s">
        <v>36</v>
      </c>
      <c r="C26" s="4" t="n">
        <f aca="false">SUMPRODUCT(--EXACT('Original Data'!$A$2:$A$358,A26))</f>
        <v>2</v>
      </c>
      <c r="D26" s="3" t="str">
        <f aca="false">IF(EXACT(A26,B26),"No","Yes")</f>
        <v>Yes</v>
      </c>
      <c r="F26" s="9" t="s">
        <v>172</v>
      </c>
      <c r="G26" s="15" t="n">
        <f aca="false">SUM(G5:G25)</f>
        <v>357</v>
      </c>
      <c r="H26" s="37" t="n">
        <f aca="false">SUM(H5:H25)</f>
        <v>1</v>
      </c>
      <c r="J26" s="15" t="n">
        <f aca="false">SUM(J5:J25)</f>
        <v>313</v>
      </c>
    </row>
    <row r="27" customFormat="false" ht="15" hidden="false" customHeight="false" outlineLevel="0" collapsed="false">
      <c r="A27" s="3" t="s">
        <v>36</v>
      </c>
      <c r="B27" s="35" t="s">
        <v>36</v>
      </c>
      <c r="C27" s="4" t="n">
        <f aca="false">SUMPRODUCT(--EXACT('Original Data'!$A$2:$A$358,A27))</f>
        <v>1</v>
      </c>
      <c r="D27" s="3" t="str">
        <f aca="false">IF(EXACT(A27,B27),"No","Yes")</f>
        <v>No</v>
      </c>
    </row>
    <row r="28" customFormat="false" ht="15" hidden="false" customHeight="false" outlineLevel="0" collapsed="false">
      <c r="A28" s="3" t="s">
        <v>173</v>
      </c>
      <c r="B28" s="35" t="s">
        <v>36</v>
      </c>
      <c r="C28" s="4" t="n">
        <f aca="false">SUMPRODUCT(--EXACT('Original Data'!$A$2:$A$358,A28))</f>
        <v>6</v>
      </c>
      <c r="D28" s="3" t="str">
        <f aca="false">IF(EXACT(A28,B28),"No","Yes")</f>
        <v>Yes</v>
      </c>
    </row>
    <row r="29" customFormat="false" ht="15" hidden="false" customHeight="false" outlineLevel="0" collapsed="false">
      <c r="A29" s="3" t="s">
        <v>174</v>
      </c>
      <c r="B29" s="35" t="s">
        <v>36</v>
      </c>
      <c r="C29" s="4" t="n">
        <f aca="false">SUMPRODUCT(--EXACT('Original Data'!$A$2:$A$358,A29))</f>
        <v>6</v>
      </c>
      <c r="D29" s="3" t="str">
        <f aca="false">IF(EXACT(A29,B29),"No","Yes")</f>
        <v>Yes</v>
      </c>
      <c r="F29" s="1" t="s">
        <v>175</v>
      </c>
      <c r="G29" s="1" t="s">
        <v>176</v>
      </c>
      <c r="H29" s="1"/>
    </row>
    <row r="30" customFormat="false" ht="15" hidden="false" customHeight="false" outlineLevel="0" collapsed="false">
      <c r="A30" s="3" t="s">
        <v>177</v>
      </c>
      <c r="B30" s="35" t="s">
        <v>36</v>
      </c>
      <c r="C30" s="4" t="n">
        <f aca="false">SUMPRODUCT(--EXACT('Original Data'!$A$2:$A$358,A30))</f>
        <v>1</v>
      </c>
      <c r="D30" s="3" t="str">
        <f aca="false">IF(EXACT(A30,B30),"No","Yes")</f>
        <v>Yes</v>
      </c>
      <c r="F30" s="3" t="s">
        <v>178</v>
      </c>
      <c r="G30" s="15" t="n">
        <f aca="false">G8</f>
        <v>42</v>
      </c>
    </row>
    <row r="31" customFormat="false" ht="15" hidden="false" customHeight="false" outlineLevel="0" collapsed="false">
      <c r="A31" s="3" t="s">
        <v>37</v>
      </c>
      <c r="B31" s="35" t="s">
        <v>37</v>
      </c>
      <c r="C31" s="4" t="n">
        <f aca="false">SUMPRODUCT(--EXACT('Original Data'!$A$2:$A$358,A31))</f>
        <v>1</v>
      </c>
      <c r="D31" s="3" t="str">
        <f aca="false">IF(EXACT(A31,B31),"No","Yes")</f>
        <v>No</v>
      </c>
      <c r="F31" s="3" t="s">
        <v>179</v>
      </c>
      <c r="G31" s="37" t="n">
        <f aca="false">H8</f>
        <v>0.117647058823529</v>
      </c>
    </row>
    <row r="32" customFormat="false" ht="15" hidden="false" customHeight="false" outlineLevel="0" collapsed="false">
      <c r="A32" s="3" t="s">
        <v>180</v>
      </c>
      <c r="B32" s="35" t="s">
        <v>38</v>
      </c>
      <c r="C32" s="4" t="n">
        <f aca="false">SUMPRODUCT(--EXACT('Original Data'!$A$2:$A$358,A32))</f>
        <v>36</v>
      </c>
      <c r="D32" s="3" t="str">
        <f aca="false">IF(EXACT(A32,B32),"No","Yes")</f>
        <v>Yes</v>
      </c>
      <c r="F32" s="3" t="s">
        <v>181</v>
      </c>
      <c r="G32" s="15" t="n">
        <f aca="false">COUNTIF(I5:I25,"Yes")</f>
        <v>3</v>
      </c>
    </row>
    <row r="33" customFormat="false" ht="15" hidden="false" customHeight="false" outlineLevel="0" collapsed="false">
      <c r="A33" s="3" t="s">
        <v>182</v>
      </c>
      <c r="B33" s="35" t="s">
        <v>38</v>
      </c>
      <c r="C33" s="4" t="n">
        <f aca="false">SUMPRODUCT(--EXACT('Original Data'!$A$2:$A$358,A33))</f>
        <v>2</v>
      </c>
      <c r="D33" s="3" t="str">
        <f aca="false">IF(EXACT(A33,B33),"No","Yes")</f>
        <v>Yes</v>
      </c>
      <c r="F33" s="3" t="s">
        <v>183</v>
      </c>
      <c r="G33" s="15" t="n">
        <f aca="false">COUNTA('Original Data'!$A$2:$A$358)</f>
        <v>357</v>
      </c>
    </row>
    <row r="34" customFormat="false" ht="15" hidden="false" customHeight="false" outlineLevel="0" collapsed="false">
      <c r="A34" s="3" t="s">
        <v>184</v>
      </c>
      <c r="B34" s="35" t="s">
        <v>38</v>
      </c>
      <c r="C34" s="4" t="n">
        <f aca="false">SUMPRODUCT(--EXACT('Original Data'!$A$2:$A$358,A34))</f>
        <v>1</v>
      </c>
      <c r="D34" s="3" t="str">
        <f aca="false">IF(EXACT(A34,B34),"No","Yes")</f>
        <v>Yes</v>
      </c>
      <c r="F34" s="3" t="s">
        <v>185</v>
      </c>
      <c r="G34" s="15" t="n">
        <f aca="false">COUNTIF('Original Data'!$AA$2:$AA$358,"&gt;0")</f>
        <v>44</v>
      </c>
    </row>
    <row r="35" customFormat="false" ht="15" hidden="false" customHeight="false" outlineLevel="0" collapsed="false">
      <c r="A35" s="3" t="s">
        <v>186</v>
      </c>
      <c r="B35" s="35" t="s">
        <v>38</v>
      </c>
      <c r="C35" s="4" t="n">
        <f aca="false">SUMPRODUCT(--EXACT('Original Data'!$A$2:$A$358,A35))</f>
        <v>11</v>
      </c>
      <c r="D35" s="3" t="str">
        <f aca="false">IF(EXACT(A35,B35),"No","Yes")</f>
        <v>Yes</v>
      </c>
      <c r="F35" s="3" t="s">
        <v>187</v>
      </c>
      <c r="G35" s="15" t="n">
        <f aca="false">COUNTIF('Original Data'!$AA$2:$AA$358,0)</f>
        <v>313</v>
      </c>
    </row>
    <row r="36" customFormat="false" ht="15" hidden="false" customHeight="false" outlineLevel="0" collapsed="false">
      <c r="A36" s="3" t="s">
        <v>188</v>
      </c>
      <c r="B36" s="35" t="s">
        <v>39</v>
      </c>
      <c r="C36" s="4" t="n">
        <f aca="false">SUMPRODUCT(--EXACT('Original Data'!$A$2:$A$358,A36))</f>
        <v>1</v>
      </c>
      <c r="D36" s="3" t="str">
        <f aca="false">IF(EXACT(A36,B36),"No","Yes")</f>
        <v>Yes</v>
      </c>
      <c r="F36" s="3" t="s">
        <v>189</v>
      </c>
      <c r="G36" s="15" t="n">
        <f aca="false">COUNTA(F5:F25)</f>
        <v>21</v>
      </c>
    </row>
    <row r="37" customFormat="false" ht="15" hidden="false" customHeight="false" outlineLevel="0" collapsed="false">
      <c r="A37" s="3" t="s">
        <v>40</v>
      </c>
      <c r="B37" s="35" t="s">
        <v>40</v>
      </c>
      <c r="C37" s="4" t="n">
        <f aca="false">SUMPRODUCT(--EXACT('Original Data'!$A$2:$A$358,A37))</f>
        <v>1</v>
      </c>
      <c r="D37" s="3" t="str">
        <f aca="false">IF(EXACT(A37,B37),"No","Yes")</f>
        <v>No</v>
      </c>
      <c r="F37" s="3" t="s">
        <v>190</v>
      </c>
      <c r="G37" s="15" t="n">
        <f aca="false">COUNTIF(J5:J25,"&gt;0")</f>
        <v>20</v>
      </c>
    </row>
    <row r="38" customFormat="false" ht="15" hidden="false" customHeight="false" outlineLevel="0" collapsed="false">
      <c r="A38" s="3" t="s">
        <v>41</v>
      </c>
      <c r="B38" s="35" t="s">
        <v>41</v>
      </c>
      <c r="C38" s="4" t="n">
        <f aca="false">SUMPRODUCT(--EXACT('Original Data'!$A$2:$A$358,A38))</f>
        <v>2</v>
      </c>
      <c r="D38" s="3" t="str">
        <f aca="false">IF(EXACT(A38,B38),"No","Yes")</f>
        <v>No</v>
      </c>
    </row>
    <row r="39" customFormat="false" ht="15" hidden="false" customHeight="false" outlineLevel="0" collapsed="false">
      <c r="A39" s="3" t="s">
        <v>191</v>
      </c>
      <c r="B39" s="35" t="s">
        <v>42</v>
      </c>
      <c r="C39" s="4" t="n">
        <f aca="false">SUMPRODUCT(--EXACT('Original Data'!$A$2:$A$358,A39))</f>
        <v>1</v>
      </c>
      <c r="D39" s="3" t="str">
        <f aca="false">IF(EXACT(A39,B39),"No","Yes")</f>
        <v>Yes</v>
      </c>
    </row>
    <row r="40" customFormat="false" ht="15" hidden="false" customHeight="false" outlineLevel="0" collapsed="false">
      <c r="A40" s="3" t="s">
        <v>42</v>
      </c>
      <c r="B40" s="35" t="s">
        <v>42</v>
      </c>
      <c r="C40" s="4" t="n">
        <f aca="false">SUMPRODUCT(--EXACT('Original Data'!$A$2:$A$358,A40))</f>
        <v>39</v>
      </c>
      <c r="D40" s="3" t="str">
        <f aca="false">IF(EXACT(A40,B40),"No","Yes")</f>
        <v>No</v>
      </c>
    </row>
    <row r="41" customFormat="false" ht="15" hidden="false" customHeight="false" outlineLevel="0" collapsed="false">
      <c r="A41" s="3" t="s">
        <v>43</v>
      </c>
      <c r="B41" s="35" t="s">
        <v>43</v>
      </c>
      <c r="C41" s="4" t="n">
        <f aca="false">SUMPRODUCT(--EXACT('Original Data'!$A$2:$A$358,A41))</f>
        <v>1</v>
      </c>
      <c r="D41" s="3" t="str">
        <f aca="false">IF(EXACT(A41,B41),"No","Yes")</f>
        <v>No</v>
      </c>
    </row>
    <row r="42" customFormat="false" ht="15" hidden="false" customHeight="false" outlineLevel="0" collapsed="false">
      <c r="A42" s="3" t="s">
        <v>44</v>
      </c>
      <c r="B42" s="35" t="s">
        <v>44</v>
      </c>
      <c r="C42" s="4" t="n">
        <f aca="false">SUMPRODUCT(--EXACT('Original Data'!$A$2:$A$358,A42))</f>
        <v>1</v>
      </c>
      <c r="D42" s="3" t="str">
        <f aca="false">IF(EXACT(A42,B42),"No","Yes")</f>
        <v>No</v>
      </c>
    </row>
    <row r="43" customFormat="false" ht="15" hidden="false" customHeight="false" outlineLevel="0" collapsed="false">
      <c r="A43" s="3" t="s">
        <v>192</v>
      </c>
      <c r="B43" s="35" t="s">
        <v>45</v>
      </c>
      <c r="C43" s="4" t="n">
        <f aca="false">SUMPRODUCT(--EXACT('Original Data'!$A$2:$A$358,A43))</f>
        <v>1</v>
      </c>
      <c r="D43" s="3" t="str">
        <f aca="false">IF(EXACT(A43,B43),"No","Yes")</f>
        <v>Yes</v>
      </c>
    </row>
    <row r="44" customFormat="false" ht="15" hidden="false" customHeight="false" outlineLevel="0" collapsed="false">
      <c r="A44" s="3" t="s">
        <v>45</v>
      </c>
      <c r="B44" s="35" t="s">
        <v>45</v>
      </c>
      <c r="C44" s="4" t="n">
        <f aca="false">SUMPRODUCT(--EXACT('Original Data'!$A$2:$A$358,A44))</f>
        <v>1</v>
      </c>
      <c r="D44" s="3" t="str">
        <f aca="false">IF(EXACT(A44,B44),"No","Yes")</f>
        <v>No</v>
      </c>
    </row>
    <row r="45" customFormat="false" ht="15" hidden="false" customHeight="false" outlineLevel="0" collapsed="false">
      <c r="A45" s="9" t="s">
        <v>172</v>
      </c>
      <c r="C45" s="15" t="n">
        <f aca="false">SUM(C5:C44)</f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38" activeCellId="0" sqref="M38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8.14"/>
    <col collapsed="false" customWidth="true" hidden="false" outlineLevel="0" max="2" min="2" style="0" width="7.71"/>
    <col collapsed="false" customWidth="true" hidden="false" outlineLevel="0" max="3" min="3" style="0" width="5.85"/>
    <col collapsed="false" customWidth="true" hidden="false" outlineLevel="0" max="4" min="4" style="0" width="7.57"/>
    <col collapsed="false" customWidth="true" hidden="false" outlineLevel="0" max="5" min="5" style="0" width="11.43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8.29"/>
    <col collapsed="false" customWidth="true" hidden="false" outlineLevel="0" max="9" min="9" style="0" width="16.71"/>
    <col collapsed="false" customWidth="true" hidden="false" outlineLevel="0" max="10" min="10" style="0" width="18.85"/>
    <col collapsed="false" customWidth="true" hidden="false" outlineLevel="0" max="11" min="11" style="0" width="16.43"/>
    <col collapsed="false" customWidth="true" hidden="false" outlineLevel="0" max="12" min="12" style="0" width="21.29"/>
    <col collapsed="false" customWidth="true" hidden="false" outlineLevel="0" max="13" min="13" style="0" width="20.85"/>
    <col collapsed="false" customWidth="true" hidden="false" outlineLevel="0" max="14" min="14" style="0" width="16.85"/>
    <col collapsed="false" customWidth="true" hidden="false" outlineLevel="0" max="15" min="15" style="0" width="15.14"/>
    <col collapsed="false" customWidth="true" hidden="false" outlineLevel="0" max="16" min="16" style="0" width="17.43"/>
    <col collapsed="false" customWidth="true" hidden="false" outlineLevel="0" max="17" min="17" style="0" width="14.85"/>
    <col collapsed="false" customWidth="true" hidden="false" outlineLevel="0" max="18" min="18" style="0" width="19.85"/>
    <col collapsed="false" customWidth="true" hidden="false" outlineLevel="0" max="19" min="19" style="0" width="9.57"/>
    <col collapsed="false" customWidth="true" hidden="false" outlineLevel="0" max="20" min="20" style="0" width="6.72"/>
    <col collapsed="false" customWidth="true" hidden="false" outlineLevel="0" max="21" min="21" style="0" width="10"/>
    <col collapsed="false" customWidth="true" hidden="false" outlineLevel="0" max="22" min="22" style="0" width="7.29"/>
    <col collapsed="false" customWidth="true" hidden="false" outlineLevel="0" max="23" min="23" style="0" width="11.57"/>
    <col collapsed="false" customWidth="true" hidden="false" outlineLevel="0" max="24" min="24" style="0" width="11"/>
    <col collapsed="false" customWidth="true" hidden="false" outlineLevel="0" max="25" min="25" style="0" width="23.71"/>
    <col collapsed="false" customWidth="true" hidden="false" outlineLevel="0" max="26" min="26" style="0" width="18"/>
    <col collapsed="false" customWidth="true" hidden="false" outlineLevel="0" max="27" min="27" style="0" width="15"/>
  </cols>
  <sheetData>
    <row r="1" customFormat="false" ht="12.75" hidden="false" customHeight="true" outlineLevel="0" collapsed="false">
      <c r="A1" s="38" t="s">
        <v>1</v>
      </c>
      <c r="B1" s="39" t="s">
        <v>2</v>
      </c>
      <c r="C1" s="39" t="s">
        <v>3</v>
      </c>
      <c r="D1" s="39" t="s">
        <v>4</v>
      </c>
      <c r="E1" s="39" t="s">
        <v>5</v>
      </c>
      <c r="F1" s="40" t="s">
        <v>6</v>
      </c>
      <c r="G1" s="41" t="s">
        <v>7</v>
      </c>
      <c r="H1" s="41" t="s">
        <v>8</v>
      </c>
      <c r="I1" s="41" t="s">
        <v>9</v>
      </c>
      <c r="J1" s="41" t="s">
        <v>10</v>
      </c>
      <c r="K1" s="41" t="s">
        <v>11</v>
      </c>
      <c r="L1" s="41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3" t="s">
        <v>19</v>
      </c>
      <c r="T1" s="43" t="s">
        <v>20</v>
      </c>
      <c r="U1" s="43" t="s">
        <v>21</v>
      </c>
      <c r="V1" s="44" t="s">
        <v>22</v>
      </c>
      <c r="W1" s="44" t="s">
        <v>23</v>
      </c>
      <c r="X1" s="44" t="s">
        <v>24</v>
      </c>
      <c r="Y1" s="44" t="s">
        <v>25</v>
      </c>
      <c r="Z1" s="1" t="s">
        <v>193</v>
      </c>
      <c r="AA1" s="1" t="s">
        <v>194</v>
      </c>
    </row>
    <row r="2" customFormat="false" ht="12.75" hidden="false" customHeight="true" outlineLevel="0" collapsed="false">
      <c r="A2" s="45" t="s">
        <v>33</v>
      </c>
      <c r="B2" s="46" t="n">
        <v>0</v>
      </c>
      <c r="C2" s="46" t="n">
        <v>0</v>
      </c>
      <c r="D2" s="46" t="n">
        <v>1</v>
      </c>
      <c r="E2" s="46" t="n">
        <v>0</v>
      </c>
      <c r="F2" s="47" t="n">
        <v>0</v>
      </c>
      <c r="G2" s="48" t="n">
        <v>5</v>
      </c>
      <c r="H2" s="48" t="n">
        <v>4</v>
      </c>
      <c r="I2" s="48" t="n">
        <v>5</v>
      </c>
      <c r="J2" s="48" t="n">
        <v>5</v>
      </c>
      <c r="K2" s="48" t="n">
        <v>5</v>
      </c>
      <c r="L2" s="48" t="n">
        <v>5</v>
      </c>
      <c r="M2" s="49" t="n">
        <v>3</v>
      </c>
      <c r="N2" s="49" t="n">
        <v>4</v>
      </c>
      <c r="O2" s="49" t="n">
        <v>5</v>
      </c>
      <c r="P2" s="49" t="n">
        <v>5</v>
      </c>
      <c r="Q2" s="49" t="n">
        <v>5</v>
      </c>
      <c r="R2" s="49" t="n">
        <v>4</v>
      </c>
      <c r="S2" s="50" t="n">
        <v>0</v>
      </c>
      <c r="T2" s="50" t="n">
        <v>52</v>
      </c>
      <c r="U2" s="50" t="n">
        <v>20942</v>
      </c>
      <c r="V2" s="51" t="n">
        <v>3</v>
      </c>
      <c r="W2" s="51" t="n">
        <v>3</v>
      </c>
      <c r="X2" s="51" t="n">
        <v>2</v>
      </c>
      <c r="Y2" s="51" t="n">
        <v>1</v>
      </c>
      <c r="Z2" s="3" t="str">
        <f aca="false">VLOOKUP(A2,'Data Prep'!$A$5:$B$44,2,FALSE())</f>
        <v>In-n-out</v>
      </c>
      <c r="AA2" s="4" t="n">
        <f aca="false">COUNTBLANK(A2:Y2)</f>
        <v>0</v>
      </c>
    </row>
    <row r="3" customFormat="false" ht="12.75" hidden="false" customHeight="true" outlineLevel="0" collapsed="false">
      <c r="A3" s="45" t="s">
        <v>162</v>
      </c>
      <c r="B3" s="46" t="n">
        <v>0</v>
      </c>
      <c r="C3" s="46" t="n">
        <v>0</v>
      </c>
      <c r="D3" s="46" t="n">
        <v>1</v>
      </c>
      <c r="E3" s="46" t="n">
        <v>0</v>
      </c>
      <c r="F3" s="47" t="n">
        <v>1</v>
      </c>
      <c r="G3" s="48" t="n">
        <v>5</v>
      </c>
      <c r="H3" s="48" t="n">
        <v>3</v>
      </c>
      <c r="I3" s="48" t="n">
        <v>5</v>
      </c>
      <c r="J3" s="48" t="n">
        <v>2</v>
      </c>
      <c r="K3" s="48" t="n">
        <v>5</v>
      </c>
      <c r="L3" s="48" t="n">
        <v>4</v>
      </c>
      <c r="M3" s="49" t="n">
        <v>3</v>
      </c>
      <c r="N3" s="49" t="n">
        <v>2</v>
      </c>
      <c r="O3" s="49" t="n">
        <v>4</v>
      </c>
      <c r="P3" s="49" t="n">
        <v>4</v>
      </c>
      <c r="Q3" s="49" t="n">
        <v>4</v>
      </c>
      <c r="R3" s="49" t="n">
        <v>4</v>
      </c>
      <c r="S3" s="50" t="n">
        <v>0</v>
      </c>
      <c r="T3" s="50" t="n">
        <v>35</v>
      </c>
      <c r="U3" s="50" t="n">
        <v>24330</v>
      </c>
      <c r="V3" s="51" t="n">
        <v>3</v>
      </c>
      <c r="W3" s="51" t="n">
        <v>2</v>
      </c>
      <c r="X3" s="51"/>
      <c r="Y3" s="51" t="n">
        <v>3</v>
      </c>
      <c r="Z3" s="3" t="str">
        <f aca="false">VLOOKUP(A3,'Data Prep'!$A$5:$B$44,2,FALSE())</f>
        <v>Chick-fil-A</v>
      </c>
      <c r="AA3" s="4" t="n">
        <f aca="false">COUNTBLANK(A3:Y3)</f>
        <v>1</v>
      </c>
    </row>
    <row r="4" customFormat="false" ht="12.75" hidden="false" customHeight="true" outlineLevel="0" collapsed="false">
      <c r="A4" s="45" t="s">
        <v>30</v>
      </c>
      <c r="B4" s="46" t="n">
        <v>1</v>
      </c>
      <c r="C4" s="46" t="n">
        <v>0</v>
      </c>
      <c r="D4" s="46" t="n">
        <v>0</v>
      </c>
      <c r="E4" s="46" t="n">
        <v>0</v>
      </c>
      <c r="F4" s="47" t="n">
        <v>0</v>
      </c>
      <c r="G4" s="48" t="n">
        <v>5</v>
      </c>
      <c r="H4" s="48" t="n">
        <v>5</v>
      </c>
      <c r="I4" s="48" t="n">
        <v>5</v>
      </c>
      <c r="J4" s="48" t="n">
        <v>5</v>
      </c>
      <c r="K4" s="48" t="n">
        <v>5</v>
      </c>
      <c r="L4" s="48" t="n">
        <v>5</v>
      </c>
      <c r="M4" s="49" t="n">
        <v>3</v>
      </c>
      <c r="N4" s="49" t="n">
        <v>3</v>
      </c>
      <c r="O4" s="49" t="n">
        <v>3</v>
      </c>
      <c r="P4" s="49" t="n">
        <v>4</v>
      </c>
      <c r="Q4" s="49" t="n">
        <v>3</v>
      </c>
      <c r="R4" s="49" t="n">
        <v>4</v>
      </c>
      <c r="S4" s="50" t="n">
        <v>0</v>
      </c>
      <c r="T4" s="50" t="n">
        <v>37</v>
      </c>
      <c r="U4" s="50" t="n">
        <v>41052</v>
      </c>
      <c r="V4" s="51" t="n">
        <v>2</v>
      </c>
      <c r="W4" s="51" t="n">
        <v>2</v>
      </c>
      <c r="X4" s="51" t="n">
        <v>2</v>
      </c>
      <c r="Y4" s="51" t="n">
        <v>2</v>
      </c>
      <c r="Z4" s="3" t="str">
        <f aca="false">VLOOKUP(A4,'Data Prep'!$A$5:$B$44,2,FALSE())</f>
        <v>Chipotle</v>
      </c>
      <c r="AA4" s="4" t="n">
        <f aca="false">COUNTBLANK(A4:Y4)</f>
        <v>0</v>
      </c>
    </row>
    <row r="5" customFormat="false" ht="12.75" hidden="false" customHeight="true" outlineLevel="0" collapsed="false">
      <c r="A5" s="45" t="s">
        <v>30</v>
      </c>
      <c r="B5" s="46" t="n">
        <v>0</v>
      </c>
      <c r="C5" s="46" t="n">
        <v>0</v>
      </c>
      <c r="D5" s="46" t="n">
        <v>1</v>
      </c>
      <c r="E5" s="46" t="n">
        <v>0</v>
      </c>
      <c r="F5" s="47" t="n">
        <v>0</v>
      </c>
      <c r="G5" s="48" t="n">
        <v>5</v>
      </c>
      <c r="H5" s="48" t="n">
        <v>4</v>
      </c>
      <c r="I5" s="48" t="n">
        <v>5</v>
      </c>
      <c r="J5" s="48" t="n">
        <v>5</v>
      </c>
      <c r="K5" s="48" t="n">
        <v>5</v>
      </c>
      <c r="L5" s="48" t="n">
        <v>4</v>
      </c>
      <c r="M5" s="49" t="n">
        <v>4</v>
      </c>
      <c r="N5" s="49" t="n">
        <v>4</v>
      </c>
      <c r="O5" s="49" t="n">
        <v>4</v>
      </c>
      <c r="P5" s="49" t="n">
        <v>5</v>
      </c>
      <c r="Q5" s="49" t="n">
        <v>5</v>
      </c>
      <c r="R5" s="49" t="n">
        <v>5</v>
      </c>
      <c r="S5" s="50" t="n">
        <v>0</v>
      </c>
      <c r="T5" s="50" t="n">
        <v>33</v>
      </c>
      <c r="U5" s="50" t="n">
        <v>86277</v>
      </c>
      <c r="V5" s="51" t="n">
        <v>2</v>
      </c>
      <c r="W5" s="51" t="n">
        <v>3</v>
      </c>
      <c r="X5" s="51" t="n">
        <v>2</v>
      </c>
      <c r="Y5" s="51" t="n">
        <v>2</v>
      </c>
      <c r="Z5" s="3" t="str">
        <f aca="false">VLOOKUP(A5,'Data Prep'!$A$5:$B$44,2,FALSE())</f>
        <v>Chipotle</v>
      </c>
      <c r="AA5" s="4" t="n">
        <f aca="false">COUNTBLANK(A5:Y5)</f>
        <v>0</v>
      </c>
    </row>
    <row r="6" customFormat="false" ht="12.75" hidden="false" customHeight="true" outlineLevel="0" collapsed="false">
      <c r="A6" s="45" t="s">
        <v>180</v>
      </c>
      <c r="B6" s="46" t="n">
        <v>0</v>
      </c>
      <c r="C6" s="46" t="n">
        <v>0</v>
      </c>
      <c r="D6" s="46" t="n">
        <v>0</v>
      </c>
      <c r="E6" s="46" t="n">
        <v>0</v>
      </c>
      <c r="F6" s="47" t="n">
        <v>2</v>
      </c>
      <c r="G6" s="48" t="n">
        <v>4</v>
      </c>
      <c r="H6" s="48" t="n">
        <v>4</v>
      </c>
      <c r="I6" s="48" t="n">
        <v>5</v>
      </c>
      <c r="J6" s="48" t="n">
        <v>5</v>
      </c>
      <c r="K6" s="48" t="n">
        <v>5</v>
      </c>
      <c r="L6" s="48" t="n">
        <v>4</v>
      </c>
      <c r="M6" s="49" t="n">
        <v>3</v>
      </c>
      <c r="N6" s="49" t="n">
        <v>4</v>
      </c>
      <c r="O6" s="49" t="n">
        <v>3</v>
      </c>
      <c r="P6" s="49" t="n">
        <v>4</v>
      </c>
      <c r="Q6" s="49" t="n">
        <v>4</v>
      </c>
      <c r="R6" s="49" t="n">
        <v>3</v>
      </c>
      <c r="S6" s="50" t="n">
        <v>0</v>
      </c>
      <c r="T6" s="50" t="n">
        <v>49</v>
      </c>
      <c r="U6" s="50" t="n">
        <v>54651</v>
      </c>
      <c r="V6" s="51" t="n">
        <v>1</v>
      </c>
      <c r="W6" s="51" t="n">
        <v>4</v>
      </c>
      <c r="X6" s="51" t="n">
        <v>2</v>
      </c>
      <c r="Y6" s="51" t="n">
        <v>2</v>
      </c>
      <c r="Z6" s="3" t="str">
        <f aca="false">VLOOKUP(A6,'Data Prep'!$A$5:$B$44,2,FALSE())</f>
        <v>Panera Bread</v>
      </c>
      <c r="AA6" s="4" t="n">
        <f aca="false">COUNTBLANK(A6:Y6)</f>
        <v>0</v>
      </c>
    </row>
    <row r="7" customFormat="false" ht="12.75" hidden="false" customHeight="true" outlineLevel="0" collapsed="false">
      <c r="A7" s="45" t="s">
        <v>162</v>
      </c>
      <c r="B7" s="46" t="n">
        <v>1</v>
      </c>
      <c r="C7" s="46" t="n">
        <v>0</v>
      </c>
      <c r="D7" s="46" t="n">
        <v>0</v>
      </c>
      <c r="E7" s="46" t="n">
        <v>0</v>
      </c>
      <c r="F7" s="47" t="n">
        <v>0</v>
      </c>
      <c r="G7" s="48" t="n">
        <v>5</v>
      </c>
      <c r="H7" s="48" t="n">
        <v>4</v>
      </c>
      <c r="I7" s="48" t="n">
        <v>4</v>
      </c>
      <c r="J7" s="48" t="n">
        <v>4</v>
      </c>
      <c r="K7" s="48" t="n">
        <v>5</v>
      </c>
      <c r="L7" s="48" t="n">
        <v>4</v>
      </c>
      <c r="M7" s="49" t="n">
        <v>5</v>
      </c>
      <c r="N7" s="49" t="n">
        <v>5</v>
      </c>
      <c r="O7" s="49" t="n">
        <v>4</v>
      </c>
      <c r="P7" s="49" t="n">
        <v>4</v>
      </c>
      <c r="Q7" s="49" t="n">
        <v>4</v>
      </c>
      <c r="R7" s="49" t="n">
        <v>4</v>
      </c>
      <c r="S7" s="50" t="n">
        <v>0</v>
      </c>
      <c r="T7" s="50" t="n">
        <v>21</v>
      </c>
      <c r="U7" s="50" t="n">
        <v>58742</v>
      </c>
      <c r="V7" s="51" t="n">
        <v>2</v>
      </c>
      <c r="W7" s="51" t="n">
        <v>4</v>
      </c>
      <c r="X7" s="51" t="n">
        <v>2</v>
      </c>
      <c r="Y7" s="51" t="n">
        <v>2</v>
      </c>
      <c r="Z7" s="3" t="str">
        <f aca="false">VLOOKUP(A7,'Data Prep'!$A$5:$B$44,2,FALSE())</f>
        <v>Chick-fil-A</v>
      </c>
      <c r="AA7" s="4" t="n">
        <f aca="false">COUNTBLANK(A7:Y7)</f>
        <v>0</v>
      </c>
    </row>
    <row r="8" customFormat="false" ht="12.75" hidden="false" customHeight="true" outlineLevel="0" collapsed="false">
      <c r="A8" s="45" t="s">
        <v>167</v>
      </c>
      <c r="B8" s="46" t="n">
        <v>0</v>
      </c>
      <c r="C8" s="46" t="n">
        <v>0</v>
      </c>
      <c r="D8" s="46" t="n">
        <v>0</v>
      </c>
      <c r="E8" s="46" t="n">
        <v>0</v>
      </c>
      <c r="F8" s="47" t="n">
        <v>1</v>
      </c>
      <c r="G8" s="48" t="n">
        <v>5</v>
      </c>
      <c r="H8" s="48" t="n">
        <v>4</v>
      </c>
      <c r="I8" s="48" t="n">
        <v>5</v>
      </c>
      <c r="J8" s="48" t="n">
        <v>5</v>
      </c>
      <c r="K8" s="48" t="n">
        <v>5</v>
      </c>
      <c r="L8" s="48" t="n">
        <v>4</v>
      </c>
      <c r="M8" s="49" t="n">
        <v>3</v>
      </c>
      <c r="N8" s="49" t="n">
        <v>3</v>
      </c>
      <c r="O8" s="49" t="n">
        <v>4</v>
      </c>
      <c r="P8" s="49" t="n">
        <v>5</v>
      </c>
      <c r="Q8" s="49" t="n">
        <v>5</v>
      </c>
      <c r="R8" s="49" t="n">
        <v>4</v>
      </c>
      <c r="S8" s="50" t="n">
        <v>0</v>
      </c>
      <c r="T8" s="50" t="n">
        <v>24</v>
      </c>
      <c r="U8" s="50" t="n">
        <v>58416</v>
      </c>
      <c r="V8" s="51" t="n">
        <v>1</v>
      </c>
      <c r="W8" s="51" t="n">
        <v>4</v>
      </c>
      <c r="X8" s="51" t="n">
        <v>2</v>
      </c>
      <c r="Y8" s="51" t="n">
        <v>1</v>
      </c>
      <c r="Z8" s="3" t="str">
        <f aca="false">VLOOKUP(A8,'Data Prep'!$A$5:$B$44,2,FALSE())</f>
        <v>Chipotle</v>
      </c>
      <c r="AA8" s="4" t="n">
        <f aca="false">COUNTBLANK(A8:Y8)</f>
        <v>0</v>
      </c>
    </row>
    <row r="9" customFormat="false" ht="12.75" hidden="false" customHeight="true" outlineLevel="0" collapsed="false">
      <c r="A9" s="45" t="s">
        <v>35</v>
      </c>
      <c r="B9" s="46" t="n">
        <v>1</v>
      </c>
      <c r="C9" s="46" t="n">
        <v>0</v>
      </c>
      <c r="D9" s="46" t="n">
        <v>0</v>
      </c>
      <c r="E9" s="46" t="n">
        <v>0</v>
      </c>
      <c r="F9" s="47" t="n">
        <v>0</v>
      </c>
      <c r="G9" s="48" t="n">
        <v>4</v>
      </c>
      <c r="H9" s="48" t="n">
        <v>5</v>
      </c>
      <c r="I9" s="48" t="n">
        <v>5</v>
      </c>
      <c r="J9" s="48" t="n">
        <v>5</v>
      </c>
      <c r="K9" s="48" t="n">
        <v>5</v>
      </c>
      <c r="L9" s="48" t="n">
        <v>5</v>
      </c>
      <c r="M9" s="49" t="n">
        <v>5</v>
      </c>
      <c r="N9" s="49" t="n">
        <v>5</v>
      </c>
      <c r="O9" s="49" t="n">
        <v>5</v>
      </c>
      <c r="P9" s="49" t="n">
        <v>5</v>
      </c>
      <c r="Q9" s="49" t="n">
        <v>5</v>
      </c>
      <c r="R9" s="49" t="n">
        <v>5</v>
      </c>
      <c r="S9" s="50" t="n">
        <v>0</v>
      </c>
      <c r="T9" s="50" t="n">
        <v>25</v>
      </c>
      <c r="U9" s="50" t="n">
        <v>29001</v>
      </c>
      <c r="V9" s="51" t="n">
        <v>1</v>
      </c>
      <c r="W9" s="51" t="n">
        <v>2</v>
      </c>
      <c r="X9" s="51" t="n">
        <v>1</v>
      </c>
      <c r="Y9" s="51" t="n">
        <v>1</v>
      </c>
      <c r="Z9" s="3" t="str">
        <f aca="false">VLOOKUP(A9,'Data Prep'!$A$5:$B$44,2,FALSE())</f>
        <v>KFC</v>
      </c>
      <c r="AA9" s="4" t="n">
        <f aca="false">COUNTBLANK(A9:Y9)</f>
        <v>0</v>
      </c>
    </row>
    <row r="10" customFormat="false" ht="12.75" hidden="false" customHeight="true" outlineLevel="0" collapsed="false">
      <c r="A10" s="45" t="s">
        <v>162</v>
      </c>
      <c r="B10" s="46" t="n">
        <v>1</v>
      </c>
      <c r="C10" s="46" t="n">
        <v>0</v>
      </c>
      <c r="D10" s="46" t="n">
        <v>0</v>
      </c>
      <c r="E10" s="46" t="n">
        <v>0</v>
      </c>
      <c r="F10" s="47" t="n">
        <v>0</v>
      </c>
      <c r="G10" s="48" t="n">
        <v>5</v>
      </c>
      <c r="H10" s="48" t="n">
        <v>5</v>
      </c>
      <c r="I10" s="48" t="n">
        <v>5</v>
      </c>
      <c r="J10" s="48" t="n">
        <v>5</v>
      </c>
      <c r="K10" s="48" t="n">
        <v>5</v>
      </c>
      <c r="L10" s="48" t="n">
        <v>3</v>
      </c>
      <c r="M10" s="49" t="n">
        <v>3</v>
      </c>
      <c r="N10" s="49" t="n">
        <v>5</v>
      </c>
      <c r="O10" s="49" t="n">
        <v>5</v>
      </c>
      <c r="P10" s="49" t="n">
        <v>5</v>
      </c>
      <c r="Q10" s="49" t="n">
        <v>5</v>
      </c>
      <c r="R10" s="49" t="n">
        <v>4</v>
      </c>
      <c r="S10" s="50" t="n">
        <v>0</v>
      </c>
      <c r="T10" s="50" t="n">
        <v>31</v>
      </c>
      <c r="U10" s="50" t="n">
        <v>40076</v>
      </c>
      <c r="V10" s="51" t="n">
        <v>2</v>
      </c>
      <c r="W10" s="51" t="n">
        <v>2</v>
      </c>
      <c r="X10" s="51" t="n">
        <v>2</v>
      </c>
      <c r="Y10" s="51" t="n">
        <v>2</v>
      </c>
      <c r="Z10" s="3" t="str">
        <f aca="false">VLOOKUP(A10,'Data Prep'!$A$5:$B$44,2,FALSE())</f>
        <v>Chick-fil-A</v>
      </c>
      <c r="AA10" s="4" t="n">
        <f aca="false">COUNTBLANK(A10:Y10)</f>
        <v>0</v>
      </c>
    </row>
    <row r="11" customFormat="false" ht="12.75" hidden="false" customHeight="true" outlineLevel="0" collapsed="false">
      <c r="A11" s="45" t="s">
        <v>162</v>
      </c>
      <c r="B11" s="46" t="n">
        <v>0</v>
      </c>
      <c r="C11" s="46" t="n">
        <v>1</v>
      </c>
      <c r="D11" s="46" t="n">
        <v>0</v>
      </c>
      <c r="E11" s="46" t="n">
        <v>0</v>
      </c>
      <c r="F11" s="47" t="n">
        <v>0</v>
      </c>
      <c r="G11" s="48"/>
      <c r="H11" s="48"/>
      <c r="I11" s="48"/>
      <c r="J11" s="48"/>
      <c r="K11" s="48"/>
      <c r="L11" s="48"/>
      <c r="M11" s="49"/>
      <c r="N11" s="49"/>
      <c r="O11" s="49"/>
      <c r="P11" s="49"/>
      <c r="Q11" s="49"/>
      <c r="R11" s="49"/>
      <c r="S11" s="50"/>
      <c r="T11" s="50"/>
      <c r="U11" s="50"/>
      <c r="V11" s="51"/>
      <c r="W11" s="51"/>
      <c r="X11" s="51"/>
      <c r="Y11" s="51"/>
      <c r="Z11" s="3" t="str">
        <f aca="false">VLOOKUP(A11,'Data Prep'!$A$5:$B$44,2,FALSE())</f>
        <v>Chick-fil-A</v>
      </c>
      <c r="AA11" s="4" t="n">
        <f aca="false">COUNTBLANK(A11:Y11)</f>
        <v>19</v>
      </c>
    </row>
    <row r="12" customFormat="false" ht="12.75" hidden="false" customHeight="true" outlineLevel="0" collapsed="false">
      <c r="A12" s="45" t="s">
        <v>30</v>
      </c>
      <c r="B12" s="46" t="n">
        <v>1</v>
      </c>
      <c r="C12" s="46" t="n">
        <v>0</v>
      </c>
      <c r="D12" s="46" t="n">
        <v>0</v>
      </c>
      <c r="E12" s="46" t="n">
        <v>0</v>
      </c>
      <c r="F12" s="47" t="n">
        <v>3</v>
      </c>
      <c r="G12" s="48" t="n">
        <v>5</v>
      </c>
      <c r="H12" s="48" t="n">
        <v>5</v>
      </c>
      <c r="I12" s="48" t="n">
        <v>5</v>
      </c>
      <c r="J12" s="48" t="n">
        <v>4</v>
      </c>
      <c r="K12" s="48" t="n">
        <v>5</v>
      </c>
      <c r="L12" s="48" t="n">
        <v>4</v>
      </c>
      <c r="M12" s="49" t="n">
        <v>3</v>
      </c>
      <c r="N12" s="49" t="n">
        <v>3</v>
      </c>
      <c r="O12" s="49" t="n">
        <v>4</v>
      </c>
      <c r="P12" s="49" t="n">
        <v>5</v>
      </c>
      <c r="Q12" s="49" t="n">
        <v>3</v>
      </c>
      <c r="R12" s="49" t="n">
        <v>3</v>
      </c>
      <c r="S12" s="50" t="n">
        <v>0</v>
      </c>
      <c r="T12" s="50" t="n">
        <v>38</v>
      </c>
      <c r="U12" s="50" t="n">
        <v>39680</v>
      </c>
      <c r="V12" s="51" t="n">
        <v>1</v>
      </c>
      <c r="W12" s="51" t="n">
        <v>2</v>
      </c>
      <c r="X12" s="51" t="n">
        <v>2</v>
      </c>
      <c r="Y12" s="51" t="n">
        <v>2</v>
      </c>
      <c r="Z12" s="3" t="str">
        <f aca="false">VLOOKUP(A12,'Data Prep'!$A$5:$B$44,2,FALSE())</f>
        <v>Chipotle</v>
      </c>
      <c r="AA12" s="4" t="n">
        <f aca="false">COUNTBLANK(A12:Y12)</f>
        <v>0</v>
      </c>
    </row>
    <row r="13" customFormat="false" ht="12.75" hidden="false" customHeight="true" outlineLevel="0" collapsed="false">
      <c r="A13" s="45" t="s">
        <v>30</v>
      </c>
      <c r="B13" s="46" t="n">
        <v>0</v>
      </c>
      <c r="C13" s="46" t="n">
        <v>0</v>
      </c>
      <c r="D13" s="46" t="n">
        <v>1</v>
      </c>
      <c r="E13" s="46" t="n">
        <v>0</v>
      </c>
      <c r="F13" s="47" t="n">
        <v>0</v>
      </c>
      <c r="G13" s="48" t="n">
        <v>5</v>
      </c>
      <c r="H13" s="48" t="n">
        <v>3</v>
      </c>
      <c r="I13" s="48" t="n">
        <v>5</v>
      </c>
      <c r="J13" s="48" t="n">
        <v>5</v>
      </c>
      <c r="K13" s="48" t="n">
        <v>5</v>
      </c>
      <c r="L13" s="48" t="n">
        <v>5</v>
      </c>
      <c r="M13" s="49" t="n">
        <v>5</v>
      </c>
      <c r="N13" s="49" t="n">
        <v>5</v>
      </c>
      <c r="O13" s="49" t="n">
        <v>5</v>
      </c>
      <c r="P13" s="49" t="n">
        <v>5</v>
      </c>
      <c r="Q13" s="49" t="n">
        <v>5</v>
      </c>
      <c r="R13" s="49" t="n">
        <v>5</v>
      </c>
      <c r="S13" s="50" t="n">
        <v>0</v>
      </c>
      <c r="T13" s="50" t="n">
        <v>45</v>
      </c>
      <c r="U13" s="50" t="n">
        <v>36810</v>
      </c>
      <c r="V13" s="51" t="n">
        <v>3</v>
      </c>
      <c r="W13" s="51" t="n">
        <v>2</v>
      </c>
      <c r="X13" s="51" t="n">
        <v>2</v>
      </c>
      <c r="Y13" s="51" t="n">
        <v>1</v>
      </c>
      <c r="Z13" s="3" t="str">
        <f aca="false">VLOOKUP(A13,'Data Prep'!$A$5:$B$44,2,FALSE())</f>
        <v>Chipotle</v>
      </c>
      <c r="AA13" s="4" t="n">
        <f aca="false">COUNTBLANK(A13:Y13)</f>
        <v>0</v>
      </c>
    </row>
    <row r="14" customFormat="false" ht="12.75" hidden="false" customHeight="true" outlineLevel="0" collapsed="false">
      <c r="A14" s="45" t="s">
        <v>33</v>
      </c>
      <c r="B14" s="46" t="n">
        <v>1</v>
      </c>
      <c r="C14" s="46" t="n">
        <v>0</v>
      </c>
      <c r="D14" s="46" t="n">
        <v>0</v>
      </c>
      <c r="E14" s="46" t="n">
        <v>0</v>
      </c>
      <c r="F14" s="47" t="n">
        <v>0</v>
      </c>
      <c r="G14" s="48" t="n">
        <v>4</v>
      </c>
      <c r="H14" s="48" t="n">
        <v>4</v>
      </c>
      <c r="I14" s="48" t="n">
        <v>4</v>
      </c>
      <c r="J14" s="48" t="n">
        <v>3</v>
      </c>
      <c r="K14" s="48" t="n">
        <v>5</v>
      </c>
      <c r="L14" s="48" t="n">
        <v>4</v>
      </c>
      <c r="M14" s="49" t="n">
        <v>3</v>
      </c>
      <c r="N14" s="49" t="n">
        <v>3</v>
      </c>
      <c r="O14" s="49" t="n">
        <v>3</v>
      </c>
      <c r="P14" s="49" t="n">
        <v>5</v>
      </c>
      <c r="Q14" s="49" t="n">
        <v>5</v>
      </c>
      <c r="R14" s="49" t="n">
        <v>4</v>
      </c>
      <c r="S14" s="50" t="n">
        <v>1</v>
      </c>
      <c r="T14" s="50" t="n">
        <v>40</v>
      </c>
      <c r="U14" s="50" t="n">
        <v>81393</v>
      </c>
      <c r="V14" s="51" t="n">
        <v>2</v>
      </c>
      <c r="W14" s="51" t="n">
        <v>4</v>
      </c>
      <c r="X14" s="51" t="n">
        <v>2</v>
      </c>
      <c r="Y14" s="51" t="n">
        <v>1</v>
      </c>
      <c r="Z14" s="3" t="str">
        <f aca="false">VLOOKUP(A14,'Data Prep'!$A$5:$B$44,2,FALSE())</f>
        <v>In-n-out</v>
      </c>
      <c r="AA14" s="4" t="n">
        <f aca="false">COUNTBLANK(A14:Y14)</f>
        <v>0</v>
      </c>
    </row>
    <row r="15" customFormat="false" ht="12.75" hidden="false" customHeight="true" outlineLevel="0" collapsed="false">
      <c r="A15" s="45" t="s">
        <v>162</v>
      </c>
      <c r="B15" s="46" t="n">
        <v>1</v>
      </c>
      <c r="C15" s="46" t="n">
        <v>0</v>
      </c>
      <c r="D15" s="46" t="n">
        <v>0</v>
      </c>
      <c r="E15" s="46" t="n">
        <v>0</v>
      </c>
      <c r="F15" s="47" t="n">
        <v>1</v>
      </c>
      <c r="G15" s="48" t="n">
        <v>4</v>
      </c>
      <c r="H15" s="48" t="n">
        <v>4</v>
      </c>
      <c r="I15" s="48" t="n">
        <v>5</v>
      </c>
      <c r="J15" s="48" t="n">
        <v>5</v>
      </c>
      <c r="K15" s="48" t="n">
        <v>5</v>
      </c>
      <c r="L15" s="48" t="n">
        <v>4</v>
      </c>
      <c r="M15" s="49" t="n">
        <v>3</v>
      </c>
      <c r="N15" s="49" t="n">
        <v>3</v>
      </c>
      <c r="O15" s="49" t="n">
        <v>1</v>
      </c>
      <c r="P15" s="49" t="n">
        <v>3</v>
      </c>
      <c r="Q15" s="49" t="n">
        <v>3</v>
      </c>
      <c r="R15" s="49" t="n">
        <v>3</v>
      </c>
      <c r="S15" s="50" t="n">
        <v>0</v>
      </c>
      <c r="T15" s="50" t="n">
        <v>39</v>
      </c>
      <c r="U15" s="50" t="n">
        <v>15629</v>
      </c>
      <c r="V15" s="51" t="n">
        <v>2</v>
      </c>
      <c r="W15" s="51" t="n">
        <v>2</v>
      </c>
      <c r="X15" s="51" t="n">
        <v>1</v>
      </c>
      <c r="Y15" s="51" t="n">
        <v>1</v>
      </c>
      <c r="Z15" s="3" t="str">
        <f aca="false">VLOOKUP(A15,'Data Prep'!$A$5:$B$44,2,FALSE())</f>
        <v>Chick-fil-A</v>
      </c>
      <c r="AA15" s="4" t="n">
        <f aca="false">COUNTBLANK(A15:Y15)</f>
        <v>0</v>
      </c>
    </row>
    <row r="16" customFormat="false" ht="12.75" hidden="false" customHeight="true" outlineLevel="0" collapsed="false">
      <c r="A16" s="45" t="s">
        <v>162</v>
      </c>
      <c r="B16" s="46" t="n">
        <v>1</v>
      </c>
      <c r="C16" s="46" t="n">
        <v>0</v>
      </c>
      <c r="D16" s="46" t="n">
        <v>0</v>
      </c>
      <c r="E16" s="46" t="n">
        <v>0</v>
      </c>
      <c r="F16" s="47" t="n">
        <v>0</v>
      </c>
      <c r="G16" s="48" t="n">
        <v>4</v>
      </c>
      <c r="H16" s="48" t="n">
        <v>4</v>
      </c>
      <c r="I16" s="48" t="n">
        <v>5</v>
      </c>
      <c r="J16" s="48" t="n">
        <v>5</v>
      </c>
      <c r="K16" s="48" t="n">
        <v>5</v>
      </c>
      <c r="L16" s="48" t="n">
        <v>4</v>
      </c>
      <c r="M16" s="49" t="n">
        <v>4</v>
      </c>
      <c r="N16" s="49" t="n">
        <v>5</v>
      </c>
      <c r="O16" s="49" t="n">
        <v>5</v>
      </c>
      <c r="P16" s="49" t="n">
        <v>5</v>
      </c>
      <c r="Q16" s="49" t="n">
        <v>5</v>
      </c>
      <c r="R16" s="49" t="n">
        <v>4</v>
      </c>
      <c r="S16" s="50" t="n">
        <v>1</v>
      </c>
      <c r="T16" s="50" t="n">
        <v>33</v>
      </c>
      <c r="U16" s="50" t="n">
        <v>72657</v>
      </c>
      <c r="V16" s="51" t="n">
        <v>1</v>
      </c>
      <c r="W16" s="51" t="n">
        <v>2</v>
      </c>
      <c r="X16" s="51" t="n">
        <v>1</v>
      </c>
      <c r="Y16" s="51" t="n">
        <v>1</v>
      </c>
      <c r="Z16" s="3" t="str">
        <f aca="false">VLOOKUP(A16,'Data Prep'!$A$5:$B$44,2,FALSE())</f>
        <v>Chick-fil-A</v>
      </c>
      <c r="AA16" s="4" t="n">
        <f aca="false">COUNTBLANK(A16:Y16)</f>
        <v>0</v>
      </c>
    </row>
    <row r="17" customFormat="false" ht="12.75" hidden="false" customHeight="true" outlineLevel="0" collapsed="false">
      <c r="A17" s="45" t="s">
        <v>162</v>
      </c>
      <c r="B17" s="46" t="n">
        <v>0</v>
      </c>
      <c r="C17" s="46" t="n">
        <v>0</v>
      </c>
      <c r="D17" s="46" t="n">
        <v>0</v>
      </c>
      <c r="E17" s="46" t="n">
        <v>0</v>
      </c>
      <c r="F17" s="47" t="n">
        <v>2</v>
      </c>
      <c r="G17" s="48"/>
      <c r="H17" s="48"/>
      <c r="I17" s="48"/>
      <c r="J17" s="48"/>
      <c r="K17" s="48"/>
      <c r="L17" s="48"/>
      <c r="M17" s="49"/>
      <c r="N17" s="49"/>
      <c r="O17" s="49"/>
      <c r="P17" s="49"/>
      <c r="Q17" s="49"/>
      <c r="R17" s="49"/>
      <c r="S17" s="50" t="n">
        <v>0</v>
      </c>
      <c r="T17" s="50" t="n">
        <v>56</v>
      </c>
      <c r="U17" s="50" t="n">
        <v>27994</v>
      </c>
      <c r="V17" s="51" t="n">
        <v>2</v>
      </c>
      <c r="W17" s="51" t="n">
        <v>2</v>
      </c>
      <c r="X17" s="51" t="n">
        <v>2</v>
      </c>
      <c r="Y17" s="51" t="n">
        <v>2</v>
      </c>
      <c r="Z17" s="3" t="str">
        <f aca="false">VLOOKUP(A17,'Data Prep'!$A$5:$B$44,2,FALSE())</f>
        <v>Chick-fil-A</v>
      </c>
      <c r="AA17" s="4" t="n">
        <f aca="false">COUNTBLANK(A17:Y17)</f>
        <v>12</v>
      </c>
    </row>
    <row r="18" customFormat="false" ht="12.75" hidden="false" customHeight="true" outlineLevel="0" collapsed="false">
      <c r="A18" s="45" t="s">
        <v>36</v>
      </c>
      <c r="B18" s="46" t="n">
        <v>1</v>
      </c>
      <c r="C18" s="46" t="n">
        <v>0</v>
      </c>
      <c r="D18" s="46" t="n">
        <v>0</v>
      </c>
      <c r="E18" s="46" t="n">
        <v>0</v>
      </c>
      <c r="F18" s="47" t="n">
        <v>1</v>
      </c>
      <c r="G18" s="48" t="n">
        <v>5</v>
      </c>
      <c r="H18" s="48" t="n">
        <v>4</v>
      </c>
      <c r="I18" s="48" t="n">
        <v>5</v>
      </c>
      <c r="J18" s="48" t="n">
        <v>4</v>
      </c>
      <c r="K18" s="48" t="n">
        <v>5</v>
      </c>
      <c r="L18" s="48" t="n">
        <v>4</v>
      </c>
      <c r="M18" s="49" t="n">
        <v>3</v>
      </c>
      <c r="N18" s="49" t="n">
        <v>3</v>
      </c>
      <c r="O18" s="49" t="n">
        <v>2</v>
      </c>
      <c r="P18" s="49" t="n">
        <v>5</v>
      </c>
      <c r="Q18" s="49" t="n">
        <v>5</v>
      </c>
      <c r="R18" s="49" t="n">
        <v>3</v>
      </c>
      <c r="S18" s="50" t="n">
        <v>1</v>
      </c>
      <c r="T18" s="50" t="n">
        <v>32</v>
      </c>
      <c r="U18" s="50" t="n">
        <v>24334</v>
      </c>
      <c r="V18" s="51" t="n">
        <v>2</v>
      </c>
      <c r="W18" s="51" t="n">
        <v>3</v>
      </c>
      <c r="X18" s="51" t="n">
        <v>5</v>
      </c>
      <c r="Y18" s="51" t="n">
        <v>3</v>
      </c>
      <c r="Z18" s="3" t="str">
        <f aca="false">VLOOKUP(A18,'Data Prep'!$A$5:$B$44,2,FALSE())</f>
        <v>McDonalds</v>
      </c>
      <c r="AA18" s="4" t="n">
        <f aca="false">COUNTBLANK(A18:Y18)</f>
        <v>0</v>
      </c>
    </row>
    <row r="19" customFormat="false" ht="12.75" hidden="false" customHeight="true" outlineLevel="0" collapsed="false">
      <c r="A19" s="45" t="s">
        <v>162</v>
      </c>
      <c r="B19" s="46" t="n">
        <v>0</v>
      </c>
      <c r="C19" s="46" t="n">
        <v>0</v>
      </c>
      <c r="D19" s="46" t="n">
        <v>1</v>
      </c>
      <c r="E19" s="46" t="n">
        <v>0</v>
      </c>
      <c r="F19" s="47" t="n">
        <v>0</v>
      </c>
      <c r="G19" s="48" t="n">
        <v>5</v>
      </c>
      <c r="H19" s="48" t="n">
        <v>5</v>
      </c>
      <c r="I19" s="48" t="n">
        <v>5</v>
      </c>
      <c r="J19" s="48" t="n">
        <v>4</v>
      </c>
      <c r="K19" s="48" t="n">
        <v>4</v>
      </c>
      <c r="L19" s="48" t="n">
        <v>3</v>
      </c>
      <c r="M19" s="49" t="n">
        <v>3</v>
      </c>
      <c r="N19" s="49" t="n">
        <v>3</v>
      </c>
      <c r="O19" s="49" t="n">
        <v>2</v>
      </c>
      <c r="P19" s="49"/>
      <c r="Q19" s="49" t="n">
        <v>4</v>
      </c>
      <c r="R19" s="49" t="n">
        <v>3</v>
      </c>
      <c r="S19" s="50" t="n">
        <v>0</v>
      </c>
      <c r="T19" s="50" t="n">
        <v>64</v>
      </c>
      <c r="U19" s="50" t="n">
        <v>59518</v>
      </c>
      <c r="V19" s="51" t="n">
        <v>2</v>
      </c>
      <c r="W19" s="51" t="n">
        <v>2</v>
      </c>
      <c r="X19" s="51" t="n">
        <v>2</v>
      </c>
      <c r="Y19" s="51" t="n">
        <v>3</v>
      </c>
      <c r="Z19" s="3" t="str">
        <f aca="false">VLOOKUP(A19,'Data Prep'!$A$5:$B$44,2,FALSE())</f>
        <v>Chick-fil-A</v>
      </c>
      <c r="AA19" s="4" t="n">
        <f aca="false">COUNTBLANK(A19:Y19)</f>
        <v>1</v>
      </c>
    </row>
    <row r="20" customFormat="false" ht="12.75" hidden="false" customHeight="true" outlineLevel="0" collapsed="false">
      <c r="A20" s="45" t="s">
        <v>27</v>
      </c>
      <c r="B20" s="46" t="n">
        <v>1</v>
      </c>
      <c r="C20" s="46" t="n">
        <v>0</v>
      </c>
      <c r="D20" s="46" t="n">
        <v>0</v>
      </c>
      <c r="E20" s="46" t="n">
        <v>0</v>
      </c>
      <c r="F20" s="47" t="n">
        <v>0</v>
      </c>
      <c r="G20" s="48" t="n">
        <v>4</v>
      </c>
      <c r="H20" s="48" t="n">
        <v>4</v>
      </c>
      <c r="I20" s="48" t="n">
        <v>4</v>
      </c>
      <c r="J20" s="48" t="n">
        <v>4</v>
      </c>
      <c r="K20" s="48" t="n">
        <v>4</v>
      </c>
      <c r="L20" s="48" t="n">
        <v>3</v>
      </c>
      <c r="M20" s="49" t="n">
        <v>4</v>
      </c>
      <c r="N20" s="49" t="n">
        <v>4</v>
      </c>
      <c r="O20" s="49" t="n">
        <v>4</v>
      </c>
      <c r="P20" s="49" t="n">
        <v>5</v>
      </c>
      <c r="Q20" s="49" t="n">
        <v>5</v>
      </c>
      <c r="R20" s="49" t="n">
        <v>5</v>
      </c>
      <c r="S20" s="50" t="n">
        <v>0</v>
      </c>
      <c r="T20" s="50" t="n">
        <v>51</v>
      </c>
      <c r="U20" s="50" t="n">
        <v>14502</v>
      </c>
      <c r="V20" s="51" t="n">
        <v>2</v>
      </c>
      <c r="W20" s="51" t="n">
        <v>2</v>
      </c>
      <c r="X20" s="51" t="n">
        <v>2</v>
      </c>
      <c r="Y20" s="51" t="n">
        <v>2</v>
      </c>
      <c r="Z20" s="3" t="str">
        <f aca="false">VLOOKUP(A20,'Data Prep'!$A$5:$B$44,2,FALSE())</f>
        <v>Arbys</v>
      </c>
      <c r="AA20" s="4" t="n">
        <f aca="false">COUNTBLANK(A20:Y20)</f>
        <v>0</v>
      </c>
    </row>
    <row r="21" customFormat="false" ht="12.75" hidden="false" customHeight="true" outlineLevel="0" collapsed="false">
      <c r="A21" s="45" t="s">
        <v>163</v>
      </c>
      <c r="B21" s="46" t="n">
        <v>1</v>
      </c>
      <c r="C21" s="46" t="n">
        <v>0</v>
      </c>
      <c r="D21" s="46" t="n">
        <v>0</v>
      </c>
      <c r="E21" s="46" t="n">
        <v>0</v>
      </c>
      <c r="F21" s="47" t="n">
        <v>0</v>
      </c>
      <c r="G21" s="48" t="n">
        <v>4</v>
      </c>
      <c r="H21" s="48" t="n">
        <v>4</v>
      </c>
      <c r="I21" s="48" t="n">
        <v>4</v>
      </c>
      <c r="J21" s="48" t="n">
        <v>5</v>
      </c>
      <c r="K21" s="48" t="n">
        <v>5</v>
      </c>
      <c r="L21" s="48" t="n">
        <v>5</v>
      </c>
      <c r="M21" s="49" t="n">
        <v>3</v>
      </c>
      <c r="N21" s="49" t="n">
        <v>3</v>
      </c>
      <c r="O21" s="49" t="n">
        <v>3</v>
      </c>
      <c r="P21" s="49" t="n">
        <v>3</v>
      </c>
      <c r="Q21" s="49" t="n">
        <v>3</v>
      </c>
      <c r="R21" s="49" t="n">
        <v>3</v>
      </c>
      <c r="S21" s="50" t="n">
        <v>1</v>
      </c>
      <c r="T21" s="50" t="n">
        <v>34</v>
      </c>
      <c r="U21" s="50" t="n">
        <v>17145</v>
      </c>
      <c r="V21" s="51" t="n">
        <v>2</v>
      </c>
      <c r="W21" s="51" t="n">
        <v>3</v>
      </c>
      <c r="X21" s="51" t="n">
        <v>1</v>
      </c>
      <c r="Y21" s="51" t="n">
        <v>1</v>
      </c>
      <c r="Z21" s="3" t="str">
        <f aca="false">VLOOKUP(A21,'Data Prep'!$A$5:$B$44,2,FALSE())</f>
        <v>Chick-fil-A</v>
      </c>
      <c r="AA21" s="4" t="n">
        <f aca="false">COUNTBLANK(A21:Y21)</f>
        <v>0</v>
      </c>
    </row>
    <row r="22" customFormat="false" ht="12.75" hidden="false" customHeight="true" outlineLevel="0" collapsed="false">
      <c r="A22" s="45" t="s">
        <v>33</v>
      </c>
      <c r="B22" s="46" t="n">
        <v>1</v>
      </c>
      <c r="C22" s="46" t="n">
        <v>0</v>
      </c>
      <c r="D22" s="46" t="n">
        <v>0</v>
      </c>
      <c r="E22" s="46" t="n">
        <v>0</v>
      </c>
      <c r="F22" s="47" t="n">
        <v>2</v>
      </c>
      <c r="G22" s="48" t="n">
        <v>4</v>
      </c>
      <c r="H22" s="48" t="n">
        <v>4</v>
      </c>
      <c r="I22" s="48" t="n">
        <v>5</v>
      </c>
      <c r="J22" s="48" t="n">
        <v>4</v>
      </c>
      <c r="K22" s="48" t="n">
        <v>5</v>
      </c>
      <c r="L22" s="48" t="n">
        <v>4</v>
      </c>
      <c r="M22" s="49" t="n">
        <v>5</v>
      </c>
      <c r="N22" s="49" t="n">
        <v>3</v>
      </c>
      <c r="O22" s="49" t="n">
        <v>4</v>
      </c>
      <c r="P22" s="49" t="n">
        <v>4</v>
      </c>
      <c r="Q22" s="49" t="n">
        <v>4</v>
      </c>
      <c r="R22" s="49" t="n">
        <v>4</v>
      </c>
      <c r="S22" s="50" t="n">
        <v>1</v>
      </c>
      <c r="T22" s="50" t="n">
        <v>69</v>
      </c>
      <c r="U22" s="50" t="n">
        <v>34164</v>
      </c>
      <c r="V22" s="51" t="n">
        <v>3</v>
      </c>
      <c r="W22" s="51" t="n">
        <v>3</v>
      </c>
      <c r="X22" s="51" t="n">
        <v>2</v>
      </c>
      <c r="Y22" s="51" t="n">
        <v>3</v>
      </c>
      <c r="Z22" s="3" t="str">
        <f aca="false">VLOOKUP(A22,'Data Prep'!$A$5:$B$44,2,FALSE())</f>
        <v>In-n-out</v>
      </c>
      <c r="AA22" s="4" t="n">
        <f aca="false">COUNTBLANK(A22:Y22)</f>
        <v>0</v>
      </c>
    </row>
    <row r="23" customFormat="false" ht="12.75" hidden="false" customHeight="true" outlineLevel="0" collapsed="false">
      <c r="A23" s="45" t="s">
        <v>162</v>
      </c>
      <c r="B23" s="46" t="n">
        <v>0</v>
      </c>
      <c r="C23" s="46" t="n">
        <v>0</v>
      </c>
      <c r="D23" s="46" t="n">
        <v>1</v>
      </c>
      <c r="E23" s="46" t="n">
        <v>0</v>
      </c>
      <c r="F23" s="47" t="n">
        <v>0</v>
      </c>
      <c r="G23" s="48" t="n">
        <v>4</v>
      </c>
      <c r="H23" s="48" t="n">
        <v>5</v>
      </c>
      <c r="I23" s="48" t="n">
        <v>5</v>
      </c>
      <c r="J23" s="48" t="n">
        <v>5</v>
      </c>
      <c r="K23" s="48" t="n">
        <v>5</v>
      </c>
      <c r="L23" s="48" t="n">
        <v>4</v>
      </c>
      <c r="M23" s="49" t="n">
        <v>4</v>
      </c>
      <c r="N23" s="49" t="n">
        <v>5</v>
      </c>
      <c r="O23" s="49" t="n">
        <v>5</v>
      </c>
      <c r="P23" s="49" t="n">
        <v>5</v>
      </c>
      <c r="Q23" s="49" t="n">
        <v>5</v>
      </c>
      <c r="R23" s="49" t="n">
        <v>3</v>
      </c>
      <c r="S23" s="50" t="n">
        <v>0</v>
      </c>
      <c r="T23" s="50" t="n">
        <v>54</v>
      </c>
      <c r="U23" s="50" t="n">
        <v>44372</v>
      </c>
      <c r="V23" s="51" t="n">
        <v>1</v>
      </c>
      <c r="W23" s="51" t="n">
        <v>4</v>
      </c>
      <c r="X23" s="51" t="n">
        <v>1</v>
      </c>
      <c r="Y23" s="51" t="n">
        <v>1</v>
      </c>
      <c r="Z23" s="3" t="str">
        <f aca="false">VLOOKUP(A23,'Data Prep'!$A$5:$B$44,2,FALSE())</f>
        <v>Chick-fil-A</v>
      </c>
      <c r="AA23" s="4" t="n">
        <f aca="false">COUNTBLANK(A23:Y23)</f>
        <v>0</v>
      </c>
    </row>
    <row r="24" customFormat="false" ht="12.75" hidden="false" customHeight="true" outlineLevel="0" collapsed="false">
      <c r="A24" s="45" t="s">
        <v>26</v>
      </c>
      <c r="B24" s="46" t="n">
        <v>1</v>
      </c>
      <c r="C24" s="46" t="n">
        <v>0</v>
      </c>
      <c r="D24" s="46" t="n">
        <v>0</v>
      </c>
      <c r="E24" s="46" t="n">
        <v>0</v>
      </c>
      <c r="F24" s="47" t="n">
        <v>0</v>
      </c>
      <c r="G24" s="48" t="n">
        <v>4</v>
      </c>
      <c r="H24" s="48" t="n">
        <v>4</v>
      </c>
      <c r="I24" s="48" t="n">
        <v>5</v>
      </c>
      <c r="J24" s="48" t="n">
        <v>4</v>
      </c>
      <c r="K24" s="48" t="n">
        <v>5</v>
      </c>
      <c r="L24" s="48" t="n">
        <v>5</v>
      </c>
      <c r="M24" s="49" t="n">
        <v>5</v>
      </c>
      <c r="N24" s="49" t="n">
        <v>5</v>
      </c>
      <c r="O24" s="49" t="n">
        <v>4</v>
      </c>
      <c r="P24" s="49" t="n">
        <v>5</v>
      </c>
      <c r="Q24" s="49" t="n">
        <v>5</v>
      </c>
      <c r="R24" s="49" t="n">
        <v>5</v>
      </c>
      <c r="S24" s="50" t="n">
        <v>0</v>
      </c>
      <c r="T24" s="50" t="n">
        <v>51</v>
      </c>
      <c r="U24" s="50" t="n">
        <v>23649</v>
      </c>
      <c r="V24" s="51" t="n">
        <v>2</v>
      </c>
      <c r="W24" s="51" t="n">
        <v>2</v>
      </c>
      <c r="X24" s="51" t="n">
        <v>5</v>
      </c>
      <c r="Y24" s="51" t="n">
        <v>2</v>
      </c>
      <c r="Z24" s="3" t="str">
        <f aca="false">VLOOKUP(A24,'Data Prep'!$A$5:$B$44,2,FALSE())</f>
        <v>Applebees</v>
      </c>
      <c r="AA24" s="4" t="n">
        <f aca="false">COUNTBLANK(A24:Y24)</f>
        <v>0</v>
      </c>
    </row>
    <row r="25" customFormat="false" ht="12.75" hidden="false" customHeight="true" outlineLevel="0" collapsed="false">
      <c r="A25" s="45" t="s">
        <v>162</v>
      </c>
      <c r="B25" s="46" t="n">
        <v>1</v>
      </c>
      <c r="C25" s="46" t="n">
        <v>0</v>
      </c>
      <c r="D25" s="46" t="n">
        <v>0</v>
      </c>
      <c r="E25" s="46" t="n">
        <v>0</v>
      </c>
      <c r="F25" s="47" t="n">
        <v>0</v>
      </c>
      <c r="G25" s="48"/>
      <c r="H25" s="48"/>
      <c r="I25" s="48"/>
      <c r="J25" s="48"/>
      <c r="K25" s="48"/>
      <c r="L25" s="48"/>
      <c r="M25" s="49"/>
      <c r="N25" s="49"/>
      <c r="O25" s="49"/>
      <c r="P25" s="49"/>
      <c r="Q25" s="49"/>
      <c r="R25" s="49"/>
      <c r="S25" s="50"/>
      <c r="T25" s="50"/>
      <c r="U25" s="50"/>
      <c r="V25" s="51"/>
      <c r="W25" s="51"/>
      <c r="X25" s="51"/>
      <c r="Y25" s="51"/>
      <c r="Z25" s="3" t="str">
        <f aca="false">VLOOKUP(A25,'Data Prep'!$A$5:$B$44,2,FALSE())</f>
        <v>Chick-fil-A</v>
      </c>
      <c r="AA25" s="4" t="n">
        <f aca="false">COUNTBLANK(A25:Y25)</f>
        <v>19</v>
      </c>
    </row>
    <row r="26" customFormat="false" ht="12.75" hidden="false" customHeight="true" outlineLevel="0" collapsed="false">
      <c r="A26" s="45" t="s">
        <v>177</v>
      </c>
      <c r="B26" s="46" t="n">
        <v>0</v>
      </c>
      <c r="C26" s="46" t="n">
        <v>0</v>
      </c>
      <c r="D26" s="46" t="n">
        <v>0</v>
      </c>
      <c r="E26" s="46" t="n">
        <v>0</v>
      </c>
      <c r="F26" s="47" t="n">
        <v>5</v>
      </c>
      <c r="G26" s="48" t="n">
        <v>2</v>
      </c>
      <c r="H26" s="48"/>
      <c r="I26" s="48"/>
      <c r="J26" s="48"/>
      <c r="K26" s="48"/>
      <c r="L26" s="48"/>
      <c r="M26" s="49"/>
      <c r="N26" s="49"/>
      <c r="O26" s="49"/>
      <c r="P26" s="49"/>
      <c r="Q26" s="49"/>
      <c r="R26" s="49"/>
      <c r="S26" s="50"/>
      <c r="T26" s="50"/>
      <c r="U26" s="50"/>
      <c r="V26" s="51"/>
      <c r="W26" s="51"/>
      <c r="X26" s="51"/>
      <c r="Y26" s="51"/>
      <c r="Z26" s="3" t="str">
        <f aca="false">VLOOKUP(A26,'Data Prep'!$A$5:$B$44,2,FALSE())</f>
        <v>McDonalds</v>
      </c>
      <c r="AA26" s="4" t="n">
        <f aca="false">COUNTBLANK(A26:Y26)</f>
        <v>18</v>
      </c>
    </row>
    <row r="27" customFormat="false" ht="12.75" hidden="false" customHeight="true" outlineLevel="0" collapsed="false">
      <c r="A27" s="45" t="s">
        <v>162</v>
      </c>
      <c r="B27" s="46" t="n">
        <v>1</v>
      </c>
      <c r="C27" s="46" t="n">
        <v>0</v>
      </c>
      <c r="D27" s="46" t="n">
        <v>0</v>
      </c>
      <c r="E27" s="46" t="n">
        <v>0</v>
      </c>
      <c r="F27" s="47" t="n">
        <v>0</v>
      </c>
      <c r="G27" s="48" t="n">
        <v>5</v>
      </c>
      <c r="H27" s="48" t="n">
        <v>5</v>
      </c>
      <c r="I27" s="48" t="n">
        <v>5</v>
      </c>
      <c r="J27" s="48" t="n">
        <v>5</v>
      </c>
      <c r="K27" s="48" t="n">
        <v>5</v>
      </c>
      <c r="L27" s="48" t="n">
        <v>5</v>
      </c>
      <c r="M27" s="49" t="n">
        <v>5</v>
      </c>
      <c r="N27" s="49" t="n">
        <v>5</v>
      </c>
      <c r="O27" s="49" t="n">
        <v>2</v>
      </c>
      <c r="P27" s="49" t="n">
        <v>5</v>
      </c>
      <c r="Q27" s="49" t="n">
        <v>5</v>
      </c>
      <c r="R27" s="49" t="n">
        <v>5</v>
      </c>
      <c r="S27" s="50" t="n">
        <v>0</v>
      </c>
      <c r="T27" s="50" t="n">
        <v>35</v>
      </c>
      <c r="U27" s="50" t="n">
        <v>53772</v>
      </c>
      <c r="V27" s="51" t="n">
        <v>3</v>
      </c>
      <c r="W27" s="51" t="n">
        <v>2</v>
      </c>
      <c r="X27" s="51" t="n">
        <v>2</v>
      </c>
      <c r="Y27" s="51" t="n">
        <v>2</v>
      </c>
      <c r="Z27" s="3" t="str">
        <f aca="false">VLOOKUP(A27,'Data Prep'!$A$5:$B$44,2,FALSE())</f>
        <v>Chick-fil-A</v>
      </c>
      <c r="AA27" s="4" t="n">
        <f aca="false">COUNTBLANK(A27:Y27)</f>
        <v>0</v>
      </c>
    </row>
    <row r="28" customFormat="false" ht="12.75" hidden="false" customHeight="true" outlineLevel="0" collapsed="false">
      <c r="A28" s="45" t="s">
        <v>162</v>
      </c>
      <c r="B28" s="46" t="n">
        <v>1</v>
      </c>
      <c r="C28" s="46" t="n">
        <v>0</v>
      </c>
      <c r="D28" s="46" t="n">
        <v>0</v>
      </c>
      <c r="E28" s="46" t="n">
        <v>0</v>
      </c>
      <c r="F28" s="47" t="n">
        <v>0</v>
      </c>
      <c r="G28" s="48" t="n">
        <v>5</v>
      </c>
      <c r="H28" s="48" t="n">
        <v>5</v>
      </c>
      <c r="I28" s="48" t="n">
        <v>5</v>
      </c>
      <c r="J28" s="48" t="n">
        <v>5</v>
      </c>
      <c r="K28" s="48" t="n">
        <v>5</v>
      </c>
      <c r="L28" s="48" t="n">
        <v>5</v>
      </c>
      <c r="M28" s="49" t="n">
        <v>3</v>
      </c>
      <c r="N28" s="49" t="n">
        <v>3</v>
      </c>
      <c r="O28" s="49" t="n">
        <v>3</v>
      </c>
      <c r="P28" s="49" t="n">
        <v>4</v>
      </c>
      <c r="Q28" s="49" t="n">
        <v>4</v>
      </c>
      <c r="R28" s="49" t="n">
        <v>3</v>
      </c>
      <c r="S28" s="50" t="n">
        <v>0</v>
      </c>
      <c r="T28" s="50" t="n">
        <v>45</v>
      </c>
      <c r="U28" s="50" t="n">
        <v>16333</v>
      </c>
      <c r="V28" s="51" t="n">
        <v>2</v>
      </c>
      <c r="W28" s="51" t="n">
        <v>2</v>
      </c>
      <c r="X28" s="51" t="n">
        <v>2</v>
      </c>
      <c r="Y28" s="51" t="n">
        <v>2</v>
      </c>
      <c r="Z28" s="3" t="str">
        <f aca="false">VLOOKUP(A28,'Data Prep'!$A$5:$B$44,2,FALSE())</f>
        <v>Chick-fil-A</v>
      </c>
      <c r="AA28" s="4" t="n">
        <f aca="false">COUNTBLANK(A28:Y28)</f>
        <v>0</v>
      </c>
    </row>
    <row r="29" customFormat="false" ht="12.75" hidden="false" customHeight="true" outlineLevel="0" collapsed="false">
      <c r="A29" s="45" t="s">
        <v>35</v>
      </c>
      <c r="B29" s="46" t="n">
        <v>1</v>
      </c>
      <c r="C29" s="46" t="n">
        <v>0</v>
      </c>
      <c r="D29" s="46" t="n">
        <v>0</v>
      </c>
      <c r="E29" s="46" t="n">
        <v>0</v>
      </c>
      <c r="F29" s="47" t="n">
        <v>0</v>
      </c>
      <c r="G29" s="48" t="n">
        <v>5</v>
      </c>
      <c r="H29" s="48" t="n">
        <v>5</v>
      </c>
      <c r="I29" s="48" t="n">
        <v>5</v>
      </c>
      <c r="J29" s="48" t="n">
        <v>5</v>
      </c>
      <c r="K29" s="48" t="n">
        <v>5</v>
      </c>
      <c r="L29" s="48" t="n">
        <v>4</v>
      </c>
      <c r="M29" s="49" t="n">
        <v>5</v>
      </c>
      <c r="N29" s="49" t="n">
        <v>5</v>
      </c>
      <c r="O29" s="49" t="n">
        <v>2</v>
      </c>
      <c r="P29" s="49" t="n">
        <v>5</v>
      </c>
      <c r="Q29" s="49" t="n">
        <v>5</v>
      </c>
      <c r="R29" s="49" t="n">
        <v>5</v>
      </c>
      <c r="S29" s="50" t="n">
        <v>1</v>
      </c>
      <c r="T29" s="50" t="n">
        <v>45</v>
      </c>
      <c r="U29" s="50" t="n">
        <v>42612</v>
      </c>
      <c r="V29" s="51" t="n">
        <v>3</v>
      </c>
      <c r="W29" s="51" t="n">
        <v>3</v>
      </c>
      <c r="X29" s="51" t="n">
        <v>1</v>
      </c>
      <c r="Y29" s="51" t="n">
        <v>1</v>
      </c>
      <c r="Z29" s="3" t="str">
        <f aca="false">VLOOKUP(A29,'Data Prep'!$A$5:$B$44,2,FALSE())</f>
        <v>KFC</v>
      </c>
      <c r="AA29" s="4" t="n">
        <f aca="false">COUNTBLANK(A29:Y29)</f>
        <v>0</v>
      </c>
    </row>
    <row r="30" customFormat="false" ht="12.75" hidden="false" customHeight="true" outlineLevel="0" collapsed="false">
      <c r="A30" s="45" t="s">
        <v>162</v>
      </c>
      <c r="B30" s="46" t="n">
        <v>1</v>
      </c>
      <c r="C30" s="46" t="n">
        <v>0</v>
      </c>
      <c r="D30" s="46" t="n">
        <v>0</v>
      </c>
      <c r="E30" s="46" t="n">
        <v>0</v>
      </c>
      <c r="F30" s="47" t="n">
        <v>0</v>
      </c>
      <c r="G30" s="48" t="n">
        <v>5</v>
      </c>
      <c r="H30" s="48" t="n">
        <v>4</v>
      </c>
      <c r="I30" s="48" t="n">
        <v>4</v>
      </c>
      <c r="J30" s="48" t="n">
        <v>5</v>
      </c>
      <c r="K30" s="48" t="n">
        <v>5</v>
      </c>
      <c r="L30" s="48" t="n">
        <v>4</v>
      </c>
      <c r="M30" s="49" t="n">
        <v>5</v>
      </c>
      <c r="N30" s="49" t="n">
        <v>5</v>
      </c>
      <c r="O30" s="49" t="n">
        <v>4</v>
      </c>
      <c r="P30" s="49" t="n">
        <v>5</v>
      </c>
      <c r="Q30" s="49" t="n">
        <v>5</v>
      </c>
      <c r="R30" s="49" t="n">
        <v>3</v>
      </c>
      <c r="S30" s="50" t="n">
        <v>0</v>
      </c>
      <c r="T30" s="50" t="n">
        <v>48</v>
      </c>
      <c r="U30" s="50" t="n">
        <v>23232</v>
      </c>
      <c r="V30" s="51" t="n">
        <v>2</v>
      </c>
      <c r="W30" s="51" t="n">
        <v>3</v>
      </c>
      <c r="X30" s="51" t="n">
        <v>2</v>
      </c>
      <c r="Y30" s="51" t="n">
        <v>1</v>
      </c>
      <c r="Z30" s="3" t="str">
        <f aca="false">VLOOKUP(A30,'Data Prep'!$A$5:$B$44,2,FALSE())</f>
        <v>Chick-fil-A</v>
      </c>
      <c r="AA30" s="4" t="n">
        <f aca="false">COUNTBLANK(A30:Y30)</f>
        <v>0</v>
      </c>
    </row>
    <row r="31" customFormat="false" ht="12.75" hidden="false" customHeight="true" outlineLevel="0" collapsed="false">
      <c r="A31" s="45" t="s">
        <v>162</v>
      </c>
      <c r="B31" s="46" t="n">
        <v>0</v>
      </c>
      <c r="C31" s="46" t="n">
        <v>0</v>
      </c>
      <c r="D31" s="46" t="n">
        <v>0</v>
      </c>
      <c r="E31" s="46" t="n">
        <v>0</v>
      </c>
      <c r="F31" s="47" t="n">
        <v>2</v>
      </c>
      <c r="G31" s="48"/>
      <c r="H31" s="48"/>
      <c r="I31" s="48"/>
      <c r="J31" s="48"/>
      <c r="K31" s="48"/>
      <c r="L31" s="48"/>
      <c r="M31" s="49"/>
      <c r="N31" s="49"/>
      <c r="O31" s="49"/>
      <c r="P31" s="49"/>
      <c r="Q31" s="49"/>
      <c r="R31" s="49"/>
      <c r="S31" s="50" t="n">
        <v>0</v>
      </c>
      <c r="T31" s="50" t="n">
        <v>32</v>
      </c>
      <c r="U31" s="50" t="n">
        <v>14108</v>
      </c>
      <c r="V31" s="51" t="n">
        <v>2</v>
      </c>
      <c r="W31" s="51" t="n">
        <v>1</v>
      </c>
      <c r="X31" s="51" t="n">
        <v>1</v>
      </c>
      <c r="Y31" s="51" t="n">
        <v>1</v>
      </c>
      <c r="Z31" s="3" t="str">
        <f aca="false">VLOOKUP(A31,'Data Prep'!$A$5:$B$44,2,FALSE())</f>
        <v>Chick-fil-A</v>
      </c>
      <c r="AA31" s="4" t="n">
        <f aca="false">COUNTBLANK(A31:Y31)</f>
        <v>12</v>
      </c>
    </row>
    <row r="32" customFormat="false" ht="12.75" hidden="false" customHeight="true" outlineLevel="0" collapsed="false">
      <c r="A32" s="45" t="s">
        <v>182</v>
      </c>
      <c r="B32" s="46" t="n">
        <v>1</v>
      </c>
      <c r="C32" s="46" t="n">
        <v>0</v>
      </c>
      <c r="D32" s="46" t="n">
        <v>0</v>
      </c>
      <c r="E32" s="46" t="n">
        <v>0</v>
      </c>
      <c r="F32" s="47" t="n">
        <v>1</v>
      </c>
      <c r="G32" s="48" t="n">
        <v>4</v>
      </c>
      <c r="H32" s="48" t="n">
        <v>4</v>
      </c>
      <c r="I32" s="48" t="n">
        <v>5</v>
      </c>
      <c r="J32" s="48" t="n">
        <v>5</v>
      </c>
      <c r="K32" s="48" t="n">
        <v>5</v>
      </c>
      <c r="L32" s="48" t="n">
        <v>4</v>
      </c>
      <c r="M32" s="49" t="n">
        <v>5</v>
      </c>
      <c r="N32" s="49" t="n">
        <v>5</v>
      </c>
      <c r="O32" s="49" t="n">
        <v>5</v>
      </c>
      <c r="P32" s="49" t="n">
        <v>5</v>
      </c>
      <c r="Q32" s="49" t="n">
        <v>5</v>
      </c>
      <c r="R32" s="49" t="n">
        <v>5</v>
      </c>
      <c r="S32" s="50" t="n">
        <v>0</v>
      </c>
      <c r="T32" s="50" t="n">
        <v>36</v>
      </c>
      <c r="U32" s="50" t="n">
        <v>38296</v>
      </c>
      <c r="V32" s="51" t="n">
        <v>1</v>
      </c>
      <c r="W32" s="51" t="n">
        <v>3</v>
      </c>
      <c r="X32" s="51" t="n">
        <v>2</v>
      </c>
      <c r="Y32" s="51" t="n">
        <v>1</v>
      </c>
      <c r="Z32" s="3" t="str">
        <f aca="false">VLOOKUP(A32,'Data Prep'!$A$5:$B$44,2,FALSE())</f>
        <v>Panera Bread</v>
      </c>
      <c r="AA32" s="4" t="n">
        <f aca="false">COUNTBLANK(A32:Y32)</f>
        <v>0</v>
      </c>
    </row>
    <row r="33" customFormat="false" ht="12.75" hidden="false" customHeight="true" outlineLevel="0" collapsed="false">
      <c r="A33" s="45" t="s">
        <v>162</v>
      </c>
      <c r="B33" s="46" t="n">
        <v>0</v>
      </c>
      <c r="C33" s="46" t="n">
        <v>0</v>
      </c>
      <c r="D33" s="46" t="n">
        <v>1</v>
      </c>
      <c r="E33" s="46" t="n">
        <v>0</v>
      </c>
      <c r="F33" s="47" t="n">
        <v>0</v>
      </c>
      <c r="G33" s="48" t="n">
        <v>5</v>
      </c>
      <c r="H33" s="48" t="n">
        <v>4</v>
      </c>
      <c r="I33" s="48" t="n">
        <v>5</v>
      </c>
      <c r="J33" s="48" t="n">
        <v>5</v>
      </c>
      <c r="K33" s="48" t="n">
        <v>5</v>
      </c>
      <c r="L33" s="48" t="n">
        <v>5</v>
      </c>
      <c r="M33" s="49" t="n">
        <v>4</v>
      </c>
      <c r="N33" s="49" t="n">
        <v>3</v>
      </c>
      <c r="O33" s="49" t="n">
        <v>4</v>
      </c>
      <c r="P33" s="49" t="n">
        <v>4</v>
      </c>
      <c r="Q33" s="49" t="n">
        <v>4</v>
      </c>
      <c r="R33" s="49" t="n">
        <v>3</v>
      </c>
      <c r="S33" s="50" t="n">
        <v>1</v>
      </c>
      <c r="T33" s="50" t="n">
        <v>33</v>
      </c>
      <c r="U33" s="50" t="n">
        <v>13572</v>
      </c>
      <c r="V33" s="51" t="n">
        <v>1</v>
      </c>
      <c r="W33" s="51" t="n">
        <v>1</v>
      </c>
      <c r="X33" s="51" t="n">
        <v>2</v>
      </c>
      <c r="Y33" s="51" t="n">
        <v>2</v>
      </c>
      <c r="Z33" s="3" t="str">
        <f aca="false">VLOOKUP(A33,'Data Prep'!$A$5:$B$44,2,FALSE())</f>
        <v>Chick-fil-A</v>
      </c>
      <c r="AA33" s="4" t="n">
        <f aca="false">COUNTBLANK(A33:Y33)</f>
        <v>0</v>
      </c>
    </row>
    <row r="34" customFormat="false" ht="12.75" hidden="false" customHeight="true" outlineLevel="0" collapsed="false">
      <c r="A34" s="45" t="s">
        <v>162</v>
      </c>
      <c r="B34" s="46" t="n">
        <v>1</v>
      </c>
      <c r="C34" s="46" t="n">
        <v>0</v>
      </c>
      <c r="D34" s="46" t="n">
        <v>0</v>
      </c>
      <c r="E34" s="46" t="n">
        <v>0</v>
      </c>
      <c r="F34" s="47" t="n">
        <v>0</v>
      </c>
      <c r="G34" s="48" t="n">
        <v>5</v>
      </c>
      <c r="H34" s="48" t="n">
        <v>5</v>
      </c>
      <c r="I34" s="48" t="n">
        <v>5</v>
      </c>
      <c r="J34" s="48" t="n">
        <v>5</v>
      </c>
      <c r="K34" s="48" t="n">
        <v>5</v>
      </c>
      <c r="L34" s="48" t="n">
        <v>4</v>
      </c>
      <c r="M34" s="49" t="n">
        <v>4</v>
      </c>
      <c r="N34" s="49" t="n">
        <v>3</v>
      </c>
      <c r="O34" s="49" t="n">
        <v>3</v>
      </c>
      <c r="P34" s="49" t="n">
        <v>4</v>
      </c>
      <c r="Q34" s="49" t="n">
        <v>4</v>
      </c>
      <c r="R34" s="49" t="n">
        <v>4</v>
      </c>
      <c r="S34" s="50" t="n">
        <v>1</v>
      </c>
      <c r="T34" s="50" t="n">
        <v>32</v>
      </c>
      <c r="U34" s="50" t="n">
        <v>47226</v>
      </c>
      <c r="V34" s="51" t="n">
        <v>2</v>
      </c>
      <c r="W34" s="51" t="n">
        <v>4</v>
      </c>
      <c r="X34" s="51" t="n">
        <v>2</v>
      </c>
      <c r="Y34" s="51" t="n">
        <v>2</v>
      </c>
      <c r="Z34" s="3" t="str">
        <f aca="false">VLOOKUP(A34,'Data Prep'!$A$5:$B$44,2,FALSE())</f>
        <v>Chick-fil-A</v>
      </c>
      <c r="AA34" s="4" t="n">
        <f aca="false">COUNTBLANK(A34:Y34)</f>
        <v>0</v>
      </c>
    </row>
    <row r="35" customFormat="false" ht="12.75" hidden="false" customHeight="true" outlineLevel="0" collapsed="false">
      <c r="A35" s="45" t="s">
        <v>180</v>
      </c>
      <c r="B35" s="46" t="n">
        <v>1</v>
      </c>
      <c r="C35" s="46" t="n">
        <v>0</v>
      </c>
      <c r="D35" s="46" t="n">
        <v>0</v>
      </c>
      <c r="E35" s="46" t="n">
        <v>0</v>
      </c>
      <c r="F35" s="47" t="n">
        <v>0</v>
      </c>
      <c r="G35" s="48" t="n">
        <v>5</v>
      </c>
      <c r="H35" s="48" t="n">
        <v>4</v>
      </c>
      <c r="I35" s="48" t="n">
        <v>5</v>
      </c>
      <c r="J35" s="48" t="n">
        <v>4</v>
      </c>
      <c r="K35" s="48" t="n">
        <v>5</v>
      </c>
      <c r="L35" s="48" t="n">
        <v>4</v>
      </c>
      <c r="M35" s="49" t="n">
        <v>5</v>
      </c>
      <c r="N35" s="49" t="n">
        <v>3</v>
      </c>
      <c r="O35" s="49" t="n">
        <v>2</v>
      </c>
      <c r="P35" s="49" t="n">
        <v>4</v>
      </c>
      <c r="Q35" s="49" t="n">
        <v>3</v>
      </c>
      <c r="R35" s="49" t="n">
        <v>3</v>
      </c>
      <c r="S35" s="50" t="n">
        <v>0</v>
      </c>
      <c r="T35" s="50" t="n">
        <v>38</v>
      </c>
      <c r="U35" s="50" t="n">
        <v>50294</v>
      </c>
      <c r="V35" s="51" t="n">
        <v>1</v>
      </c>
      <c r="W35" s="51" t="n">
        <v>4</v>
      </c>
      <c r="X35" s="51" t="n">
        <v>2</v>
      </c>
      <c r="Y35" s="51" t="n">
        <v>1</v>
      </c>
      <c r="Z35" s="3" t="str">
        <f aca="false">VLOOKUP(A35,'Data Prep'!$A$5:$B$44,2,FALSE())</f>
        <v>Panera Bread</v>
      </c>
      <c r="AA35" s="4" t="n">
        <f aca="false">COUNTBLANK(A35:Y35)</f>
        <v>0</v>
      </c>
    </row>
    <row r="36" customFormat="false" ht="12.75" hidden="false" customHeight="true" outlineLevel="0" collapsed="false">
      <c r="A36" s="45" t="s">
        <v>37</v>
      </c>
      <c r="B36" s="46" t="n">
        <v>1</v>
      </c>
      <c r="C36" s="46" t="n">
        <v>0</v>
      </c>
      <c r="D36" s="46" t="n">
        <v>0</v>
      </c>
      <c r="E36" s="46" t="n">
        <v>0</v>
      </c>
      <c r="F36" s="47" t="n">
        <v>0</v>
      </c>
      <c r="G36" s="48" t="n">
        <v>5</v>
      </c>
      <c r="H36" s="48" t="n">
        <v>5</v>
      </c>
      <c r="I36" s="48" t="n">
        <v>5</v>
      </c>
      <c r="J36" s="48" t="n">
        <v>5</v>
      </c>
      <c r="K36" s="48" t="n">
        <v>5</v>
      </c>
      <c r="L36" s="48" t="n">
        <v>5</v>
      </c>
      <c r="M36" s="49" t="n">
        <v>2</v>
      </c>
      <c r="N36" s="49" t="n">
        <v>3</v>
      </c>
      <c r="O36" s="49" t="n">
        <v>3</v>
      </c>
      <c r="P36" s="49" t="n">
        <v>4</v>
      </c>
      <c r="Q36" s="49" t="n">
        <v>4</v>
      </c>
      <c r="R36" s="49" t="n">
        <v>3</v>
      </c>
      <c r="S36" s="50" t="n">
        <v>0</v>
      </c>
      <c r="T36" s="50" t="n">
        <v>35</v>
      </c>
      <c r="U36" s="50" t="n">
        <v>69465</v>
      </c>
      <c r="V36" s="51" t="n">
        <v>1</v>
      </c>
      <c r="W36" s="51" t="n">
        <v>2</v>
      </c>
      <c r="X36" s="51" t="n">
        <v>2</v>
      </c>
      <c r="Y36" s="51" t="n">
        <v>2</v>
      </c>
      <c r="Z36" s="3" t="str">
        <f aca="false">VLOOKUP(A36,'Data Prep'!$A$5:$B$44,2,FALSE())</f>
        <v>Outback</v>
      </c>
      <c r="AA36" s="4" t="n">
        <f aca="false">COUNTBLANK(A36:Y36)</f>
        <v>0</v>
      </c>
    </row>
    <row r="37" customFormat="false" ht="12.75" hidden="false" customHeight="true" outlineLevel="0" collapsed="false">
      <c r="A37" s="45" t="s">
        <v>162</v>
      </c>
      <c r="B37" s="46" t="n">
        <v>1</v>
      </c>
      <c r="C37" s="46" t="n">
        <v>0</v>
      </c>
      <c r="D37" s="46" t="n">
        <v>0</v>
      </c>
      <c r="E37" s="46" t="n">
        <v>0</v>
      </c>
      <c r="F37" s="47" t="n">
        <v>3</v>
      </c>
      <c r="G37" s="48" t="n">
        <v>5</v>
      </c>
      <c r="H37" s="48" t="n">
        <v>5</v>
      </c>
      <c r="I37" s="48" t="n">
        <v>5</v>
      </c>
      <c r="J37" s="48" t="n">
        <v>5</v>
      </c>
      <c r="K37" s="48" t="n">
        <v>5</v>
      </c>
      <c r="L37" s="48" t="n">
        <v>5</v>
      </c>
      <c r="M37" s="49" t="n">
        <v>4</v>
      </c>
      <c r="N37" s="49" t="n">
        <v>4</v>
      </c>
      <c r="O37" s="49" t="n">
        <v>4</v>
      </c>
      <c r="P37" s="49" t="n">
        <v>4</v>
      </c>
      <c r="Q37" s="49" t="n">
        <v>4</v>
      </c>
      <c r="R37" s="49" t="n">
        <v>4</v>
      </c>
      <c r="S37" s="50" t="n">
        <v>0</v>
      </c>
      <c r="T37" s="50" t="n">
        <v>46</v>
      </c>
      <c r="U37" s="50" t="n">
        <v>36060</v>
      </c>
      <c r="V37" s="51" t="n">
        <v>1</v>
      </c>
      <c r="W37" s="51" t="n">
        <v>4</v>
      </c>
      <c r="X37" s="51" t="n">
        <v>2</v>
      </c>
      <c r="Y37" s="51" t="n">
        <v>2</v>
      </c>
      <c r="Z37" s="3" t="str">
        <f aca="false">VLOOKUP(A37,'Data Prep'!$A$5:$B$44,2,FALSE())</f>
        <v>Chick-fil-A</v>
      </c>
      <c r="AA37" s="4" t="n">
        <f aca="false">COUNTBLANK(A37:Y37)</f>
        <v>0</v>
      </c>
    </row>
    <row r="38" customFormat="false" ht="12.75" hidden="false" customHeight="true" outlineLevel="0" collapsed="false">
      <c r="A38" s="45" t="s">
        <v>162</v>
      </c>
      <c r="B38" s="46" t="n">
        <v>0</v>
      </c>
      <c r="C38" s="46" t="n">
        <v>0</v>
      </c>
      <c r="D38" s="46" t="n">
        <v>1</v>
      </c>
      <c r="E38" s="46" t="n">
        <v>0</v>
      </c>
      <c r="F38" s="47" t="n">
        <v>0</v>
      </c>
      <c r="G38" s="48" t="n">
        <v>5</v>
      </c>
      <c r="H38" s="48" t="n">
        <v>4</v>
      </c>
      <c r="I38" s="48" t="n">
        <v>5</v>
      </c>
      <c r="J38" s="48" t="n">
        <v>4</v>
      </c>
      <c r="K38" s="48"/>
      <c r="L38" s="48" t="n">
        <v>4</v>
      </c>
      <c r="M38" s="49" t="n">
        <v>4</v>
      </c>
      <c r="N38" s="49" t="n">
        <v>3</v>
      </c>
      <c r="O38" s="49" t="n">
        <v>4</v>
      </c>
      <c r="P38" s="49" t="n">
        <v>4</v>
      </c>
      <c r="Q38" s="49" t="n">
        <v>5</v>
      </c>
      <c r="R38" s="49" t="n">
        <v>4</v>
      </c>
      <c r="S38" s="50" t="n">
        <v>0</v>
      </c>
      <c r="T38" s="50" t="n">
        <v>52</v>
      </c>
      <c r="U38" s="50" t="n">
        <v>85353</v>
      </c>
      <c r="V38" s="51" t="n">
        <v>1</v>
      </c>
      <c r="W38" s="51" t="n">
        <v>3</v>
      </c>
      <c r="X38" s="51" t="n">
        <v>2</v>
      </c>
      <c r="Y38" s="51" t="n">
        <v>2</v>
      </c>
      <c r="Z38" s="3" t="str">
        <f aca="false">VLOOKUP(A38,'Data Prep'!$A$5:$B$44,2,FALSE())</f>
        <v>Chick-fil-A</v>
      </c>
      <c r="AA38" s="4" t="n">
        <f aca="false">COUNTBLANK(A38:Y38)</f>
        <v>1</v>
      </c>
    </row>
    <row r="39" customFormat="false" ht="12.75" hidden="false" customHeight="true" outlineLevel="0" collapsed="false">
      <c r="A39" s="45" t="s">
        <v>33</v>
      </c>
      <c r="B39" s="46" t="n">
        <v>0</v>
      </c>
      <c r="C39" s="46" t="n">
        <v>0</v>
      </c>
      <c r="D39" s="46" t="n">
        <v>1</v>
      </c>
      <c r="E39" s="46" t="n">
        <v>0</v>
      </c>
      <c r="F39" s="47" t="n">
        <v>0</v>
      </c>
      <c r="G39" s="48" t="n">
        <v>4</v>
      </c>
      <c r="H39" s="48" t="n">
        <v>4</v>
      </c>
      <c r="I39" s="48" t="n">
        <v>5</v>
      </c>
      <c r="J39" s="48" t="n">
        <v>5</v>
      </c>
      <c r="K39" s="48" t="n">
        <v>5</v>
      </c>
      <c r="L39" s="48" t="n">
        <v>4</v>
      </c>
      <c r="M39" s="49" t="n">
        <v>4</v>
      </c>
      <c r="N39" s="49" t="n">
        <v>4</v>
      </c>
      <c r="O39" s="49" t="n">
        <v>2</v>
      </c>
      <c r="P39" s="49" t="n">
        <v>4</v>
      </c>
      <c r="Q39" s="49" t="n">
        <v>4</v>
      </c>
      <c r="R39" s="49" t="n">
        <v>3</v>
      </c>
      <c r="S39" s="50" t="n">
        <v>0</v>
      </c>
      <c r="T39" s="50" t="n">
        <v>54</v>
      </c>
      <c r="U39" s="50" t="n">
        <v>19970</v>
      </c>
      <c r="V39" s="51" t="n">
        <v>2</v>
      </c>
      <c r="W39" s="51" t="n">
        <v>3</v>
      </c>
      <c r="X39" s="51" t="n">
        <v>2</v>
      </c>
      <c r="Y39" s="51" t="n">
        <v>1</v>
      </c>
      <c r="Z39" s="3" t="str">
        <f aca="false">VLOOKUP(A39,'Data Prep'!$A$5:$B$44,2,FALSE())</f>
        <v>In-n-out</v>
      </c>
      <c r="AA39" s="4" t="n">
        <f aca="false">COUNTBLANK(A39:Y39)</f>
        <v>0</v>
      </c>
    </row>
    <row r="40" customFormat="false" ht="12.75" hidden="false" customHeight="true" outlineLevel="0" collapsed="false">
      <c r="A40" s="45" t="s">
        <v>33</v>
      </c>
      <c r="B40" s="46" t="n">
        <v>1</v>
      </c>
      <c r="C40" s="46" t="n">
        <v>0</v>
      </c>
      <c r="D40" s="46" t="n">
        <v>0</v>
      </c>
      <c r="E40" s="46" t="n">
        <v>0</v>
      </c>
      <c r="F40" s="47" t="n">
        <v>3</v>
      </c>
      <c r="G40" s="48" t="n">
        <v>5</v>
      </c>
      <c r="H40" s="48" t="n">
        <v>3</v>
      </c>
      <c r="I40" s="48" t="n">
        <v>4</v>
      </c>
      <c r="J40" s="48" t="n">
        <v>5</v>
      </c>
      <c r="K40" s="48" t="n">
        <v>5</v>
      </c>
      <c r="L40" s="48" t="n">
        <v>4</v>
      </c>
      <c r="M40" s="49" t="n">
        <v>3</v>
      </c>
      <c r="N40" s="49" t="n">
        <v>3</v>
      </c>
      <c r="O40" s="49" t="n">
        <v>4</v>
      </c>
      <c r="P40" s="49" t="n">
        <v>5</v>
      </c>
      <c r="Q40" s="49" t="n">
        <v>5</v>
      </c>
      <c r="R40" s="49" t="n">
        <v>3</v>
      </c>
      <c r="S40" s="50" t="n">
        <v>0</v>
      </c>
      <c r="T40" s="50" t="n">
        <v>58</v>
      </c>
      <c r="U40" s="50" t="n">
        <v>51927</v>
      </c>
      <c r="V40" s="51" t="n">
        <v>2</v>
      </c>
      <c r="W40" s="51" t="n">
        <v>4</v>
      </c>
      <c r="X40" s="51" t="n">
        <v>1</v>
      </c>
      <c r="Y40" s="51" t="n">
        <v>1</v>
      </c>
      <c r="Z40" s="3" t="str">
        <f aca="false">VLOOKUP(A40,'Data Prep'!$A$5:$B$44,2,FALSE())</f>
        <v>In-n-out</v>
      </c>
      <c r="AA40" s="4" t="n">
        <f aca="false">COUNTBLANK(A40:Y40)</f>
        <v>0</v>
      </c>
    </row>
    <row r="41" customFormat="false" ht="12.75" hidden="false" customHeight="true" outlineLevel="0" collapsed="false">
      <c r="A41" s="45" t="s">
        <v>162</v>
      </c>
      <c r="B41" s="46" t="n">
        <v>1</v>
      </c>
      <c r="C41" s="46" t="n">
        <v>0</v>
      </c>
      <c r="D41" s="46" t="n">
        <v>0</v>
      </c>
      <c r="E41" s="46" t="n">
        <v>0</v>
      </c>
      <c r="F41" s="47" t="n">
        <v>0</v>
      </c>
      <c r="G41" s="48" t="n">
        <v>5</v>
      </c>
      <c r="H41" s="48" t="n">
        <v>4</v>
      </c>
      <c r="I41" s="48" t="n">
        <v>4</v>
      </c>
      <c r="J41" s="48" t="n">
        <v>3</v>
      </c>
      <c r="K41" s="48" t="n">
        <v>4</v>
      </c>
      <c r="L41" s="48" t="n">
        <v>2</v>
      </c>
      <c r="M41" s="49" t="n">
        <v>5</v>
      </c>
      <c r="N41" s="49" t="n">
        <v>3</v>
      </c>
      <c r="O41" s="49" t="n">
        <v>4</v>
      </c>
      <c r="P41" s="49" t="n">
        <v>4</v>
      </c>
      <c r="Q41" s="49" t="n">
        <v>4</v>
      </c>
      <c r="R41" s="49" t="n">
        <v>3</v>
      </c>
      <c r="S41" s="50" t="n">
        <v>0</v>
      </c>
      <c r="T41" s="50" t="n">
        <v>69</v>
      </c>
      <c r="U41" s="50" t="n">
        <v>83778</v>
      </c>
      <c r="V41" s="51" t="n">
        <v>3</v>
      </c>
      <c r="W41" s="51" t="n">
        <v>4</v>
      </c>
      <c r="X41" s="51" t="n">
        <v>2</v>
      </c>
      <c r="Y41" s="51" t="n">
        <v>2</v>
      </c>
      <c r="Z41" s="3" t="str">
        <f aca="false">VLOOKUP(A41,'Data Prep'!$A$5:$B$44,2,FALSE())</f>
        <v>Chick-fil-A</v>
      </c>
      <c r="AA41" s="4" t="n">
        <f aca="false">COUNTBLANK(A41:Y41)</f>
        <v>0</v>
      </c>
    </row>
    <row r="42" customFormat="false" ht="12.75" hidden="false" customHeight="true" outlineLevel="0" collapsed="false">
      <c r="A42" s="45" t="s">
        <v>180</v>
      </c>
      <c r="B42" s="46" t="n">
        <v>0</v>
      </c>
      <c r="C42" s="46" t="n">
        <v>0</v>
      </c>
      <c r="D42" s="46" t="n">
        <v>0</v>
      </c>
      <c r="E42" s="46" t="n">
        <v>0</v>
      </c>
      <c r="F42" s="47" t="n">
        <v>6</v>
      </c>
      <c r="G42" s="48" t="n">
        <v>4</v>
      </c>
      <c r="H42" s="48" t="n">
        <v>4</v>
      </c>
      <c r="I42" s="48" t="n">
        <v>5</v>
      </c>
      <c r="J42" s="48" t="n">
        <v>4</v>
      </c>
      <c r="K42" s="48" t="n">
        <v>5</v>
      </c>
      <c r="L42" s="48" t="n">
        <v>4</v>
      </c>
      <c r="M42" s="49" t="n">
        <v>3</v>
      </c>
      <c r="N42" s="49" t="n">
        <v>4</v>
      </c>
      <c r="O42" s="49" t="n">
        <v>3</v>
      </c>
      <c r="P42" s="49" t="n">
        <v>4</v>
      </c>
      <c r="Q42" s="49" t="n">
        <v>4</v>
      </c>
      <c r="R42" s="49" t="n">
        <v>3</v>
      </c>
      <c r="S42" s="50" t="n">
        <v>0</v>
      </c>
      <c r="T42" s="50" t="n">
        <v>47</v>
      </c>
      <c r="U42" s="50" t="n">
        <v>62550</v>
      </c>
      <c r="V42" s="51" t="n">
        <v>1</v>
      </c>
      <c r="W42" s="51" t="n">
        <v>4</v>
      </c>
      <c r="X42" s="51" t="n">
        <v>2</v>
      </c>
      <c r="Y42" s="51" t="n">
        <v>2</v>
      </c>
      <c r="Z42" s="3" t="str">
        <f aca="false">VLOOKUP(A42,'Data Prep'!$A$5:$B$44,2,FALSE())</f>
        <v>Panera Bread</v>
      </c>
      <c r="AA42" s="4" t="n">
        <f aca="false">COUNTBLANK(A42:Y42)</f>
        <v>0</v>
      </c>
    </row>
    <row r="43" customFormat="false" ht="12.75" hidden="false" customHeight="true" outlineLevel="0" collapsed="false">
      <c r="A43" s="45" t="s">
        <v>30</v>
      </c>
      <c r="B43" s="46" t="n">
        <v>1</v>
      </c>
      <c r="C43" s="46" t="n">
        <v>0</v>
      </c>
      <c r="D43" s="46" t="n">
        <v>0</v>
      </c>
      <c r="E43" s="46" t="n">
        <v>0</v>
      </c>
      <c r="F43" s="47" t="n">
        <v>0</v>
      </c>
      <c r="G43" s="48" t="n">
        <v>5</v>
      </c>
      <c r="H43" s="48" t="n">
        <v>4</v>
      </c>
      <c r="I43" s="48" t="n">
        <v>5</v>
      </c>
      <c r="J43" s="48" t="n">
        <v>3</v>
      </c>
      <c r="K43" s="48" t="n">
        <v>5</v>
      </c>
      <c r="L43" s="48" t="n">
        <v>4</v>
      </c>
      <c r="M43" s="49" t="n">
        <v>3</v>
      </c>
      <c r="N43" s="49" t="n">
        <v>3</v>
      </c>
      <c r="O43" s="49" t="n">
        <v>3</v>
      </c>
      <c r="P43" s="49" t="n">
        <v>6</v>
      </c>
      <c r="Q43" s="49" t="n">
        <v>4</v>
      </c>
      <c r="R43" s="49" t="n">
        <v>3</v>
      </c>
      <c r="S43" s="50" t="n">
        <v>0</v>
      </c>
      <c r="T43" s="50" t="n">
        <v>21</v>
      </c>
      <c r="U43" s="50" t="n">
        <v>25375</v>
      </c>
      <c r="V43" s="51" t="n">
        <v>2</v>
      </c>
      <c r="W43" s="51" t="n">
        <v>3</v>
      </c>
      <c r="X43" s="51" t="n">
        <v>2</v>
      </c>
      <c r="Y43" s="51" t="n">
        <v>3</v>
      </c>
      <c r="Z43" s="3" t="str">
        <f aca="false">VLOOKUP(A43,'Data Prep'!$A$5:$B$44,2,FALSE())</f>
        <v>Chipotle</v>
      </c>
      <c r="AA43" s="4" t="n">
        <f aca="false">COUNTBLANK(A43:Y43)</f>
        <v>0</v>
      </c>
    </row>
    <row r="44" customFormat="false" ht="12.75" hidden="false" customHeight="true" outlineLevel="0" collapsed="false">
      <c r="A44" s="45" t="s">
        <v>30</v>
      </c>
      <c r="B44" s="46" t="n">
        <v>0</v>
      </c>
      <c r="C44" s="46" t="n">
        <v>0</v>
      </c>
      <c r="D44" s="46" t="n">
        <v>1</v>
      </c>
      <c r="E44" s="46" t="n">
        <v>0</v>
      </c>
      <c r="F44" s="47" t="n">
        <v>0</v>
      </c>
      <c r="G44" s="48" t="n">
        <v>5</v>
      </c>
      <c r="H44" s="48" t="n">
        <v>2</v>
      </c>
      <c r="I44" s="48" t="n">
        <v>5</v>
      </c>
      <c r="J44" s="48" t="n">
        <v>5</v>
      </c>
      <c r="K44" s="48" t="n">
        <v>5</v>
      </c>
      <c r="L44" s="48" t="n">
        <v>1</v>
      </c>
      <c r="M44" s="49" t="n">
        <v>5</v>
      </c>
      <c r="N44" s="49" t="n">
        <v>2</v>
      </c>
      <c r="O44" s="49" t="n">
        <v>1</v>
      </c>
      <c r="P44" s="49" t="n">
        <v>5</v>
      </c>
      <c r="Q44" s="49" t="n">
        <v>5</v>
      </c>
      <c r="R44" s="49" t="n">
        <v>3</v>
      </c>
      <c r="S44" s="50" t="n">
        <v>0</v>
      </c>
      <c r="T44" s="50" t="n">
        <v>30</v>
      </c>
      <c r="U44" s="50" t="n">
        <v>41362</v>
      </c>
      <c r="V44" s="51" t="n">
        <v>1</v>
      </c>
      <c r="W44" s="51" t="n">
        <v>4</v>
      </c>
      <c r="X44" s="51" t="n">
        <v>4</v>
      </c>
      <c r="Y44" s="51" t="n">
        <v>1</v>
      </c>
      <c r="Z44" s="3" t="str">
        <f aca="false">VLOOKUP(A44,'Data Prep'!$A$5:$B$44,2,FALSE())</f>
        <v>Chipotle</v>
      </c>
      <c r="AA44" s="4" t="n">
        <f aca="false">COUNTBLANK(A44:Y44)</f>
        <v>0</v>
      </c>
    </row>
    <row r="45" customFormat="false" ht="12.75" hidden="false" customHeight="true" outlineLevel="0" collapsed="false">
      <c r="A45" s="45" t="s">
        <v>169</v>
      </c>
      <c r="B45" s="46" t="n">
        <v>0</v>
      </c>
      <c r="C45" s="46" t="n">
        <v>0</v>
      </c>
      <c r="D45" s="46" t="n">
        <v>1</v>
      </c>
      <c r="E45" s="46" t="n">
        <v>0</v>
      </c>
      <c r="F45" s="47" t="n">
        <v>0</v>
      </c>
      <c r="G45" s="48" t="n">
        <v>5</v>
      </c>
      <c r="H45" s="48" t="n">
        <v>5</v>
      </c>
      <c r="I45" s="48" t="n">
        <v>5</v>
      </c>
      <c r="J45" s="48" t="n">
        <v>5</v>
      </c>
      <c r="K45" s="48" t="n">
        <v>5</v>
      </c>
      <c r="L45" s="48" t="n">
        <v>5</v>
      </c>
      <c r="M45" s="49" t="n">
        <v>5</v>
      </c>
      <c r="N45" s="49" t="n">
        <v>5</v>
      </c>
      <c r="O45" s="49" t="n">
        <v>5</v>
      </c>
      <c r="P45" s="49" t="n">
        <v>5</v>
      </c>
      <c r="Q45" s="49" t="n">
        <v>5</v>
      </c>
      <c r="R45" s="49" t="n">
        <v>5</v>
      </c>
      <c r="S45" s="50" t="n">
        <v>0</v>
      </c>
      <c r="T45" s="50" t="n">
        <v>48</v>
      </c>
      <c r="U45" s="50" t="n">
        <v>27646</v>
      </c>
      <c r="V45" s="51" t="n">
        <v>1</v>
      </c>
      <c r="W45" s="51" t="n">
        <v>4</v>
      </c>
      <c r="X45" s="51" t="n">
        <v>1</v>
      </c>
      <c r="Y45" s="51" t="n">
        <v>1</v>
      </c>
      <c r="Z45" s="3" t="str">
        <f aca="false">VLOOKUP(A45,'Data Prep'!$A$5:$B$44,2,FALSE())</f>
        <v>In-n-out</v>
      </c>
      <c r="AA45" s="4" t="n">
        <f aca="false">COUNTBLANK(A45:Y45)</f>
        <v>0</v>
      </c>
    </row>
    <row r="46" customFormat="false" ht="12.75" hidden="false" customHeight="true" outlineLevel="0" collapsed="false">
      <c r="A46" s="45" t="s">
        <v>162</v>
      </c>
      <c r="B46" s="46" t="n">
        <v>1</v>
      </c>
      <c r="C46" s="46" t="n">
        <v>0</v>
      </c>
      <c r="D46" s="46" t="n">
        <v>0</v>
      </c>
      <c r="E46" s="46" t="n">
        <v>0</v>
      </c>
      <c r="F46" s="47" t="n">
        <v>0</v>
      </c>
      <c r="G46" s="48" t="n">
        <v>4</v>
      </c>
      <c r="H46" s="48" t="n">
        <v>4</v>
      </c>
      <c r="I46" s="48" t="n">
        <v>4</v>
      </c>
      <c r="J46" s="48" t="n">
        <v>4</v>
      </c>
      <c r="K46" s="48" t="n">
        <v>5</v>
      </c>
      <c r="L46" s="48" t="n">
        <v>4</v>
      </c>
      <c r="M46" s="49" t="n">
        <v>4</v>
      </c>
      <c r="N46" s="49" t="n">
        <v>3</v>
      </c>
      <c r="O46" s="49" t="n">
        <v>3</v>
      </c>
      <c r="P46" s="49" t="n">
        <v>4</v>
      </c>
      <c r="Q46" s="49" t="n">
        <v>4</v>
      </c>
      <c r="R46" s="49" t="n">
        <v>3</v>
      </c>
      <c r="S46" s="50" t="n">
        <v>0</v>
      </c>
      <c r="T46" s="50" t="n">
        <v>32</v>
      </c>
      <c r="U46" s="50" t="n">
        <v>86649</v>
      </c>
      <c r="V46" s="51" t="n">
        <v>2</v>
      </c>
      <c r="W46" s="51" t="n">
        <v>3</v>
      </c>
      <c r="X46" s="51" t="n">
        <v>3</v>
      </c>
      <c r="Y46" s="51" t="n">
        <v>3</v>
      </c>
      <c r="Z46" s="3" t="str">
        <f aca="false">VLOOKUP(A46,'Data Prep'!$A$5:$B$44,2,FALSE())</f>
        <v>Chick-fil-A</v>
      </c>
      <c r="AA46" s="4" t="n">
        <f aca="false">COUNTBLANK(A46:Y46)</f>
        <v>0</v>
      </c>
    </row>
    <row r="47" customFormat="false" ht="12.75" hidden="false" customHeight="true" outlineLevel="0" collapsed="false">
      <c r="A47" s="45" t="s">
        <v>32</v>
      </c>
      <c r="B47" s="46" t="n">
        <v>0</v>
      </c>
      <c r="C47" s="46" t="n">
        <v>0</v>
      </c>
      <c r="D47" s="46" t="n">
        <v>1</v>
      </c>
      <c r="E47" s="46" t="n">
        <v>0</v>
      </c>
      <c r="F47" s="47" t="n">
        <v>0</v>
      </c>
      <c r="G47" s="48" t="n">
        <v>5</v>
      </c>
      <c r="H47" s="48" t="n">
        <v>5</v>
      </c>
      <c r="I47" s="48" t="n">
        <v>5</v>
      </c>
      <c r="J47" s="48" t="n">
        <v>5</v>
      </c>
      <c r="K47" s="48" t="n">
        <v>5</v>
      </c>
      <c r="L47" s="48" t="n">
        <v>5</v>
      </c>
      <c r="M47" s="49" t="n">
        <v>5</v>
      </c>
      <c r="N47" s="49" t="n">
        <v>5</v>
      </c>
      <c r="O47" s="49" t="n">
        <v>4</v>
      </c>
      <c r="P47" s="49" t="n">
        <v>4</v>
      </c>
      <c r="Q47" s="49" t="n">
        <v>5</v>
      </c>
      <c r="R47" s="49" t="n">
        <v>3</v>
      </c>
      <c r="S47" s="50" t="n">
        <v>0</v>
      </c>
      <c r="T47" s="50" t="n">
        <v>49</v>
      </c>
      <c r="U47" s="50" t="n">
        <v>89022</v>
      </c>
      <c r="V47" s="51" t="n">
        <v>1</v>
      </c>
      <c r="W47" s="51" t="n">
        <v>4</v>
      </c>
      <c r="X47" s="51" t="n">
        <v>1</v>
      </c>
      <c r="Y47" s="51" t="n">
        <v>1</v>
      </c>
      <c r="Z47" s="3" t="str">
        <f aca="false">VLOOKUP(A47,'Data Prep'!$A$5:$B$44,2,FALSE())</f>
        <v>Eppies</v>
      </c>
      <c r="AA47" s="4" t="n">
        <f aca="false">COUNTBLANK(A47:Y47)</f>
        <v>0</v>
      </c>
    </row>
    <row r="48" customFormat="false" ht="12.75" hidden="false" customHeight="true" outlineLevel="0" collapsed="false">
      <c r="A48" s="45" t="s">
        <v>162</v>
      </c>
      <c r="B48" s="46" t="n">
        <v>0</v>
      </c>
      <c r="C48" s="46" t="n">
        <v>1</v>
      </c>
      <c r="D48" s="46" t="n">
        <v>0</v>
      </c>
      <c r="E48" s="46" t="n">
        <v>0</v>
      </c>
      <c r="F48" s="47" t="n">
        <v>4</v>
      </c>
      <c r="G48" s="48" t="n">
        <v>4</v>
      </c>
      <c r="H48" s="48" t="n">
        <v>5</v>
      </c>
      <c r="I48" s="48" t="n">
        <v>4</v>
      </c>
      <c r="J48" s="48" t="n">
        <v>5</v>
      </c>
      <c r="K48" s="48" t="n">
        <v>4</v>
      </c>
      <c r="L48" s="48" t="n">
        <v>3</v>
      </c>
      <c r="M48" s="49" t="n">
        <v>3</v>
      </c>
      <c r="N48" s="49" t="n">
        <v>4</v>
      </c>
      <c r="O48" s="49" t="n">
        <v>2</v>
      </c>
      <c r="P48" s="49" t="n">
        <v>4</v>
      </c>
      <c r="Q48" s="49" t="n">
        <v>4</v>
      </c>
      <c r="R48" s="49" t="n">
        <v>3</v>
      </c>
      <c r="S48" s="50" t="n">
        <v>0</v>
      </c>
      <c r="T48" s="50" t="n">
        <v>50</v>
      </c>
      <c r="U48" s="50" t="n">
        <v>26040</v>
      </c>
      <c r="V48" s="51" t="n">
        <v>1</v>
      </c>
      <c r="W48" s="51" t="n">
        <v>2</v>
      </c>
      <c r="X48" s="51" t="n">
        <v>1</v>
      </c>
      <c r="Y48" s="51" t="n">
        <v>1</v>
      </c>
      <c r="Z48" s="3" t="str">
        <f aca="false">VLOOKUP(A48,'Data Prep'!$A$5:$B$44,2,FALSE())</f>
        <v>Chick-fil-A</v>
      </c>
      <c r="AA48" s="4" t="n">
        <f aca="false">COUNTBLANK(A48:Y48)</f>
        <v>0</v>
      </c>
    </row>
    <row r="49" customFormat="false" ht="12.75" hidden="false" customHeight="true" outlineLevel="0" collapsed="false">
      <c r="A49" s="45" t="s">
        <v>33</v>
      </c>
      <c r="B49" s="46" t="n">
        <v>0</v>
      </c>
      <c r="C49" s="46" t="n">
        <v>0</v>
      </c>
      <c r="D49" s="46" t="n">
        <v>1</v>
      </c>
      <c r="E49" s="46" t="n">
        <v>0</v>
      </c>
      <c r="F49" s="47" t="n">
        <v>0</v>
      </c>
      <c r="G49" s="48" t="n">
        <v>4</v>
      </c>
      <c r="H49" s="48" t="n">
        <v>4</v>
      </c>
      <c r="I49" s="48" t="n">
        <v>4</v>
      </c>
      <c r="J49" s="48" t="n">
        <v>3</v>
      </c>
      <c r="K49" s="48" t="n">
        <v>5</v>
      </c>
      <c r="L49" s="48" t="n">
        <v>4</v>
      </c>
      <c r="M49" s="49" t="n">
        <v>3</v>
      </c>
      <c r="N49" s="49" t="n">
        <v>3</v>
      </c>
      <c r="O49" s="49" t="n">
        <v>4</v>
      </c>
      <c r="P49" s="49" t="n">
        <v>4</v>
      </c>
      <c r="Q49" s="49" t="n">
        <v>4</v>
      </c>
      <c r="R49" s="49" t="n">
        <v>3</v>
      </c>
      <c r="S49" s="50" t="n">
        <v>1</v>
      </c>
      <c r="T49" s="50" t="n">
        <v>50</v>
      </c>
      <c r="U49" s="50" t="n">
        <v>42254</v>
      </c>
      <c r="V49" s="51" t="n">
        <v>3</v>
      </c>
      <c r="W49" s="51" t="n">
        <v>2</v>
      </c>
      <c r="X49" s="51" t="n">
        <v>4</v>
      </c>
      <c r="Y49" s="51" t="n">
        <v>3</v>
      </c>
      <c r="Z49" s="3" t="str">
        <f aca="false">VLOOKUP(A49,'Data Prep'!$A$5:$B$44,2,FALSE())</f>
        <v>In-n-out</v>
      </c>
      <c r="AA49" s="4" t="n">
        <f aca="false">COUNTBLANK(A49:Y49)</f>
        <v>0</v>
      </c>
    </row>
    <row r="50" customFormat="false" ht="12.75" hidden="false" customHeight="true" outlineLevel="0" collapsed="false">
      <c r="A50" s="45" t="s">
        <v>33</v>
      </c>
      <c r="B50" s="46" t="n">
        <v>0</v>
      </c>
      <c r="C50" s="46" t="n">
        <v>0</v>
      </c>
      <c r="D50" s="46" t="n">
        <v>1</v>
      </c>
      <c r="E50" s="46" t="n">
        <v>0</v>
      </c>
      <c r="F50" s="47" t="n">
        <v>0</v>
      </c>
      <c r="G50" s="48" t="n">
        <v>5</v>
      </c>
      <c r="H50" s="48" t="n">
        <v>5</v>
      </c>
      <c r="I50" s="48" t="n">
        <v>5</v>
      </c>
      <c r="J50" s="48" t="n">
        <v>5</v>
      </c>
      <c r="K50" s="48" t="n">
        <v>5</v>
      </c>
      <c r="L50" s="48" t="n">
        <v>5</v>
      </c>
      <c r="M50" s="49" t="n">
        <v>5</v>
      </c>
      <c r="N50" s="49" t="n">
        <v>4</v>
      </c>
      <c r="O50" s="49" t="n">
        <v>5</v>
      </c>
      <c r="P50" s="49" t="n">
        <v>5</v>
      </c>
      <c r="Q50" s="49" t="n">
        <v>5</v>
      </c>
      <c r="R50" s="49" t="n">
        <v>5</v>
      </c>
      <c r="S50" s="50" t="n">
        <v>0</v>
      </c>
      <c r="T50" s="50" t="n">
        <v>29</v>
      </c>
      <c r="U50" s="50" t="n">
        <v>43869</v>
      </c>
      <c r="V50" s="51" t="n">
        <v>1</v>
      </c>
      <c r="W50" s="51" t="n">
        <v>3</v>
      </c>
      <c r="X50" s="51" t="n">
        <v>2</v>
      </c>
      <c r="Y50" s="51" t="n">
        <v>1</v>
      </c>
      <c r="Z50" s="3" t="str">
        <f aca="false">VLOOKUP(A50,'Data Prep'!$A$5:$B$44,2,FALSE())</f>
        <v>In-n-out</v>
      </c>
      <c r="AA50" s="4" t="n">
        <f aca="false">COUNTBLANK(A50:Y50)</f>
        <v>0</v>
      </c>
    </row>
    <row r="51" customFormat="false" ht="12.75" hidden="false" customHeight="true" outlineLevel="0" collapsed="false">
      <c r="A51" s="45" t="s">
        <v>162</v>
      </c>
      <c r="B51" s="46" t="n">
        <v>0</v>
      </c>
      <c r="C51" s="46" t="n">
        <v>0</v>
      </c>
      <c r="D51" s="46" t="n">
        <v>1</v>
      </c>
      <c r="E51" s="46" t="n">
        <v>0</v>
      </c>
      <c r="F51" s="47" t="n">
        <v>0</v>
      </c>
      <c r="G51" s="48" t="n">
        <v>4</v>
      </c>
      <c r="H51" s="48" t="n">
        <v>5</v>
      </c>
      <c r="I51" s="48" t="n">
        <v>5</v>
      </c>
      <c r="J51" s="48" t="n">
        <v>5</v>
      </c>
      <c r="K51" s="48" t="n">
        <v>5</v>
      </c>
      <c r="L51" s="48" t="n">
        <v>4</v>
      </c>
      <c r="M51" s="49" t="n">
        <v>4</v>
      </c>
      <c r="N51" s="49" t="n">
        <v>4</v>
      </c>
      <c r="O51" s="49" t="n">
        <v>3</v>
      </c>
      <c r="P51" s="49" t="n">
        <v>4</v>
      </c>
      <c r="Q51" s="49" t="n">
        <v>4</v>
      </c>
      <c r="R51" s="49" t="n">
        <v>3</v>
      </c>
      <c r="S51" s="50" t="n">
        <v>0</v>
      </c>
      <c r="T51" s="50" t="n">
        <v>49</v>
      </c>
      <c r="U51" s="50" t="n">
        <v>49774</v>
      </c>
      <c r="V51" s="51" t="n">
        <v>3</v>
      </c>
      <c r="W51" s="51" t="n">
        <v>2</v>
      </c>
      <c r="X51" s="51" t="n">
        <v>2</v>
      </c>
      <c r="Y51" s="51" t="n">
        <v>1</v>
      </c>
      <c r="Z51" s="3" t="str">
        <f aca="false">VLOOKUP(A51,'Data Prep'!$A$5:$B$44,2,FALSE())</f>
        <v>Chick-fil-A</v>
      </c>
      <c r="AA51" s="4" t="n">
        <f aca="false">COUNTBLANK(A51:Y51)</f>
        <v>0</v>
      </c>
    </row>
    <row r="52" customFormat="false" ht="12.75" hidden="false" customHeight="true" outlineLevel="0" collapsed="false">
      <c r="A52" s="45" t="s">
        <v>163</v>
      </c>
      <c r="B52" s="46" t="n">
        <v>1</v>
      </c>
      <c r="C52" s="46" t="n">
        <v>0</v>
      </c>
      <c r="D52" s="46" t="n">
        <v>0</v>
      </c>
      <c r="E52" s="46" t="n">
        <v>0</v>
      </c>
      <c r="F52" s="47" t="n">
        <v>0</v>
      </c>
      <c r="G52" s="48" t="n">
        <v>4</v>
      </c>
      <c r="H52" s="48" t="n">
        <v>4</v>
      </c>
      <c r="I52" s="48" t="n">
        <v>5</v>
      </c>
      <c r="J52" s="48" t="n">
        <v>5</v>
      </c>
      <c r="K52" s="48" t="n">
        <v>5</v>
      </c>
      <c r="L52" s="48" t="n">
        <v>4</v>
      </c>
      <c r="M52" s="49" t="n">
        <v>4</v>
      </c>
      <c r="N52" s="49" t="n">
        <v>4</v>
      </c>
      <c r="O52" s="49" t="n">
        <v>4</v>
      </c>
      <c r="P52" s="49" t="n">
        <v>5</v>
      </c>
      <c r="Q52" s="49" t="n">
        <v>5</v>
      </c>
      <c r="R52" s="49" t="n">
        <v>4</v>
      </c>
      <c r="S52" s="50" t="n">
        <v>0</v>
      </c>
      <c r="T52" s="50" t="n">
        <v>48</v>
      </c>
      <c r="U52" s="50" t="n">
        <v>40464</v>
      </c>
      <c r="V52" s="51" t="n">
        <v>2</v>
      </c>
      <c r="W52" s="51" t="n">
        <v>3</v>
      </c>
      <c r="X52" s="51" t="n">
        <v>1</v>
      </c>
      <c r="Y52" s="51" t="n">
        <v>1</v>
      </c>
      <c r="Z52" s="3" t="str">
        <f aca="false">VLOOKUP(A52,'Data Prep'!$A$5:$B$44,2,FALSE())</f>
        <v>Chick-fil-A</v>
      </c>
      <c r="AA52" s="4" t="n">
        <f aca="false">COUNTBLANK(A52:Y52)</f>
        <v>0</v>
      </c>
    </row>
    <row r="53" customFormat="false" ht="12.75" hidden="false" customHeight="true" outlineLevel="0" collapsed="false">
      <c r="A53" s="45" t="s">
        <v>188</v>
      </c>
      <c r="B53" s="46" t="n">
        <v>1</v>
      </c>
      <c r="C53" s="46" t="n">
        <v>0</v>
      </c>
      <c r="D53" s="46" t="n">
        <v>0</v>
      </c>
      <c r="E53" s="46" t="n">
        <v>0</v>
      </c>
      <c r="F53" s="47" t="n">
        <v>0</v>
      </c>
      <c r="G53" s="48" t="n">
        <v>5</v>
      </c>
      <c r="H53" s="48" t="n">
        <v>5</v>
      </c>
      <c r="I53" s="48" t="n">
        <v>5</v>
      </c>
      <c r="J53" s="48" t="n">
        <v>5</v>
      </c>
      <c r="K53" s="48" t="n">
        <v>5</v>
      </c>
      <c r="L53" s="48" t="n">
        <v>4</v>
      </c>
      <c r="M53" s="49" t="n">
        <v>2</v>
      </c>
      <c r="N53" s="49" t="n">
        <v>2</v>
      </c>
      <c r="O53" s="49" t="n">
        <v>3</v>
      </c>
      <c r="P53" s="49" t="n">
        <v>5</v>
      </c>
      <c r="Q53" s="49" t="n">
        <v>4</v>
      </c>
      <c r="R53" s="49" t="n">
        <v>3</v>
      </c>
      <c r="S53" s="50" t="n">
        <v>0</v>
      </c>
      <c r="T53" s="50" t="n">
        <v>49</v>
      </c>
      <c r="U53" s="50" t="n">
        <v>39729</v>
      </c>
      <c r="V53" s="51" t="n">
        <v>2</v>
      </c>
      <c r="W53" s="51" t="n">
        <v>3</v>
      </c>
      <c r="X53" s="51" t="n">
        <v>1</v>
      </c>
      <c r="Y53" s="51" t="n">
        <v>2</v>
      </c>
      <c r="Z53" s="3" t="str">
        <f aca="false">VLOOKUP(A53,'Data Prep'!$A$5:$B$44,2,FALSE())</f>
        <v>Pizza Express</v>
      </c>
      <c r="AA53" s="4" t="n">
        <f aca="false">COUNTBLANK(A53:Y53)</f>
        <v>0</v>
      </c>
    </row>
    <row r="54" customFormat="false" ht="12.75" hidden="false" customHeight="true" outlineLevel="0" collapsed="false">
      <c r="A54" s="45" t="s">
        <v>35</v>
      </c>
      <c r="B54" s="46" t="n">
        <v>1</v>
      </c>
      <c r="C54" s="46" t="n">
        <v>0</v>
      </c>
      <c r="D54" s="46" t="n">
        <v>0</v>
      </c>
      <c r="E54" s="46" t="n">
        <v>0</v>
      </c>
      <c r="F54" s="47" t="n">
        <v>1</v>
      </c>
      <c r="G54" s="48" t="n">
        <v>5</v>
      </c>
      <c r="H54" s="48" t="n">
        <v>4</v>
      </c>
      <c r="I54" s="48" t="n">
        <v>5</v>
      </c>
      <c r="J54" s="48" t="n">
        <v>5</v>
      </c>
      <c r="K54" s="48" t="n">
        <v>5</v>
      </c>
      <c r="L54" s="48" t="n">
        <v>4</v>
      </c>
      <c r="M54" s="49" t="n">
        <v>3</v>
      </c>
      <c r="N54" s="49" t="n">
        <v>3</v>
      </c>
      <c r="O54" s="49" t="n">
        <v>3</v>
      </c>
      <c r="P54" s="49" t="n">
        <v>4</v>
      </c>
      <c r="Q54" s="49" t="n">
        <v>4</v>
      </c>
      <c r="R54" s="49" t="n">
        <v>4</v>
      </c>
      <c r="S54" s="50" t="n">
        <v>0</v>
      </c>
      <c r="T54" s="50" t="n">
        <v>22</v>
      </c>
      <c r="U54" s="50" t="n">
        <v>11102</v>
      </c>
      <c r="V54" s="51" t="n">
        <v>2</v>
      </c>
      <c r="W54" s="51" t="n">
        <v>2</v>
      </c>
      <c r="X54" s="51" t="n">
        <v>2</v>
      </c>
      <c r="Y54" s="51" t="n">
        <v>2</v>
      </c>
      <c r="Z54" s="3" t="str">
        <f aca="false">VLOOKUP(A54,'Data Prep'!$A$5:$B$44,2,FALSE())</f>
        <v>KFC</v>
      </c>
      <c r="AA54" s="4" t="n">
        <f aca="false">COUNTBLANK(A54:Y54)</f>
        <v>0</v>
      </c>
    </row>
    <row r="55" customFormat="false" ht="12.75" hidden="false" customHeight="true" outlineLevel="0" collapsed="false">
      <c r="A55" s="45" t="s">
        <v>162</v>
      </c>
      <c r="B55" s="46" t="n">
        <v>1</v>
      </c>
      <c r="C55" s="46" t="n">
        <v>0</v>
      </c>
      <c r="D55" s="46" t="n">
        <v>0</v>
      </c>
      <c r="E55" s="46" t="n">
        <v>0</v>
      </c>
      <c r="F55" s="47" t="n">
        <v>0</v>
      </c>
      <c r="G55" s="48" t="n">
        <v>4</v>
      </c>
      <c r="H55" s="48" t="n">
        <v>5</v>
      </c>
      <c r="I55" s="48" t="n">
        <v>5</v>
      </c>
      <c r="J55" s="48" t="n">
        <v>4</v>
      </c>
      <c r="K55" s="48" t="n">
        <v>5</v>
      </c>
      <c r="L55" s="48" t="n">
        <v>5</v>
      </c>
      <c r="M55" s="49" t="n">
        <v>3</v>
      </c>
      <c r="N55" s="49" t="n">
        <v>4</v>
      </c>
      <c r="O55" s="49" t="n">
        <v>4</v>
      </c>
      <c r="P55" s="49" t="n">
        <v>5</v>
      </c>
      <c r="Q55" s="49" t="n">
        <v>3</v>
      </c>
      <c r="R55" s="49" t="n">
        <v>2</v>
      </c>
      <c r="S55" s="50" t="n">
        <v>0</v>
      </c>
      <c r="T55" s="50" t="n">
        <v>35</v>
      </c>
      <c r="U55" s="50" t="n">
        <v>48537</v>
      </c>
      <c r="V55" s="51" t="n">
        <v>3</v>
      </c>
      <c r="W55" s="51" t="n">
        <v>4</v>
      </c>
      <c r="X55" s="51" t="n">
        <v>2</v>
      </c>
      <c r="Y55" s="51" t="n">
        <v>2</v>
      </c>
      <c r="Z55" s="3" t="str">
        <f aca="false">VLOOKUP(A55,'Data Prep'!$A$5:$B$44,2,FALSE())</f>
        <v>Chick-fil-A</v>
      </c>
      <c r="AA55" s="4" t="n">
        <f aca="false">COUNTBLANK(A55:Y55)</f>
        <v>0</v>
      </c>
    </row>
    <row r="56" customFormat="false" ht="12.75" hidden="false" customHeight="true" outlineLevel="0" collapsed="false">
      <c r="A56" s="45" t="s">
        <v>162</v>
      </c>
      <c r="B56" s="46" t="n">
        <v>0</v>
      </c>
      <c r="C56" s="46" t="n">
        <v>0</v>
      </c>
      <c r="D56" s="46" t="n">
        <v>1</v>
      </c>
      <c r="E56" s="46" t="n">
        <v>0</v>
      </c>
      <c r="F56" s="47" t="n">
        <v>0</v>
      </c>
      <c r="G56" s="48" t="n">
        <v>5</v>
      </c>
      <c r="H56" s="48" t="n">
        <v>5</v>
      </c>
      <c r="I56" s="48" t="n">
        <v>4</v>
      </c>
      <c r="J56" s="48" t="n">
        <v>5</v>
      </c>
      <c r="K56" s="48" t="n">
        <v>5</v>
      </c>
      <c r="L56" s="48" t="n">
        <v>5</v>
      </c>
      <c r="M56" s="49" t="n">
        <v>3</v>
      </c>
      <c r="N56" s="49" t="n">
        <v>4</v>
      </c>
      <c r="O56" s="49" t="n">
        <v>3</v>
      </c>
      <c r="P56" s="49" t="n">
        <v>5</v>
      </c>
      <c r="Q56" s="49" t="n">
        <v>4</v>
      </c>
      <c r="R56" s="49" t="n">
        <v>3</v>
      </c>
      <c r="S56" s="50" t="n">
        <v>0</v>
      </c>
      <c r="T56" s="50" t="n">
        <v>56</v>
      </c>
      <c r="U56" s="50" t="n">
        <v>67113</v>
      </c>
      <c r="V56" s="51" t="n">
        <v>2</v>
      </c>
      <c r="W56" s="51" t="n">
        <v>4</v>
      </c>
      <c r="X56" s="51" t="n">
        <v>2</v>
      </c>
      <c r="Y56" s="51" t="n">
        <v>2</v>
      </c>
      <c r="Z56" s="3" t="str">
        <f aca="false">VLOOKUP(A56,'Data Prep'!$A$5:$B$44,2,FALSE())</f>
        <v>Chick-fil-A</v>
      </c>
      <c r="AA56" s="4" t="n">
        <f aca="false">COUNTBLANK(A56:Y56)</f>
        <v>0</v>
      </c>
    </row>
    <row r="57" customFormat="false" ht="12.75" hidden="false" customHeight="true" outlineLevel="0" collapsed="false">
      <c r="A57" s="45" t="s">
        <v>161</v>
      </c>
      <c r="B57" s="46" t="n">
        <v>0</v>
      </c>
      <c r="C57" s="46" t="n">
        <v>0</v>
      </c>
      <c r="D57" s="46" t="n">
        <v>1</v>
      </c>
      <c r="E57" s="46" t="n">
        <v>0</v>
      </c>
      <c r="F57" s="47" t="n">
        <v>0</v>
      </c>
      <c r="G57" s="48" t="n">
        <v>5</v>
      </c>
      <c r="H57" s="48" t="n">
        <v>5</v>
      </c>
      <c r="I57" s="48" t="n">
        <v>5</v>
      </c>
      <c r="J57" s="48" t="n">
        <v>5</v>
      </c>
      <c r="K57" s="48" t="n">
        <v>5</v>
      </c>
      <c r="L57" s="48" t="n">
        <v>5</v>
      </c>
      <c r="M57" s="49" t="n">
        <v>5</v>
      </c>
      <c r="N57" s="49" t="n">
        <v>5</v>
      </c>
      <c r="O57" s="49" t="n">
        <v>5</v>
      </c>
      <c r="P57" s="49" t="n">
        <v>5</v>
      </c>
      <c r="Q57" s="49" t="n">
        <v>5</v>
      </c>
      <c r="R57" s="49" t="n">
        <v>5</v>
      </c>
      <c r="S57" s="50" t="n">
        <v>0</v>
      </c>
      <c r="T57" s="50" t="n">
        <v>34</v>
      </c>
      <c r="U57" s="50" t="n">
        <v>15315</v>
      </c>
      <c r="V57" s="51" t="n">
        <v>3</v>
      </c>
      <c r="W57" s="51" t="n">
        <v>4</v>
      </c>
      <c r="X57" s="51" t="n">
        <v>1</v>
      </c>
      <c r="Y57" s="51" t="n">
        <v>1</v>
      </c>
      <c r="Z57" s="3" t="str">
        <f aca="false">VLOOKUP(A57,'Data Prep'!$A$5:$B$44,2,FALSE())</f>
        <v>Chick-fil-A</v>
      </c>
      <c r="AA57" s="4" t="n">
        <f aca="false">COUNTBLANK(A57:Y57)</f>
        <v>0</v>
      </c>
    </row>
    <row r="58" customFormat="false" ht="12.75" hidden="false" customHeight="true" outlineLevel="0" collapsed="false">
      <c r="A58" s="45" t="s">
        <v>162</v>
      </c>
      <c r="B58" s="46" t="n">
        <v>0</v>
      </c>
      <c r="C58" s="46" t="n">
        <v>0</v>
      </c>
      <c r="D58" s="46" t="n">
        <v>1</v>
      </c>
      <c r="E58" s="46" t="n">
        <v>0</v>
      </c>
      <c r="F58" s="47" t="n">
        <v>0</v>
      </c>
      <c r="G58" s="48" t="n">
        <v>5</v>
      </c>
      <c r="H58" s="48" t="n">
        <v>5</v>
      </c>
      <c r="I58" s="48" t="n">
        <v>5</v>
      </c>
      <c r="J58" s="48" t="n">
        <v>5</v>
      </c>
      <c r="K58" s="48" t="n">
        <v>5</v>
      </c>
      <c r="L58" s="48" t="n">
        <v>4</v>
      </c>
      <c r="M58" s="49" t="n">
        <v>3</v>
      </c>
      <c r="N58" s="49" t="n">
        <v>3</v>
      </c>
      <c r="O58" s="49" t="n">
        <v>3</v>
      </c>
      <c r="P58" s="49" t="n">
        <v>4</v>
      </c>
      <c r="Q58" s="49" t="n">
        <v>4</v>
      </c>
      <c r="R58" s="49" t="n">
        <v>4</v>
      </c>
      <c r="S58" s="50"/>
      <c r="T58" s="50"/>
      <c r="U58" s="50"/>
      <c r="V58" s="51"/>
      <c r="W58" s="51"/>
      <c r="X58" s="51"/>
      <c r="Y58" s="51"/>
      <c r="Z58" s="3" t="str">
        <f aca="false">VLOOKUP(A58,'Data Prep'!$A$5:$B$44,2,FALSE())</f>
        <v>Chick-fil-A</v>
      </c>
      <c r="AA58" s="4" t="n">
        <f aca="false">COUNTBLANK(A58:Y58)</f>
        <v>7</v>
      </c>
    </row>
    <row r="59" customFormat="false" ht="12.75" hidden="false" customHeight="true" outlineLevel="0" collapsed="false">
      <c r="A59" s="45" t="s">
        <v>162</v>
      </c>
      <c r="B59" s="46" t="n">
        <v>0</v>
      </c>
      <c r="C59" s="46" t="n">
        <v>0</v>
      </c>
      <c r="D59" s="46" t="n">
        <v>1</v>
      </c>
      <c r="E59" s="46" t="n">
        <v>0</v>
      </c>
      <c r="F59" s="47" t="n">
        <v>0</v>
      </c>
      <c r="G59" s="48" t="n">
        <v>5</v>
      </c>
      <c r="H59" s="48" t="n">
        <v>5</v>
      </c>
      <c r="I59" s="48" t="n">
        <v>5</v>
      </c>
      <c r="J59" s="48" t="n">
        <v>5</v>
      </c>
      <c r="K59" s="48" t="n">
        <v>5</v>
      </c>
      <c r="L59" s="48" t="n">
        <v>5</v>
      </c>
      <c r="M59" s="49" t="n">
        <v>3</v>
      </c>
      <c r="N59" s="49" t="n">
        <v>5</v>
      </c>
      <c r="O59" s="49" t="n">
        <v>5</v>
      </c>
      <c r="P59" s="49" t="n">
        <v>5</v>
      </c>
      <c r="Q59" s="49" t="n">
        <v>5</v>
      </c>
      <c r="R59" s="49" t="n">
        <v>3</v>
      </c>
      <c r="S59" s="50" t="n">
        <v>1</v>
      </c>
      <c r="T59" s="50" t="n">
        <v>53</v>
      </c>
      <c r="U59" s="50" t="n">
        <v>50400</v>
      </c>
      <c r="V59" s="51" t="n">
        <v>3</v>
      </c>
      <c r="W59" s="51" t="n">
        <v>2</v>
      </c>
      <c r="X59" s="51" t="n">
        <v>1</v>
      </c>
      <c r="Y59" s="51" t="n">
        <v>1</v>
      </c>
      <c r="Z59" s="3" t="str">
        <f aca="false">VLOOKUP(A59,'Data Prep'!$A$5:$B$44,2,FALSE())</f>
        <v>Chick-fil-A</v>
      </c>
      <c r="AA59" s="4" t="n">
        <f aca="false">COUNTBLANK(A59:Y59)</f>
        <v>0</v>
      </c>
    </row>
    <row r="60" customFormat="false" ht="12.75" hidden="false" customHeight="true" outlineLevel="0" collapsed="false">
      <c r="A60" s="45" t="s">
        <v>165</v>
      </c>
      <c r="B60" s="46" t="n">
        <v>1</v>
      </c>
      <c r="C60" s="46" t="n">
        <v>0</v>
      </c>
      <c r="D60" s="46" t="n">
        <v>0</v>
      </c>
      <c r="E60" s="46" t="n">
        <v>0</v>
      </c>
      <c r="F60" s="47" t="n">
        <v>2</v>
      </c>
      <c r="G60" s="48" t="n">
        <v>4</v>
      </c>
      <c r="H60" s="48" t="n">
        <v>3</v>
      </c>
      <c r="I60" s="48" t="n">
        <v>5</v>
      </c>
      <c r="J60" s="48" t="n">
        <v>4</v>
      </c>
      <c r="K60" s="48" t="n">
        <v>5</v>
      </c>
      <c r="L60" s="48" t="n">
        <v>4</v>
      </c>
      <c r="M60" s="49" t="n">
        <v>3</v>
      </c>
      <c r="N60" s="49" t="n">
        <v>3</v>
      </c>
      <c r="O60" s="49" t="n">
        <v>2</v>
      </c>
      <c r="P60" s="49" t="n">
        <v>4</v>
      </c>
      <c r="Q60" s="49" t="n">
        <v>3</v>
      </c>
      <c r="R60" s="49" t="n">
        <v>3</v>
      </c>
      <c r="S60" s="50" t="n">
        <v>0</v>
      </c>
      <c r="T60" s="50" t="n">
        <v>52</v>
      </c>
      <c r="U60" s="50" t="n">
        <v>33460</v>
      </c>
      <c r="V60" s="51" t="n">
        <v>2</v>
      </c>
      <c r="W60" s="51" t="n">
        <v>4</v>
      </c>
      <c r="X60" s="51" t="n">
        <v>2</v>
      </c>
      <c r="Y60" s="51" t="n">
        <v>1</v>
      </c>
      <c r="Z60" s="3" t="str">
        <f aca="false">VLOOKUP(A60,'Data Prep'!$A$5:$B$44,2,FALSE())</f>
        <v>Chick-fil-A</v>
      </c>
      <c r="AA60" s="4" t="n">
        <f aca="false">COUNTBLANK(A60:Y60)</f>
        <v>0</v>
      </c>
    </row>
    <row r="61" customFormat="false" ht="12.75" hidden="false" customHeight="true" outlineLevel="0" collapsed="false">
      <c r="A61" s="45" t="s">
        <v>41</v>
      </c>
      <c r="B61" s="46" t="n">
        <v>0</v>
      </c>
      <c r="C61" s="46" t="n">
        <v>0</v>
      </c>
      <c r="D61" s="46" t="n">
        <v>0</v>
      </c>
      <c r="E61" s="46" t="n">
        <v>0</v>
      </c>
      <c r="F61" s="47" t="n">
        <v>0</v>
      </c>
      <c r="G61" s="48" t="n">
        <v>4</v>
      </c>
      <c r="H61" s="48" t="n">
        <v>4</v>
      </c>
      <c r="I61" s="48" t="n">
        <v>5</v>
      </c>
      <c r="J61" s="48" t="n">
        <v>5</v>
      </c>
      <c r="K61" s="48" t="n">
        <v>5</v>
      </c>
      <c r="L61" s="48" t="n">
        <v>4</v>
      </c>
      <c r="M61" s="49" t="n">
        <v>3</v>
      </c>
      <c r="N61" s="49" t="n">
        <v>2</v>
      </c>
      <c r="O61" s="49" t="n">
        <v>4</v>
      </c>
      <c r="P61" s="49" t="n">
        <v>5</v>
      </c>
      <c r="Q61" s="49" t="n">
        <v>4</v>
      </c>
      <c r="R61" s="49" t="n">
        <v>3</v>
      </c>
      <c r="S61" s="50" t="n">
        <v>1</v>
      </c>
      <c r="T61" s="50" t="n">
        <v>51</v>
      </c>
      <c r="U61" s="50" t="n">
        <v>58698</v>
      </c>
      <c r="V61" s="51" t="n">
        <v>1</v>
      </c>
      <c r="W61" s="51" t="n">
        <v>3</v>
      </c>
      <c r="X61" s="51" t="n">
        <v>2</v>
      </c>
      <c r="Y61" s="51" t="n">
        <v>2</v>
      </c>
      <c r="Z61" s="3" t="str">
        <f aca="false">VLOOKUP(A61,'Data Prep'!$A$5:$B$44,2,FALSE())</f>
        <v>Starbucks</v>
      </c>
      <c r="AA61" s="4" t="n">
        <f aca="false">COUNTBLANK(A61:Y61)</f>
        <v>0</v>
      </c>
    </row>
    <row r="62" customFormat="false" ht="12.75" hidden="false" customHeight="true" outlineLevel="0" collapsed="false">
      <c r="A62" s="45" t="s">
        <v>33</v>
      </c>
      <c r="B62" s="46" t="n">
        <v>1</v>
      </c>
      <c r="C62" s="46" t="n">
        <v>0</v>
      </c>
      <c r="D62" s="46" t="n">
        <v>0</v>
      </c>
      <c r="E62" s="46" t="n">
        <v>0</v>
      </c>
      <c r="F62" s="47" t="n">
        <v>0</v>
      </c>
      <c r="G62" s="48" t="n">
        <v>5</v>
      </c>
      <c r="H62" s="48" t="n">
        <v>5</v>
      </c>
      <c r="I62" s="48" t="n">
        <v>5</v>
      </c>
      <c r="J62" s="48" t="n">
        <v>5</v>
      </c>
      <c r="K62" s="48" t="n">
        <v>5</v>
      </c>
      <c r="L62" s="48" t="n">
        <v>5</v>
      </c>
      <c r="M62" s="49" t="n">
        <v>5</v>
      </c>
      <c r="N62" s="49" t="n">
        <v>5</v>
      </c>
      <c r="O62" s="49" t="n">
        <v>5</v>
      </c>
      <c r="P62" s="49" t="n">
        <v>5</v>
      </c>
      <c r="Q62" s="49" t="n">
        <v>5</v>
      </c>
      <c r="R62" s="49" t="n">
        <v>5</v>
      </c>
      <c r="S62" s="50" t="n">
        <v>0</v>
      </c>
      <c r="T62" s="50" t="n">
        <v>33</v>
      </c>
      <c r="U62" s="50" t="n">
        <v>27951</v>
      </c>
      <c r="V62" s="51" t="n">
        <v>1</v>
      </c>
      <c r="W62" s="51" t="n">
        <v>1</v>
      </c>
      <c r="X62" s="51" t="n">
        <v>1</v>
      </c>
      <c r="Y62" s="51" t="n">
        <v>1</v>
      </c>
      <c r="Z62" s="3" t="str">
        <f aca="false">VLOOKUP(A62,'Data Prep'!$A$5:$B$44,2,FALSE())</f>
        <v>In-n-out</v>
      </c>
      <c r="AA62" s="4" t="n">
        <f aca="false">COUNTBLANK(A62:Y62)</f>
        <v>0</v>
      </c>
    </row>
    <row r="63" customFormat="false" ht="12.75" hidden="false" customHeight="true" outlineLevel="0" collapsed="false">
      <c r="A63" s="45" t="s">
        <v>35</v>
      </c>
      <c r="B63" s="46" t="n">
        <v>0</v>
      </c>
      <c r="C63" s="46" t="n">
        <v>0</v>
      </c>
      <c r="D63" s="46" t="n">
        <v>1</v>
      </c>
      <c r="E63" s="46" t="n">
        <v>0</v>
      </c>
      <c r="F63" s="47" t="n">
        <v>0</v>
      </c>
      <c r="G63" s="48" t="n">
        <v>3</v>
      </c>
      <c r="H63" s="48" t="n">
        <v>3</v>
      </c>
      <c r="I63" s="48" t="n">
        <v>4</v>
      </c>
      <c r="J63" s="48" t="n">
        <v>4</v>
      </c>
      <c r="K63" s="48" t="n">
        <v>4</v>
      </c>
      <c r="L63" s="48" t="n">
        <v>4</v>
      </c>
      <c r="M63" s="49" t="n">
        <v>2</v>
      </c>
      <c r="N63" s="49" t="n">
        <v>3</v>
      </c>
      <c r="O63" s="49" t="n">
        <v>3</v>
      </c>
      <c r="P63" s="49" t="n">
        <v>3</v>
      </c>
      <c r="Q63" s="49" t="n">
        <v>4</v>
      </c>
      <c r="R63" s="49" t="n">
        <v>3</v>
      </c>
      <c r="S63" s="50" t="n">
        <v>1</v>
      </c>
      <c r="T63" s="50" t="n">
        <v>69</v>
      </c>
      <c r="U63" s="50" t="n">
        <v>51750</v>
      </c>
      <c r="V63" s="51" t="n">
        <v>2</v>
      </c>
      <c r="W63" s="51" t="n">
        <v>4</v>
      </c>
      <c r="X63" s="51" t="n">
        <v>2</v>
      </c>
      <c r="Y63" s="51" t="n">
        <v>2</v>
      </c>
      <c r="Z63" s="3" t="str">
        <f aca="false">VLOOKUP(A63,'Data Prep'!$A$5:$B$44,2,FALSE())</f>
        <v>KFC</v>
      </c>
      <c r="AA63" s="4" t="n">
        <f aca="false">COUNTBLANK(A63:Y63)</f>
        <v>0</v>
      </c>
    </row>
    <row r="64" customFormat="false" ht="12.75" hidden="false" customHeight="true" outlineLevel="0" collapsed="false">
      <c r="A64" s="45" t="s">
        <v>31</v>
      </c>
      <c r="B64" s="46" t="n">
        <v>1</v>
      </c>
      <c r="C64" s="46" t="n">
        <v>0</v>
      </c>
      <c r="D64" s="46" t="n">
        <v>0</v>
      </c>
      <c r="E64" s="46" t="n">
        <v>0</v>
      </c>
      <c r="F64" s="47" t="n">
        <v>0</v>
      </c>
      <c r="G64" s="48" t="n">
        <v>5</v>
      </c>
      <c r="H64" s="48" t="n">
        <v>4</v>
      </c>
      <c r="I64" s="48" t="n">
        <v>5</v>
      </c>
      <c r="J64" s="48" t="n">
        <v>5</v>
      </c>
      <c r="K64" s="48" t="n">
        <v>5</v>
      </c>
      <c r="L64" s="48" t="n">
        <v>5</v>
      </c>
      <c r="M64" s="49" t="n">
        <v>5</v>
      </c>
      <c r="N64" s="49" t="n">
        <v>3</v>
      </c>
      <c r="O64" s="49" t="n">
        <v>5</v>
      </c>
      <c r="P64" s="49" t="n">
        <v>5</v>
      </c>
      <c r="Q64" s="49" t="n">
        <v>4</v>
      </c>
      <c r="R64" s="49" t="n">
        <v>4</v>
      </c>
      <c r="S64" s="50" t="n">
        <v>0</v>
      </c>
      <c r="T64" s="50" t="n">
        <v>52</v>
      </c>
      <c r="U64" s="50" t="n">
        <v>32170</v>
      </c>
      <c r="V64" s="51" t="n">
        <v>3</v>
      </c>
      <c r="W64" s="51" t="n">
        <v>3</v>
      </c>
      <c r="X64" s="51" t="n">
        <v>2</v>
      </c>
      <c r="Y64" s="51" t="n">
        <v>2</v>
      </c>
      <c r="Z64" s="3" t="str">
        <f aca="false">VLOOKUP(A64,'Data Prep'!$A$5:$B$44,2,FALSE())</f>
        <v>El Pollo Loco</v>
      </c>
      <c r="AA64" s="4" t="n">
        <f aca="false">COUNTBLANK(A64:Y64)</f>
        <v>0</v>
      </c>
    </row>
    <row r="65" customFormat="false" ht="12.75" hidden="false" customHeight="true" outlineLevel="0" collapsed="false">
      <c r="A65" s="45" t="s">
        <v>31</v>
      </c>
      <c r="B65" s="46" t="n">
        <v>0</v>
      </c>
      <c r="C65" s="46" t="n">
        <v>1</v>
      </c>
      <c r="D65" s="46" t="n">
        <v>0</v>
      </c>
      <c r="E65" s="46" t="n">
        <v>0</v>
      </c>
      <c r="F65" s="47" t="n">
        <v>0</v>
      </c>
      <c r="G65" s="48" t="n">
        <v>5</v>
      </c>
      <c r="H65" s="48" t="n">
        <v>4</v>
      </c>
      <c r="I65" s="48" t="n">
        <v>4</v>
      </c>
      <c r="J65" s="48" t="n">
        <v>4</v>
      </c>
      <c r="K65" s="48" t="n">
        <v>4</v>
      </c>
      <c r="L65" s="48" t="n">
        <v>3</v>
      </c>
      <c r="M65" s="49" t="n">
        <v>1</v>
      </c>
      <c r="N65" s="49" t="n">
        <v>4</v>
      </c>
      <c r="O65" s="49" t="n">
        <v>3</v>
      </c>
      <c r="P65" s="49" t="n">
        <v>4</v>
      </c>
      <c r="Q65" s="49" t="n">
        <v>4</v>
      </c>
      <c r="R65" s="49" t="n">
        <v>3</v>
      </c>
      <c r="S65" s="50" t="n">
        <v>0</v>
      </c>
      <c r="T65" s="50" t="n">
        <v>34</v>
      </c>
      <c r="U65" s="50" t="n">
        <v>28436</v>
      </c>
      <c r="V65" s="51" t="n">
        <v>2</v>
      </c>
      <c r="W65" s="51" t="n">
        <v>3</v>
      </c>
      <c r="X65" s="51" t="n">
        <v>2</v>
      </c>
      <c r="Y65" s="51" t="n">
        <v>2</v>
      </c>
      <c r="Z65" s="3" t="str">
        <f aca="false">VLOOKUP(A65,'Data Prep'!$A$5:$B$44,2,FALSE())</f>
        <v>El Pollo Loco</v>
      </c>
      <c r="AA65" s="4" t="n">
        <f aca="false">COUNTBLANK(A65:Y65)</f>
        <v>0</v>
      </c>
    </row>
    <row r="66" customFormat="false" ht="12.75" hidden="false" customHeight="true" outlineLevel="0" collapsed="false">
      <c r="A66" s="45" t="s">
        <v>31</v>
      </c>
      <c r="B66" s="46" t="n">
        <v>0</v>
      </c>
      <c r="C66" s="46" t="n">
        <v>0</v>
      </c>
      <c r="D66" s="46" t="n">
        <v>0</v>
      </c>
      <c r="E66" s="46" t="n">
        <v>0</v>
      </c>
      <c r="F66" s="47" t="n">
        <v>3</v>
      </c>
      <c r="G66" s="48"/>
      <c r="H66" s="48"/>
      <c r="I66" s="48"/>
      <c r="J66" s="48"/>
      <c r="K66" s="48"/>
      <c r="L66" s="48"/>
      <c r="M66" s="49"/>
      <c r="N66" s="49"/>
      <c r="O66" s="49"/>
      <c r="P66" s="49"/>
      <c r="Q66" s="49"/>
      <c r="R66" s="49"/>
      <c r="S66" s="50" t="n">
        <v>0</v>
      </c>
      <c r="T66" s="50" t="n">
        <v>19</v>
      </c>
      <c r="U66" s="50" t="n">
        <v>22538</v>
      </c>
      <c r="V66" s="51" t="n">
        <v>3</v>
      </c>
      <c r="W66" s="51" t="n">
        <v>3</v>
      </c>
      <c r="X66" s="51" t="n">
        <v>2</v>
      </c>
      <c r="Y66" s="51" t="n">
        <v>1</v>
      </c>
      <c r="Z66" s="3" t="str">
        <f aca="false">VLOOKUP(A66,'Data Prep'!$A$5:$B$44,2,FALSE())</f>
        <v>El Pollo Loco</v>
      </c>
      <c r="AA66" s="4" t="n">
        <f aca="false">COUNTBLANK(A66:Y66)</f>
        <v>12</v>
      </c>
    </row>
    <row r="67" customFormat="false" ht="12.75" hidden="false" customHeight="true" outlineLevel="0" collapsed="false">
      <c r="A67" s="45" t="s">
        <v>33</v>
      </c>
      <c r="B67" s="46" t="n">
        <v>1</v>
      </c>
      <c r="C67" s="46" t="n">
        <v>0</v>
      </c>
      <c r="D67" s="46" t="n">
        <v>0</v>
      </c>
      <c r="E67" s="46" t="n">
        <v>0</v>
      </c>
      <c r="F67" s="47" t="n">
        <v>0</v>
      </c>
      <c r="G67" s="48" t="n">
        <v>5</v>
      </c>
      <c r="H67" s="48" t="n">
        <v>3</v>
      </c>
      <c r="I67" s="48" t="n">
        <v>4</v>
      </c>
      <c r="J67" s="48" t="n">
        <v>5</v>
      </c>
      <c r="K67" s="48" t="n">
        <v>5</v>
      </c>
      <c r="L67" s="48" t="n">
        <v>4</v>
      </c>
      <c r="M67" s="49" t="n">
        <v>5</v>
      </c>
      <c r="N67" s="49" t="n">
        <v>3</v>
      </c>
      <c r="O67" s="49" t="n">
        <v>1</v>
      </c>
      <c r="P67" s="49" t="n">
        <v>5</v>
      </c>
      <c r="Q67" s="49" t="n">
        <v>4</v>
      </c>
      <c r="R67" s="49" t="n">
        <v>4</v>
      </c>
      <c r="S67" s="50" t="n">
        <v>0</v>
      </c>
      <c r="T67" s="50" t="n">
        <v>20</v>
      </c>
      <c r="U67" s="50" t="n">
        <v>19401</v>
      </c>
      <c r="V67" s="51" t="n">
        <v>1</v>
      </c>
      <c r="W67" s="51" t="n">
        <v>3</v>
      </c>
      <c r="X67" s="51" t="n">
        <v>2</v>
      </c>
      <c r="Y67" s="51" t="n">
        <v>1</v>
      </c>
      <c r="Z67" s="3" t="str">
        <f aca="false">VLOOKUP(A67,'Data Prep'!$A$5:$B$44,2,FALSE())</f>
        <v>In-n-out</v>
      </c>
      <c r="AA67" s="4" t="n">
        <f aca="false">COUNTBLANK(A67:Y67)</f>
        <v>0</v>
      </c>
    </row>
    <row r="68" customFormat="false" ht="12.75" hidden="false" customHeight="true" outlineLevel="0" collapsed="false">
      <c r="A68" s="45" t="s">
        <v>31</v>
      </c>
      <c r="B68" s="46" t="n">
        <v>1</v>
      </c>
      <c r="C68" s="46" t="n">
        <v>0</v>
      </c>
      <c r="D68" s="46" t="n">
        <v>0</v>
      </c>
      <c r="E68" s="46" t="n">
        <v>0</v>
      </c>
      <c r="F68" s="47" t="n">
        <v>0</v>
      </c>
      <c r="G68" s="48" t="n">
        <v>5</v>
      </c>
      <c r="H68" s="48" t="n">
        <v>4</v>
      </c>
      <c r="I68" s="48" t="n">
        <v>4</v>
      </c>
      <c r="J68" s="48" t="n">
        <v>4</v>
      </c>
      <c r="K68" s="48" t="n">
        <v>4</v>
      </c>
      <c r="L68" s="48" t="n">
        <v>4</v>
      </c>
      <c r="M68" s="49" t="n">
        <v>4</v>
      </c>
      <c r="N68" s="49" t="n">
        <v>4</v>
      </c>
      <c r="O68" s="49" t="n">
        <v>3</v>
      </c>
      <c r="P68" s="49" t="n">
        <v>3</v>
      </c>
      <c r="Q68" s="49" t="n">
        <v>4</v>
      </c>
      <c r="R68" s="49" t="n">
        <v>3</v>
      </c>
      <c r="S68" s="50" t="n">
        <v>1</v>
      </c>
      <c r="T68" s="50" t="n">
        <v>67</v>
      </c>
      <c r="U68" s="50" t="n">
        <v>32272</v>
      </c>
      <c r="V68" s="51" t="n">
        <v>2</v>
      </c>
      <c r="W68" s="51" t="n">
        <v>2</v>
      </c>
      <c r="X68" s="51" t="n">
        <v>1</v>
      </c>
      <c r="Y68" s="51" t="n">
        <v>2</v>
      </c>
      <c r="Z68" s="3" t="str">
        <f aca="false">VLOOKUP(A68,'Data Prep'!$A$5:$B$44,2,FALSE())</f>
        <v>El Pollo Loco</v>
      </c>
      <c r="AA68" s="4" t="n">
        <f aca="false">COUNTBLANK(A68:Y68)</f>
        <v>0</v>
      </c>
    </row>
    <row r="69" customFormat="false" ht="12.75" hidden="false" customHeight="true" outlineLevel="0" collapsed="false">
      <c r="A69" s="45" t="s">
        <v>31</v>
      </c>
      <c r="B69" s="46" t="n">
        <v>0</v>
      </c>
      <c r="C69" s="46" t="n">
        <v>0</v>
      </c>
      <c r="D69" s="46" t="n">
        <v>1</v>
      </c>
      <c r="E69" s="46" t="n">
        <v>0</v>
      </c>
      <c r="F69" s="47" t="n">
        <v>0</v>
      </c>
      <c r="G69" s="48" t="n">
        <v>4</v>
      </c>
      <c r="H69" s="48" t="n">
        <v>4</v>
      </c>
      <c r="I69" s="48" t="n">
        <v>4</v>
      </c>
      <c r="J69" s="48" t="n">
        <v>4</v>
      </c>
      <c r="K69" s="48" t="n">
        <v>5</v>
      </c>
      <c r="L69" s="48" t="n">
        <v>4</v>
      </c>
      <c r="M69" s="49" t="n">
        <v>4</v>
      </c>
      <c r="N69" s="49" t="n">
        <v>3</v>
      </c>
      <c r="O69" s="49" t="n">
        <v>4</v>
      </c>
      <c r="P69" s="49" t="n">
        <v>3</v>
      </c>
      <c r="Q69" s="49" t="n">
        <v>4</v>
      </c>
      <c r="R69" s="49" t="n">
        <v>3</v>
      </c>
      <c r="S69" s="50" t="n">
        <v>0</v>
      </c>
      <c r="T69" s="50" t="n">
        <v>54</v>
      </c>
      <c r="U69" s="50" t="n">
        <v>86769</v>
      </c>
      <c r="V69" s="51" t="n">
        <v>2</v>
      </c>
      <c r="W69" s="51" t="n">
        <v>4</v>
      </c>
      <c r="X69" s="51" t="n">
        <v>2</v>
      </c>
      <c r="Y69" s="51" t="n">
        <v>2</v>
      </c>
      <c r="Z69" s="3" t="str">
        <f aca="false">VLOOKUP(A69,'Data Prep'!$A$5:$B$44,2,FALSE())</f>
        <v>El Pollo Loco</v>
      </c>
      <c r="AA69" s="4" t="n">
        <f aca="false">COUNTBLANK(A69:Y69)</f>
        <v>0</v>
      </c>
    </row>
    <row r="70" customFormat="false" ht="12.75" hidden="false" customHeight="true" outlineLevel="0" collapsed="false">
      <c r="A70" s="45" t="s">
        <v>184</v>
      </c>
      <c r="B70" s="46" t="n">
        <v>1</v>
      </c>
      <c r="C70" s="46" t="n">
        <v>0</v>
      </c>
      <c r="D70" s="46" t="n">
        <v>0</v>
      </c>
      <c r="E70" s="46" t="n">
        <v>0</v>
      </c>
      <c r="F70" s="47" t="n">
        <v>0</v>
      </c>
      <c r="G70" s="48" t="n">
        <v>5</v>
      </c>
      <c r="H70" s="48" t="n">
        <v>5</v>
      </c>
      <c r="I70" s="48" t="n">
        <v>5</v>
      </c>
      <c r="J70" s="48" t="n">
        <v>5</v>
      </c>
      <c r="K70" s="48" t="n">
        <v>5</v>
      </c>
      <c r="L70" s="48" t="n">
        <v>4</v>
      </c>
      <c r="M70" s="49" t="n">
        <v>4</v>
      </c>
      <c r="N70" s="49" t="n">
        <v>4</v>
      </c>
      <c r="O70" s="49" t="n">
        <v>4</v>
      </c>
      <c r="P70" s="49" t="n">
        <v>5</v>
      </c>
      <c r="Q70" s="49" t="n">
        <v>5</v>
      </c>
      <c r="R70" s="49" t="n">
        <v>5</v>
      </c>
      <c r="S70" s="50" t="n">
        <v>0</v>
      </c>
      <c r="T70" s="50" t="n">
        <v>52</v>
      </c>
      <c r="U70" s="50" t="n">
        <v>42532</v>
      </c>
      <c r="V70" s="51" t="n">
        <v>1</v>
      </c>
      <c r="W70" s="51" t="n">
        <v>3</v>
      </c>
      <c r="X70" s="51" t="n">
        <v>2</v>
      </c>
      <c r="Y70" s="51" t="n">
        <v>1</v>
      </c>
      <c r="Z70" s="3" t="str">
        <f aca="false">VLOOKUP(A70,'Data Prep'!$A$5:$B$44,2,FALSE())</f>
        <v>Panera Bread</v>
      </c>
      <c r="AA70" s="4" t="n">
        <f aca="false">COUNTBLANK(A70:Y70)</f>
        <v>0</v>
      </c>
    </row>
    <row r="71" customFormat="false" ht="12.75" hidden="false" customHeight="true" outlineLevel="0" collapsed="false">
      <c r="A71" s="45" t="s">
        <v>30</v>
      </c>
      <c r="B71" s="46" t="n">
        <v>1</v>
      </c>
      <c r="C71" s="46" t="n">
        <v>0</v>
      </c>
      <c r="D71" s="46" t="n">
        <v>0</v>
      </c>
      <c r="E71" s="46" t="n">
        <v>0</v>
      </c>
      <c r="F71" s="47" t="n">
        <v>0</v>
      </c>
      <c r="G71" s="48" t="n">
        <v>5</v>
      </c>
      <c r="H71" s="48" t="n">
        <v>4</v>
      </c>
      <c r="I71" s="48" t="n">
        <v>5</v>
      </c>
      <c r="J71" s="48" t="n">
        <v>5</v>
      </c>
      <c r="K71" s="48" t="n">
        <v>5</v>
      </c>
      <c r="L71" s="48" t="n">
        <v>4</v>
      </c>
      <c r="M71" s="49" t="n">
        <v>3</v>
      </c>
      <c r="N71" s="49" t="n">
        <v>3</v>
      </c>
      <c r="O71" s="49" t="n">
        <v>2</v>
      </c>
      <c r="P71" s="49" t="n">
        <v>3</v>
      </c>
      <c r="Q71" s="49" t="n">
        <v>4</v>
      </c>
      <c r="R71" s="49" t="n">
        <v>4</v>
      </c>
      <c r="S71" s="50" t="n">
        <v>0</v>
      </c>
      <c r="T71" s="50" t="n">
        <v>25</v>
      </c>
      <c r="U71" s="50" t="n">
        <v>17758</v>
      </c>
      <c r="V71" s="51" t="n">
        <v>2</v>
      </c>
      <c r="W71" s="51" t="n">
        <v>1</v>
      </c>
      <c r="X71" s="51" t="n">
        <v>1</v>
      </c>
      <c r="Y71" s="51" t="n">
        <v>1</v>
      </c>
      <c r="Z71" s="3" t="str">
        <f aca="false">VLOOKUP(A71,'Data Prep'!$A$5:$B$44,2,FALSE())</f>
        <v>Chipotle</v>
      </c>
      <c r="AA71" s="4" t="n">
        <f aca="false">COUNTBLANK(A71:Y71)</f>
        <v>0</v>
      </c>
    </row>
    <row r="72" customFormat="false" ht="12.75" hidden="false" customHeight="true" outlineLevel="0" collapsed="false">
      <c r="A72" s="45" t="s">
        <v>160</v>
      </c>
      <c r="B72" s="46" t="n">
        <v>1</v>
      </c>
      <c r="C72" s="46" t="n">
        <v>0</v>
      </c>
      <c r="D72" s="46" t="n">
        <v>0</v>
      </c>
      <c r="E72" s="46" t="n">
        <v>0</v>
      </c>
      <c r="F72" s="47" t="n">
        <v>0</v>
      </c>
      <c r="G72" s="48" t="n">
        <v>5</v>
      </c>
      <c r="H72" s="48" t="n">
        <v>4</v>
      </c>
      <c r="I72" s="48" t="n">
        <v>5</v>
      </c>
      <c r="J72" s="48" t="n">
        <v>5</v>
      </c>
      <c r="K72" s="48" t="n">
        <v>5</v>
      </c>
      <c r="L72" s="48" t="n">
        <v>5</v>
      </c>
      <c r="M72" s="49" t="n">
        <v>3</v>
      </c>
      <c r="N72" s="49" t="n">
        <v>3</v>
      </c>
      <c r="O72" s="49" t="n">
        <v>3</v>
      </c>
      <c r="P72" s="49" t="n">
        <v>3</v>
      </c>
      <c r="Q72" s="49" t="n">
        <v>3</v>
      </c>
      <c r="R72" s="49" t="n">
        <v>3</v>
      </c>
      <c r="S72" s="50" t="n">
        <v>0</v>
      </c>
      <c r="T72" s="50" t="n">
        <v>46</v>
      </c>
      <c r="U72" s="50" t="n">
        <v>48366</v>
      </c>
      <c r="V72" s="51" t="n">
        <v>3</v>
      </c>
      <c r="W72" s="51" t="n">
        <v>2</v>
      </c>
      <c r="X72" s="51" t="n">
        <v>2</v>
      </c>
      <c r="Y72" s="51" t="n">
        <v>2</v>
      </c>
      <c r="Z72" s="3" t="str">
        <f aca="false">VLOOKUP(A72,'Data Prep'!$A$5:$B$44,2,FALSE())</f>
        <v>Chick-fil-A</v>
      </c>
      <c r="AA72" s="4" t="n">
        <f aca="false">COUNTBLANK(A72:Y72)</f>
        <v>0</v>
      </c>
    </row>
    <row r="73" customFormat="false" ht="12.75" hidden="false" customHeight="true" outlineLevel="0" collapsed="false">
      <c r="A73" s="45" t="s">
        <v>31</v>
      </c>
      <c r="B73" s="46" t="n">
        <v>1</v>
      </c>
      <c r="C73" s="46" t="n">
        <v>0</v>
      </c>
      <c r="D73" s="46" t="n">
        <v>0</v>
      </c>
      <c r="E73" s="46" t="n">
        <v>0</v>
      </c>
      <c r="F73" s="47" t="n">
        <v>0</v>
      </c>
      <c r="G73" s="48" t="n">
        <v>4</v>
      </c>
      <c r="H73" s="48" t="n">
        <v>4</v>
      </c>
      <c r="I73" s="48" t="n">
        <v>5</v>
      </c>
      <c r="J73" s="48" t="n">
        <v>5</v>
      </c>
      <c r="K73" s="48" t="n">
        <v>5</v>
      </c>
      <c r="L73" s="48" t="n">
        <v>4</v>
      </c>
      <c r="M73" s="49" t="n">
        <v>3</v>
      </c>
      <c r="N73" s="49" t="n">
        <v>3</v>
      </c>
      <c r="O73" s="49" t="n">
        <v>4</v>
      </c>
      <c r="P73" s="49" t="n">
        <v>5</v>
      </c>
      <c r="Q73" s="49" t="n">
        <v>4</v>
      </c>
      <c r="R73" s="49" t="n">
        <v>2</v>
      </c>
      <c r="S73" s="50" t="n">
        <v>0</v>
      </c>
      <c r="T73" s="50" t="n">
        <v>31</v>
      </c>
      <c r="U73" s="50" t="n">
        <v>47694</v>
      </c>
      <c r="V73" s="51" t="n">
        <v>1</v>
      </c>
      <c r="W73" s="51" t="n">
        <v>4</v>
      </c>
      <c r="X73" s="51" t="n">
        <v>2</v>
      </c>
      <c r="Y73" s="51" t="n">
        <v>1</v>
      </c>
      <c r="Z73" s="3" t="str">
        <f aca="false">VLOOKUP(A73,'Data Prep'!$A$5:$B$44,2,FALSE())</f>
        <v>El Pollo Loco</v>
      </c>
      <c r="AA73" s="4" t="n">
        <f aca="false">COUNTBLANK(A73:Y73)</f>
        <v>0</v>
      </c>
    </row>
    <row r="74" customFormat="false" ht="12.75" hidden="false" customHeight="true" outlineLevel="0" collapsed="false">
      <c r="A74" s="45" t="s">
        <v>191</v>
      </c>
      <c r="B74" s="46" t="n">
        <v>0</v>
      </c>
      <c r="C74" s="46" t="n">
        <v>0</v>
      </c>
      <c r="D74" s="46" t="n">
        <v>1</v>
      </c>
      <c r="E74" s="46" t="n">
        <v>0</v>
      </c>
      <c r="F74" s="47" t="n">
        <v>2</v>
      </c>
      <c r="G74" s="48" t="n">
        <v>5</v>
      </c>
      <c r="H74" s="48" t="n">
        <v>4</v>
      </c>
      <c r="I74" s="48" t="n">
        <v>5</v>
      </c>
      <c r="J74" s="48" t="n">
        <v>4</v>
      </c>
      <c r="K74" s="48" t="n">
        <v>5</v>
      </c>
      <c r="L74" s="48" t="n">
        <v>4</v>
      </c>
      <c r="M74" s="49" t="n">
        <v>4</v>
      </c>
      <c r="N74" s="49" t="n">
        <v>4</v>
      </c>
      <c r="O74" s="49" t="n">
        <v>4</v>
      </c>
      <c r="P74" s="49" t="n">
        <v>5</v>
      </c>
      <c r="Q74" s="49" t="n">
        <v>5</v>
      </c>
      <c r="R74" s="49" t="n">
        <v>4</v>
      </c>
      <c r="S74" s="50" t="n">
        <v>1</v>
      </c>
      <c r="T74" s="50" t="n">
        <v>33</v>
      </c>
      <c r="U74" s="50" t="n">
        <v>37626</v>
      </c>
      <c r="V74" s="51" t="n">
        <v>3</v>
      </c>
      <c r="W74" s="51" t="n">
        <v>2</v>
      </c>
      <c r="X74" s="51" t="n">
        <v>1</v>
      </c>
      <c r="Y74" s="51" t="n">
        <v>2</v>
      </c>
      <c r="Z74" s="3" t="str">
        <f aca="false">VLOOKUP(A74,'Data Prep'!$A$5:$B$44,2,FALSE())</f>
        <v>Subway</v>
      </c>
      <c r="AA74" s="4" t="n">
        <f aca="false">COUNTBLANK(A74:Y74)</f>
        <v>0</v>
      </c>
    </row>
    <row r="75" customFormat="false" ht="12.75" hidden="false" customHeight="true" outlineLevel="0" collapsed="false">
      <c r="A75" s="45" t="s">
        <v>31</v>
      </c>
      <c r="B75" s="46" t="n">
        <v>1</v>
      </c>
      <c r="C75" s="46" t="n">
        <v>0</v>
      </c>
      <c r="D75" s="46" t="n">
        <v>0</v>
      </c>
      <c r="E75" s="46" t="n">
        <v>0</v>
      </c>
      <c r="F75" s="47" t="n">
        <v>0</v>
      </c>
      <c r="G75" s="48" t="n">
        <v>2</v>
      </c>
      <c r="H75" s="48" t="n">
        <v>5</v>
      </c>
      <c r="I75" s="48" t="n">
        <v>5</v>
      </c>
      <c r="J75" s="48" t="n">
        <v>5</v>
      </c>
      <c r="K75" s="48" t="n">
        <v>5</v>
      </c>
      <c r="L75" s="48" t="n">
        <v>4</v>
      </c>
      <c r="M75" s="49" t="n">
        <v>5</v>
      </c>
      <c r="N75" s="49" t="n">
        <v>5</v>
      </c>
      <c r="O75" s="49" t="n">
        <v>3</v>
      </c>
      <c r="P75" s="49" t="n">
        <v>5</v>
      </c>
      <c r="Q75" s="49" t="n">
        <v>5</v>
      </c>
      <c r="R75" s="49" t="n">
        <v>4</v>
      </c>
      <c r="S75" s="50" t="n">
        <v>0</v>
      </c>
      <c r="T75" s="50" t="n">
        <v>34</v>
      </c>
      <c r="U75" s="50" t="n">
        <v>61260</v>
      </c>
      <c r="V75" s="51" t="n">
        <v>2</v>
      </c>
      <c r="W75" s="51" t="n">
        <v>2</v>
      </c>
      <c r="X75" s="51" t="n">
        <v>3</v>
      </c>
      <c r="Y75" s="51" t="n">
        <v>1</v>
      </c>
      <c r="Z75" s="3" t="str">
        <f aca="false">VLOOKUP(A75,'Data Prep'!$A$5:$B$44,2,FALSE())</f>
        <v>El Pollo Loco</v>
      </c>
      <c r="AA75" s="4" t="n">
        <f aca="false">COUNTBLANK(A75:Y75)</f>
        <v>0</v>
      </c>
    </row>
    <row r="76" customFormat="false" ht="12.75" hidden="false" customHeight="true" outlineLevel="0" collapsed="false">
      <c r="A76" s="45" t="s">
        <v>45</v>
      </c>
      <c r="B76" s="46" t="n">
        <v>1</v>
      </c>
      <c r="C76" s="46" t="n">
        <v>0</v>
      </c>
      <c r="D76" s="46" t="n">
        <v>0</v>
      </c>
      <c r="E76" s="46" t="n">
        <v>0</v>
      </c>
      <c r="F76" s="47" t="n">
        <v>0</v>
      </c>
      <c r="G76" s="48" t="n">
        <v>5</v>
      </c>
      <c r="H76" s="48" t="n">
        <v>5</v>
      </c>
      <c r="I76" s="48" t="n">
        <v>5</v>
      </c>
      <c r="J76" s="48" t="n">
        <v>5</v>
      </c>
      <c r="K76" s="48" t="n">
        <v>5</v>
      </c>
      <c r="L76" s="48" t="n">
        <v>5</v>
      </c>
      <c r="M76" s="49" t="n">
        <v>5</v>
      </c>
      <c r="N76" s="49" t="n">
        <v>5</v>
      </c>
      <c r="O76" s="49" t="n">
        <v>5</v>
      </c>
      <c r="P76" s="49" t="n">
        <v>5</v>
      </c>
      <c r="Q76" s="49" t="n">
        <v>5</v>
      </c>
      <c r="R76" s="49" t="n">
        <v>5</v>
      </c>
      <c r="S76" s="50" t="n">
        <v>1</v>
      </c>
      <c r="T76" s="50" t="n">
        <v>23</v>
      </c>
      <c r="U76" s="50" t="n">
        <v>20712</v>
      </c>
      <c r="V76" s="51" t="n">
        <v>1</v>
      </c>
      <c r="W76" s="51" t="n">
        <v>3</v>
      </c>
      <c r="X76" s="51" t="n">
        <v>1</v>
      </c>
      <c r="Y76" s="51" t="n">
        <v>1</v>
      </c>
      <c r="Z76" s="3" t="str">
        <f aca="false">VLOOKUP(A76,'Data Prep'!$A$5:$B$44,2,FALSE())</f>
        <v>Wendys</v>
      </c>
      <c r="AA76" s="4" t="n">
        <f aca="false">COUNTBLANK(A76:Y76)</f>
        <v>0</v>
      </c>
    </row>
    <row r="77" customFormat="false" ht="12.75" hidden="false" customHeight="true" outlineLevel="0" collapsed="false">
      <c r="A77" s="45" t="s">
        <v>33</v>
      </c>
      <c r="B77" s="46" t="n">
        <v>1</v>
      </c>
      <c r="C77" s="46" t="n">
        <v>1</v>
      </c>
      <c r="D77" s="46" t="n">
        <v>0</v>
      </c>
      <c r="E77" s="46" t="n">
        <v>0</v>
      </c>
      <c r="F77" s="47" t="n">
        <v>0</v>
      </c>
      <c r="G77" s="48" t="n">
        <v>5</v>
      </c>
      <c r="H77" s="48" t="n">
        <v>5</v>
      </c>
      <c r="I77" s="48" t="n">
        <v>5</v>
      </c>
      <c r="J77" s="48" t="n">
        <v>5</v>
      </c>
      <c r="K77" s="48" t="n">
        <v>5</v>
      </c>
      <c r="L77" s="48" t="n">
        <v>5</v>
      </c>
      <c r="M77" s="49" t="n">
        <v>5</v>
      </c>
      <c r="N77" s="49" t="n">
        <v>5</v>
      </c>
      <c r="O77" s="49" t="n">
        <v>5</v>
      </c>
      <c r="P77" s="49" t="n">
        <v>5</v>
      </c>
      <c r="Q77" s="49" t="n">
        <v>5</v>
      </c>
      <c r="R77" s="49" t="n">
        <v>5</v>
      </c>
      <c r="S77" s="50" t="n">
        <v>0</v>
      </c>
      <c r="T77" s="50" t="n">
        <v>22</v>
      </c>
      <c r="U77" s="50" t="n">
        <v>19033</v>
      </c>
      <c r="V77" s="51" t="n">
        <v>2</v>
      </c>
      <c r="W77" s="51" t="n">
        <v>3</v>
      </c>
      <c r="X77" s="51" t="n">
        <v>3</v>
      </c>
      <c r="Y77" s="51" t="n">
        <v>1</v>
      </c>
      <c r="Z77" s="3" t="str">
        <f aca="false">VLOOKUP(A77,'Data Prep'!$A$5:$B$44,2,FALSE())</f>
        <v>In-n-out</v>
      </c>
      <c r="AA77" s="4" t="n">
        <f aca="false">COUNTBLANK(A77:Y77)</f>
        <v>0</v>
      </c>
    </row>
    <row r="78" customFormat="false" ht="12.75" hidden="false" customHeight="true" outlineLevel="0" collapsed="false">
      <c r="A78" s="45" t="s">
        <v>31</v>
      </c>
      <c r="B78" s="46" t="n">
        <v>1</v>
      </c>
      <c r="C78" s="46" t="n">
        <v>0</v>
      </c>
      <c r="D78" s="46" t="n">
        <v>0</v>
      </c>
      <c r="E78" s="46" t="n">
        <v>0</v>
      </c>
      <c r="F78" s="47" t="n">
        <v>0</v>
      </c>
      <c r="G78" s="48" t="n">
        <v>5</v>
      </c>
      <c r="H78" s="48" t="n">
        <v>3</v>
      </c>
      <c r="I78" s="48" t="n">
        <v>3</v>
      </c>
      <c r="J78" s="48" t="n">
        <v>3</v>
      </c>
      <c r="K78" s="48" t="n">
        <v>5</v>
      </c>
      <c r="L78" s="48" t="n">
        <v>3</v>
      </c>
      <c r="M78" s="49" t="n">
        <v>4</v>
      </c>
      <c r="N78" s="49" t="n">
        <v>3</v>
      </c>
      <c r="O78" s="49" t="n">
        <v>3</v>
      </c>
      <c r="P78" s="49" t="n">
        <v>3</v>
      </c>
      <c r="Q78" s="49" t="n">
        <v>4</v>
      </c>
      <c r="R78" s="49" t="n">
        <v>2</v>
      </c>
      <c r="S78" s="50" t="n">
        <v>0</v>
      </c>
      <c r="T78" s="50" t="n">
        <v>28</v>
      </c>
      <c r="U78" s="50" t="n">
        <v>59410</v>
      </c>
      <c r="V78" s="51" t="n">
        <v>1</v>
      </c>
      <c r="W78" s="51" t="n">
        <v>3</v>
      </c>
      <c r="X78" s="51" t="n">
        <v>1</v>
      </c>
      <c r="Y78" s="51" t="n">
        <v>2</v>
      </c>
      <c r="Z78" s="3" t="str">
        <f aca="false">VLOOKUP(A78,'Data Prep'!$A$5:$B$44,2,FALSE())</f>
        <v>El Pollo Loco</v>
      </c>
      <c r="AA78" s="4" t="n">
        <f aca="false">COUNTBLANK(A78:Y78)</f>
        <v>0</v>
      </c>
    </row>
    <row r="79" customFormat="false" ht="12.75" hidden="false" customHeight="true" outlineLevel="0" collapsed="false">
      <c r="A79" s="45" t="s">
        <v>31</v>
      </c>
      <c r="B79" s="46" t="n">
        <v>0</v>
      </c>
      <c r="C79" s="46" t="n">
        <v>0</v>
      </c>
      <c r="D79" s="46" t="n">
        <v>1</v>
      </c>
      <c r="E79" s="46" t="n">
        <v>0</v>
      </c>
      <c r="F79" s="47" t="n">
        <v>4</v>
      </c>
      <c r="G79" s="48" t="n">
        <v>5</v>
      </c>
      <c r="H79" s="48" t="n">
        <v>5</v>
      </c>
      <c r="I79" s="48" t="n">
        <v>5</v>
      </c>
      <c r="J79" s="48" t="n">
        <v>5</v>
      </c>
      <c r="K79" s="48" t="n">
        <v>5</v>
      </c>
      <c r="L79" s="48" t="n">
        <v>4</v>
      </c>
      <c r="M79" s="49" t="n">
        <v>2</v>
      </c>
      <c r="N79" s="49" t="n">
        <v>4</v>
      </c>
      <c r="O79" s="49" t="n">
        <v>3</v>
      </c>
      <c r="P79" s="49" t="n">
        <v>4</v>
      </c>
      <c r="Q79" s="49" t="n">
        <v>5</v>
      </c>
      <c r="R79" s="49" t="n">
        <v>4</v>
      </c>
      <c r="S79" s="50" t="n">
        <v>0</v>
      </c>
      <c r="T79" s="50" t="n">
        <v>22</v>
      </c>
      <c r="U79" s="50" t="n">
        <v>46774</v>
      </c>
      <c r="V79" s="51" t="n">
        <v>2</v>
      </c>
      <c r="W79" s="51" t="n">
        <v>1</v>
      </c>
      <c r="X79" s="51" t="n">
        <v>2</v>
      </c>
      <c r="Y79" s="51" t="n">
        <v>2</v>
      </c>
      <c r="Z79" s="3" t="str">
        <f aca="false">VLOOKUP(A79,'Data Prep'!$A$5:$B$44,2,FALSE())</f>
        <v>El Pollo Loco</v>
      </c>
      <c r="AA79" s="4" t="n">
        <f aca="false">COUNTBLANK(A79:Y79)</f>
        <v>0</v>
      </c>
    </row>
    <row r="80" customFormat="false" ht="12.75" hidden="false" customHeight="true" outlineLevel="0" collapsed="false">
      <c r="A80" s="45" t="s">
        <v>33</v>
      </c>
      <c r="B80" s="46" t="n">
        <v>0</v>
      </c>
      <c r="C80" s="46" t="n">
        <v>0</v>
      </c>
      <c r="D80" s="46" t="n">
        <v>0</v>
      </c>
      <c r="E80" s="46" t="n">
        <v>0</v>
      </c>
      <c r="F80" s="47" t="n">
        <v>0</v>
      </c>
      <c r="G80" s="48" t="n">
        <v>5</v>
      </c>
      <c r="H80" s="48" t="n">
        <v>4</v>
      </c>
      <c r="I80" s="48" t="n">
        <v>5</v>
      </c>
      <c r="J80" s="48" t="n">
        <v>5</v>
      </c>
      <c r="K80" s="48" t="n">
        <v>5</v>
      </c>
      <c r="L80" s="48" t="n">
        <v>4</v>
      </c>
      <c r="M80" s="49" t="n">
        <v>4</v>
      </c>
      <c r="N80" s="49" t="n">
        <v>4</v>
      </c>
      <c r="O80" s="49" t="n">
        <v>4</v>
      </c>
      <c r="P80" s="49" t="n">
        <v>4</v>
      </c>
      <c r="Q80" s="49" t="n">
        <v>4</v>
      </c>
      <c r="R80" s="49" t="n">
        <v>4</v>
      </c>
      <c r="S80" s="50" t="n">
        <v>0</v>
      </c>
      <c r="T80" s="50" t="n">
        <v>56</v>
      </c>
      <c r="U80" s="50" t="n">
        <v>44952</v>
      </c>
      <c r="V80" s="51" t="n">
        <v>2</v>
      </c>
      <c r="W80" s="51" t="n">
        <v>3</v>
      </c>
      <c r="X80" s="51" t="n">
        <v>2</v>
      </c>
      <c r="Y80" s="51" t="n">
        <v>1</v>
      </c>
      <c r="Z80" s="3" t="str">
        <f aca="false">VLOOKUP(A80,'Data Prep'!$A$5:$B$44,2,FALSE())</f>
        <v>In-n-out</v>
      </c>
      <c r="AA80" s="4" t="n">
        <f aca="false">COUNTBLANK(A80:Y80)</f>
        <v>0</v>
      </c>
    </row>
    <row r="81" customFormat="false" ht="12.75" hidden="false" customHeight="true" outlineLevel="0" collapsed="false">
      <c r="A81" s="45" t="s">
        <v>158</v>
      </c>
      <c r="B81" s="46" t="n">
        <v>0</v>
      </c>
      <c r="C81" s="46" t="n">
        <v>0</v>
      </c>
      <c r="D81" s="46" t="n">
        <v>1</v>
      </c>
      <c r="E81" s="46" t="n">
        <v>0</v>
      </c>
      <c r="F81" s="47" t="n">
        <v>0</v>
      </c>
      <c r="G81" s="48" t="n">
        <v>3</v>
      </c>
      <c r="H81" s="48" t="n">
        <v>4</v>
      </c>
      <c r="I81" s="48" t="n">
        <v>4</v>
      </c>
      <c r="J81" s="48" t="n">
        <v>4</v>
      </c>
      <c r="K81" s="48" t="n">
        <v>5</v>
      </c>
      <c r="L81" s="48" t="n">
        <v>4</v>
      </c>
      <c r="M81" s="49" t="n">
        <v>3</v>
      </c>
      <c r="N81" s="49" t="n">
        <v>5</v>
      </c>
      <c r="O81" s="49" t="n">
        <v>4</v>
      </c>
      <c r="P81" s="49" t="n">
        <v>4</v>
      </c>
      <c r="Q81" s="49" t="n">
        <v>5</v>
      </c>
      <c r="R81" s="49" t="n">
        <v>5</v>
      </c>
      <c r="S81" s="50" t="n">
        <v>1</v>
      </c>
      <c r="T81" s="50" t="n">
        <v>51</v>
      </c>
      <c r="U81" s="50" t="n">
        <v>25063</v>
      </c>
      <c r="V81" s="51" t="n">
        <v>3</v>
      </c>
      <c r="W81" s="51" t="n">
        <v>4</v>
      </c>
      <c r="X81" s="51" t="n">
        <v>2</v>
      </c>
      <c r="Y81" s="51" t="n">
        <v>2</v>
      </c>
      <c r="Z81" s="3" t="str">
        <f aca="false">VLOOKUP(A81,'Data Prep'!$A$5:$B$44,2,FALSE())</f>
        <v>Arbys</v>
      </c>
      <c r="AA81" s="4" t="n">
        <f aca="false">COUNTBLANK(A81:Y81)</f>
        <v>0</v>
      </c>
    </row>
    <row r="82" customFormat="false" ht="12.75" hidden="false" customHeight="true" outlineLevel="0" collapsed="false">
      <c r="A82" s="45" t="s">
        <v>31</v>
      </c>
      <c r="B82" s="46" t="n">
        <v>1</v>
      </c>
      <c r="C82" s="46" t="n">
        <v>0</v>
      </c>
      <c r="D82" s="46" t="n">
        <v>0</v>
      </c>
      <c r="E82" s="46" t="n">
        <v>0</v>
      </c>
      <c r="F82" s="47" t="n">
        <v>0</v>
      </c>
      <c r="G82" s="48" t="n">
        <v>5</v>
      </c>
      <c r="H82" s="48" t="n">
        <v>5</v>
      </c>
      <c r="I82" s="48" t="n">
        <v>5</v>
      </c>
      <c r="J82" s="48" t="n">
        <v>5</v>
      </c>
      <c r="K82" s="48" t="n">
        <v>5</v>
      </c>
      <c r="L82" s="48" t="n">
        <v>5</v>
      </c>
      <c r="M82" s="49" t="n">
        <v>3</v>
      </c>
      <c r="N82" s="49" t="n">
        <v>4</v>
      </c>
      <c r="O82" s="49" t="n">
        <v>3</v>
      </c>
      <c r="P82" s="49" t="n">
        <v>4</v>
      </c>
      <c r="Q82" s="49" t="n">
        <v>5</v>
      </c>
      <c r="R82" s="49" t="n">
        <v>3</v>
      </c>
      <c r="S82" s="50" t="n">
        <v>0</v>
      </c>
      <c r="T82" s="50" t="n">
        <v>33</v>
      </c>
      <c r="U82" s="50" t="n">
        <v>20022</v>
      </c>
      <c r="V82" s="51" t="n">
        <v>1</v>
      </c>
      <c r="W82" s="51" t="n">
        <v>2</v>
      </c>
      <c r="X82" s="51" t="n">
        <v>2</v>
      </c>
      <c r="Y82" s="51" t="n">
        <v>2</v>
      </c>
      <c r="Z82" s="3" t="str">
        <f aca="false">VLOOKUP(A82,'Data Prep'!$A$5:$B$44,2,FALSE())</f>
        <v>El Pollo Loco</v>
      </c>
      <c r="AA82" s="4" t="n">
        <f aca="false">COUNTBLANK(A82:Y82)</f>
        <v>0</v>
      </c>
    </row>
    <row r="83" customFormat="false" ht="12.75" hidden="false" customHeight="true" outlineLevel="0" collapsed="false">
      <c r="A83" s="45" t="s">
        <v>192</v>
      </c>
      <c r="B83" s="46" t="n">
        <v>1</v>
      </c>
      <c r="C83" s="46" t="n">
        <v>0</v>
      </c>
      <c r="D83" s="46" t="n">
        <v>0</v>
      </c>
      <c r="E83" s="46" t="n">
        <v>0</v>
      </c>
      <c r="F83" s="47" t="n">
        <v>0</v>
      </c>
      <c r="G83" s="48" t="n">
        <v>5</v>
      </c>
      <c r="H83" s="48" t="n">
        <v>4</v>
      </c>
      <c r="I83" s="48" t="n">
        <v>5</v>
      </c>
      <c r="J83" s="48" t="n">
        <v>4</v>
      </c>
      <c r="K83" s="48" t="n">
        <v>5</v>
      </c>
      <c r="L83" s="48" t="n">
        <v>4</v>
      </c>
      <c r="M83" s="49" t="n">
        <v>5</v>
      </c>
      <c r="N83" s="49" t="n">
        <v>4</v>
      </c>
      <c r="O83" s="49" t="n">
        <v>3</v>
      </c>
      <c r="P83" s="49" t="n">
        <v>4</v>
      </c>
      <c r="Q83" s="49" t="n">
        <v>4</v>
      </c>
      <c r="R83" s="49" t="n">
        <v>3</v>
      </c>
      <c r="S83" s="50" t="n">
        <v>0</v>
      </c>
      <c r="T83" s="50" t="n">
        <v>55</v>
      </c>
      <c r="U83" s="50" t="n">
        <v>39912</v>
      </c>
      <c r="V83" s="51" t="n">
        <v>2</v>
      </c>
      <c r="W83" s="51" t="n">
        <v>4</v>
      </c>
      <c r="X83" s="51" t="n">
        <v>2</v>
      </c>
      <c r="Y83" s="51" t="n">
        <v>2</v>
      </c>
      <c r="Z83" s="3" t="str">
        <f aca="false">VLOOKUP(A83,'Data Prep'!$A$5:$B$44,2,FALSE())</f>
        <v>Wendys</v>
      </c>
      <c r="AA83" s="4" t="n">
        <f aca="false">COUNTBLANK(A83:Y83)</f>
        <v>0</v>
      </c>
    </row>
    <row r="84" customFormat="false" ht="12.75" hidden="false" customHeight="true" outlineLevel="0" collapsed="false">
      <c r="A84" s="45" t="s">
        <v>171</v>
      </c>
      <c r="B84" s="46" t="n">
        <v>0</v>
      </c>
      <c r="C84" s="46" t="n">
        <v>0</v>
      </c>
      <c r="D84" s="46" t="n">
        <v>1</v>
      </c>
      <c r="E84" s="46" t="n">
        <v>0</v>
      </c>
      <c r="F84" s="47" t="n">
        <v>0</v>
      </c>
      <c r="G84" s="48" t="n">
        <v>5</v>
      </c>
      <c r="H84" s="48" t="n">
        <v>5</v>
      </c>
      <c r="I84" s="48" t="n">
        <v>4</v>
      </c>
      <c r="J84" s="48" t="n">
        <v>4</v>
      </c>
      <c r="K84" s="48" t="n">
        <v>5</v>
      </c>
      <c r="L84" s="48" t="n">
        <v>4</v>
      </c>
      <c r="M84" s="49" t="n">
        <v>5</v>
      </c>
      <c r="N84" s="49" t="n">
        <v>4</v>
      </c>
      <c r="O84" s="49" t="n">
        <v>5</v>
      </c>
      <c r="P84" s="49" t="n">
        <v>5</v>
      </c>
      <c r="Q84" s="49" t="n">
        <v>5</v>
      </c>
      <c r="R84" s="49" t="n">
        <v>5</v>
      </c>
      <c r="S84" s="50" t="n">
        <v>1</v>
      </c>
      <c r="T84" s="50" t="n">
        <v>66</v>
      </c>
      <c r="U84" s="50" t="n">
        <v>16627</v>
      </c>
      <c r="V84" s="51" t="n">
        <v>2</v>
      </c>
      <c r="W84" s="51" t="n">
        <v>2</v>
      </c>
      <c r="X84" s="51" t="n">
        <v>3</v>
      </c>
      <c r="Y84" s="51" t="n">
        <v>2</v>
      </c>
      <c r="Z84" s="3" t="str">
        <f aca="false">VLOOKUP(A84,'Data Prep'!$A$5:$B$44,2,FALSE())</f>
        <v>McDonalds</v>
      </c>
      <c r="AA84" s="4" t="n">
        <f aca="false">COUNTBLANK(A84:Y84)</f>
        <v>0</v>
      </c>
    </row>
    <row r="85" customFormat="false" ht="12.75" hidden="false" customHeight="true" outlineLevel="0" collapsed="false">
      <c r="A85" s="45" t="s">
        <v>171</v>
      </c>
      <c r="B85" s="46" t="n">
        <v>0</v>
      </c>
      <c r="C85" s="46" t="n">
        <v>0</v>
      </c>
      <c r="D85" s="46" t="n">
        <v>1</v>
      </c>
      <c r="E85" s="46" t="n">
        <v>0</v>
      </c>
      <c r="F85" s="47" t="n">
        <v>0</v>
      </c>
      <c r="G85" s="48" t="n">
        <v>5</v>
      </c>
      <c r="H85" s="48" t="n">
        <v>4</v>
      </c>
      <c r="I85" s="48" t="n">
        <v>4</v>
      </c>
      <c r="J85" s="48" t="n">
        <v>4</v>
      </c>
      <c r="K85" s="48" t="n">
        <v>4</v>
      </c>
      <c r="L85" s="48" t="n">
        <v>4</v>
      </c>
      <c r="M85" s="49" t="n">
        <v>4</v>
      </c>
      <c r="N85" s="49" t="n">
        <v>3</v>
      </c>
      <c r="O85" s="49" t="n">
        <v>5</v>
      </c>
      <c r="P85" s="49" t="n">
        <v>5</v>
      </c>
      <c r="Q85" s="49" t="n">
        <v>5</v>
      </c>
      <c r="R85" s="49" t="n">
        <v>5</v>
      </c>
      <c r="S85" s="50" t="n">
        <v>1</v>
      </c>
      <c r="T85" s="50" t="n">
        <v>48</v>
      </c>
      <c r="U85" s="50" t="n">
        <v>16897</v>
      </c>
      <c r="V85" s="51" t="n">
        <v>2</v>
      </c>
      <c r="W85" s="51" t="n">
        <v>2</v>
      </c>
      <c r="X85" s="51" t="n">
        <v>1</v>
      </c>
      <c r="Y85" s="51" t="n">
        <v>2</v>
      </c>
      <c r="Z85" s="3" t="str">
        <f aca="false">VLOOKUP(A85,'Data Prep'!$A$5:$B$44,2,FALSE())</f>
        <v>McDonalds</v>
      </c>
      <c r="AA85" s="4" t="n">
        <f aca="false">COUNTBLANK(A85:Y85)</f>
        <v>0</v>
      </c>
    </row>
    <row r="86" customFormat="false" ht="12.75" hidden="false" customHeight="true" outlineLevel="0" collapsed="false">
      <c r="A86" s="45" t="s">
        <v>31</v>
      </c>
      <c r="B86" s="46" t="n">
        <v>0</v>
      </c>
      <c r="C86" s="46" t="n">
        <v>1</v>
      </c>
      <c r="D86" s="46" t="n">
        <v>0</v>
      </c>
      <c r="E86" s="46" t="n">
        <v>0</v>
      </c>
      <c r="F86" s="47" t="n">
        <v>2</v>
      </c>
      <c r="G86" s="48" t="n">
        <v>4</v>
      </c>
      <c r="H86" s="48" t="n">
        <v>3</v>
      </c>
      <c r="I86" s="48" t="n">
        <v>3</v>
      </c>
      <c r="J86" s="48" t="n">
        <v>4</v>
      </c>
      <c r="K86" s="48" t="n">
        <v>5</v>
      </c>
      <c r="L86" s="48" t="n">
        <v>4</v>
      </c>
      <c r="M86" s="49" t="n">
        <v>2</v>
      </c>
      <c r="N86" s="49" t="n">
        <v>3</v>
      </c>
      <c r="O86" s="49" t="n">
        <v>3</v>
      </c>
      <c r="P86" s="49" t="n">
        <v>4</v>
      </c>
      <c r="Q86" s="49" t="n">
        <v>3</v>
      </c>
      <c r="R86" s="49" t="n">
        <v>3</v>
      </c>
      <c r="S86" s="50" t="n">
        <v>0</v>
      </c>
      <c r="T86" s="50" t="n">
        <v>33</v>
      </c>
      <c r="U86" s="50" t="n">
        <v>77253</v>
      </c>
      <c r="V86" s="51" t="n">
        <v>3</v>
      </c>
      <c r="W86" s="51" t="n">
        <v>4</v>
      </c>
      <c r="X86" s="51" t="n">
        <v>2</v>
      </c>
      <c r="Y86" s="51" t="n">
        <v>2</v>
      </c>
      <c r="Z86" s="3" t="str">
        <f aca="false">VLOOKUP(A86,'Data Prep'!$A$5:$B$44,2,FALSE())</f>
        <v>El Pollo Loco</v>
      </c>
      <c r="AA86" s="4" t="n">
        <f aca="false">COUNTBLANK(A86:Y86)</f>
        <v>0</v>
      </c>
    </row>
    <row r="87" customFormat="false" ht="12.75" hidden="false" customHeight="true" outlineLevel="0" collapsed="false">
      <c r="A87" s="45" t="s">
        <v>33</v>
      </c>
      <c r="B87" s="46" t="n">
        <v>0</v>
      </c>
      <c r="C87" s="46" t="n">
        <v>0</v>
      </c>
      <c r="D87" s="46" t="n">
        <v>1</v>
      </c>
      <c r="E87" s="46" t="n">
        <v>0</v>
      </c>
      <c r="F87" s="47" t="n">
        <v>0</v>
      </c>
      <c r="G87" s="48" t="n">
        <v>4</v>
      </c>
      <c r="H87" s="48" t="n">
        <v>4</v>
      </c>
      <c r="I87" s="48" t="n">
        <v>5</v>
      </c>
      <c r="J87" s="48" t="n">
        <v>5</v>
      </c>
      <c r="K87" s="48" t="n">
        <v>5</v>
      </c>
      <c r="L87" s="48" t="n">
        <v>5</v>
      </c>
      <c r="M87" s="49" t="n">
        <v>3</v>
      </c>
      <c r="N87" s="49" t="n">
        <v>3</v>
      </c>
      <c r="O87" s="49" t="n">
        <v>3</v>
      </c>
      <c r="P87" s="49" t="n">
        <v>3</v>
      </c>
      <c r="Q87" s="49" t="n">
        <v>3</v>
      </c>
      <c r="R87" s="49" t="n">
        <v>3</v>
      </c>
      <c r="S87" s="50" t="n">
        <v>0</v>
      </c>
      <c r="T87" s="50" t="n">
        <v>49</v>
      </c>
      <c r="U87" s="50" t="n">
        <v>54750</v>
      </c>
      <c r="V87" s="51" t="n">
        <v>1</v>
      </c>
      <c r="W87" s="51" t="n">
        <v>4</v>
      </c>
      <c r="X87" s="51" t="n">
        <v>2</v>
      </c>
      <c r="Y87" s="51" t="n">
        <v>1</v>
      </c>
      <c r="Z87" s="3" t="str">
        <f aca="false">VLOOKUP(A87,'Data Prep'!$A$5:$B$44,2,FALSE())</f>
        <v>In-n-out</v>
      </c>
      <c r="AA87" s="4" t="n">
        <f aca="false">COUNTBLANK(A87:Y87)</f>
        <v>0</v>
      </c>
    </row>
    <row r="88" customFormat="false" ht="12.75" hidden="false" customHeight="true" outlineLevel="0" collapsed="false">
      <c r="A88" s="45" t="s">
        <v>31</v>
      </c>
      <c r="B88" s="46" t="n">
        <v>1</v>
      </c>
      <c r="C88" s="46" t="n">
        <v>0</v>
      </c>
      <c r="D88" s="46" t="n">
        <v>0</v>
      </c>
      <c r="E88" s="46" t="n">
        <v>0</v>
      </c>
      <c r="F88" s="47" t="n">
        <v>0</v>
      </c>
      <c r="G88" s="48" t="n">
        <v>5</v>
      </c>
      <c r="H88" s="48" t="n">
        <v>5</v>
      </c>
      <c r="I88" s="48" t="n">
        <v>5</v>
      </c>
      <c r="J88" s="48" t="n">
        <v>5</v>
      </c>
      <c r="K88" s="48" t="n">
        <v>5</v>
      </c>
      <c r="L88" s="48" t="n">
        <v>5</v>
      </c>
      <c r="M88" s="49" t="n">
        <v>3</v>
      </c>
      <c r="N88" s="49" t="n">
        <v>4</v>
      </c>
      <c r="O88" s="49" t="n">
        <v>3</v>
      </c>
      <c r="P88" s="49" t="n">
        <v>4</v>
      </c>
      <c r="Q88" s="49" t="n">
        <v>4</v>
      </c>
      <c r="R88" s="49" t="n">
        <v>4</v>
      </c>
      <c r="S88" s="50" t="n">
        <v>0</v>
      </c>
      <c r="T88" s="50" t="n">
        <v>29</v>
      </c>
      <c r="U88" s="50" t="n">
        <v>35972</v>
      </c>
      <c r="V88" s="51" t="n">
        <v>1</v>
      </c>
      <c r="W88" s="51" t="n">
        <v>4</v>
      </c>
      <c r="X88" s="51" t="n">
        <v>1</v>
      </c>
      <c r="Y88" s="51" t="n">
        <v>1</v>
      </c>
      <c r="Z88" s="3" t="str">
        <f aca="false">VLOOKUP(A88,'Data Prep'!$A$5:$B$44,2,FALSE())</f>
        <v>El Pollo Loco</v>
      </c>
      <c r="AA88" s="4" t="n">
        <f aca="false">COUNTBLANK(A88:Y88)</f>
        <v>0</v>
      </c>
    </row>
    <row r="89" customFormat="false" ht="12.75" hidden="false" customHeight="true" outlineLevel="0" collapsed="false">
      <c r="A89" s="45" t="s">
        <v>31</v>
      </c>
      <c r="B89" s="46" t="n">
        <v>1</v>
      </c>
      <c r="C89" s="46" t="n">
        <v>0</v>
      </c>
      <c r="D89" s="46" t="n">
        <v>0</v>
      </c>
      <c r="E89" s="46" t="n">
        <v>0</v>
      </c>
      <c r="F89" s="47" t="n">
        <v>0</v>
      </c>
      <c r="G89" s="48" t="n">
        <v>4</v>
      </c>
      <c r="H89" s="48" t="n">
        <v>3</v>
      </c>
      <c r="I89" s="48" t="n">
        <v>5</v>
      </c>
      <c r="J89" s="48" t="n">
        <v>5</v>
      </c>
      <c r="K89" s="48" t="n">
        <v>5</v>
      </c>
      <c r="L89" s="48" t="n">
        <v>4</v>
      </c>
      <c r="M89" s="49" t="n">
        <v>3</v>
      </c>
      <c r="N89" s="49" t="n">
        <v>3</v>
      </c>
      <c r="O89" s="49" t="n">
        <v>2</v>
      </c>
      <c r="P89" s="49" t="n">
        <v>5</v>
      </c>
      <c r="Q89" s="49" t="n">
        <v>4</v>
      </c>
      <c r="R89" s="49" t="n">
        <v>4</v>
      </c>
      <c r="S89" s="50" t="n">
        <v>0</v>
      </c>
      <c r="T89" s="50" t="n">
        <v>33</v>
      </c>
      <c r="U89" s="50" t="n">
        <v>35714</v>
      </c>
      <c r="V89" s="51" t="n">
        <v>1</v>
      </c>
      <c r="W89" s="51" t="n">
        <v>3</v>
      </c>
      <c r="X89" s="51" t="n">
        <v>2</v>
      </c>
      <c r="Y89" s="51" t="n">
        <v>1</v>
      </c>
      <c r="Z89" s="3" t="str">
        <f aca="false">VLOOKUP(A89,'Data Prep'!$A$5:$B$44,2,FALSE())</f>
        <v>El Pollo Loco</v>
      </c>
      <c r="AA89" s="4" t="n">
        <f aca="false">COUNTBLANK(A89:Y89)</f>
        <v>0</v>
      </c>
    </row>
    <row r="90" customFormat="false" ht="12.75" hidden="false" customHeight="true" outlineLevel="0" collapsed="false">
      <c r="A90" s="45" t="s">
        <v>180</v>
      </c>
      <c r="B90" s="46" t="n">
        <v>1</v>
      </c>
      <c r="C90" s="46" t="n">
        <v>0</v>
      </c>
      <c r="D90" s="46" t="n">
        <v>0</v>
      </c>
      <c r="E90" s="46" t="n">
        <v>0</v>
      </c>
      <c r="F90" s="47" t="n">
        <v>0</v>
      </c>
      <c r="G90" s="48" t="n">
        <v>5</v>
      </c>
      <c r="H90" s="48" t="n">
        <v>5</v>
      </c>
      <c r="I90" s="48" t="n">
        <v>5</v>
      </c>
      <c r="J90" s="48" t="n">
        <v>5</v>
      </c>
      <c r="K90" s="48" t="n">
        <v>5</v>
      </c>
      <c r="L90" s="48" t="n">
        <v>5</v>
      </c>
      <c r="M90" s="49" t="n">
        <v>2</v>
      </c>
      <c r="N90" s="49" t="n">
        <v>2</v>
      </c>
      <c r="O90" s="49" t="n">
        <v>3</v>
      </c>
      <c r="P90" s="49" t="n">
        <v>4</v>
      </c>
      <c r="Q90" s="49" t="n">
        <v>5</v>
      </c>
      <c r="R90" s="49" t="n">
        <v>4</v>
      </c>
      <c r="S90" s="50" t="n">
        <v>0</v>
      </c>
      <c r="T90" s="50" t="n">
        <v>18</v>
      </c>
      <c r="U90" s="50" t="n">
        <v>18631</v>
      </c>
      <c r="V90" s="51" t="n">
        <v>1</v>
      </c>
      <c r="W90" s="51" t="n">
        <v>2</v>
      </c>
      <c r="X90" s="51" t="n">
        <v>1</v>
      </c>
      <c r="Y90" s="51" t="n">
        <v>2</v>
      </c>
      <c r="Z90" s="3" t="str">
        <f aca="false">VLOOKUP(A90,'Data Prep'!$A$5:$B$44,2,FALSE())</f>
        <v>Panera Bread</v>
      </c>
      <c r="AA90" s="4" t="n">
        <f aca="false">COUNTBLANK(A90:Y90)</f>
        <v>0</v>
      </c>
    </row>
    <row r="91" customFormat="false" ht="12.75" hidden="false" customHeight="true" outlineLevel="0" collapsed="false">
      <c r="A91" s="45" t="s">
        <v>164</v>
      </c>
      <c r="B91" s="46" t="n">
        <v>0</v>
      </c>
      <c r="C91" s="46" t="n">
        <v>0</v>
      </c>
      <c r="D91" s="46" t="n">
        <v>1</v>
      </c>
      <c r="E91" s="46" t="n">
        <v>0</v>
      </c>
      <c r="F91" s="47" t="n">
        <v>0</v>
      </c>
      <c r="G91" s="48" t="n">
        <v>4</v>
      </c>
      <c r="H91" s="48" t="n">
        <v>4</v>
      </c>
      <c r="I91" s="48" t="n">
        <v>4</v>
      </c>
      <c r="J91" s="48" t="n">
        <v>4</v>
      </c>
      <c r="K91" s="48" t="n">
        <v>4</v>
      </c>
      <c r="L91" s="48" t="n">
        <v>4</v>
      </c>
      <c r="M91" s="49" t="n">
        <v>3</v>
      </c>
      <c r="N91" s="49" t="n">
        <v>3</v>
      </c>
      <c r="O91" s="49" t="n">
        <v>3</v>
      </c>
      <c r="P91" s="49" t="n">
        <v>3</v>
      </c>
      <c r="Q91" s="49" t="n">
        <v>3</v>
      </c>
      <c r="R91" s="49" t="n">
        <v>3</v>
      </c>
      <c r="S91" s="50" t="n">
        <v>0</v>
      </c>
      <c r="T91" s="50" t="n">
        <v>49</v>
      </c>
      <c r="U91" s="50" t="n">
        <v>28872</v>
      </c>
      <c r="V91" s="51" t="n">
        <v>2</v>
      </c>
      <c r="W91" s="51" t="n">
        <v>2</v>
      </c>
      <c r="X91" s="51" t="n">
        <v>2</v>
      </c>
      <c r="Y91" s="51" t="n">
        <v>2</v>
      </c>
      <c r="Z91" s="3" t="str">
        <f aca="false">VLOOKUP(A91,'Data Prep'!$A$5:$B$44,2,FALSE())</f>
        <v>Chick-fil-A</v>
      </c>
      <c r="AA91" s="4" t="n">
        <f aca="false">COUNTBLANK(A91:Y91)</f>
        <v>0</v>
      </c>
    </row>
    <row r="92" customFormat="false" ht="12.75" hidden="false" customHeight="true" outlineLevel="0" collapsed="false">
      <c r="A92" s="45" t="s">
        <v>31</v>
      </c>
      <c r="B92" s="46" t="n">
        <v>1</v>
      </c>
      <c r="C92" s="46" t="n">
        <v>0</v>
      </c>
      <c r="D92" s="46" t="n">
        <v>0</v>
      </c>
      <c r="E92" s="46" t="n">
        <v>0</v>
      </c>
      <c r="F92" s="47" t="n">
        <v>0</v>
      </c>
      <c r="G92" s="48" t="n">
        <v>5</v>
      </c>
      <c r="H92" s="48" t="n">
        <v>5</v>
      </c>
      <c r="I92" s="48" t="n">
        <v>5</v>
      </c>
      <c r="J92" s="48" t="n">
        <v>5</v>
      </c>
      <c r="K92" s="48" t="n">
        <v>5</v>
      </c>
      <c r="L92" s="48" t="n">
        <v>4</v>
      </c>
      <c r="M92" s="49" t="n">
        <v>5</v>
      </c>
      <c r="N92" s="49" t="n">
        <v>5</v>
      </c>
      <c r="O92" s="49" t="n">
        <v>3</v>
      </c>
      <c r="P92" s="49" t="n">
        <v>5</v>
      </c>
      <c r="Q92" s="49" t="n">
        <v>5</v>
      </c>
      <c r="R92" s="49" t="n">
        <v>4</v>
      </c>
      <c r="S92" s="50" t="n">
        <v>0</v>
      </c>
      <c r="T92" s="50" t="n">
        <v>40</v>
      </c>
      <c r="U92" s="50" t="n">
        <v>31310</v>
      </c>
      <c r="V92" s="51" t="n">
        <v>1</v>
      </c>
      <c r="W92" s="51" t="n">
        <v>4</v>
      </c>
      <c r="X92" s="51" t="n">
        <v>2</v>
      </c>
      <c r="Y92" s="51" t="n">
        <v>1</v>
      </c>
      <c r="Z92" s="3" t="str">
        <f aca="false">VLOOKUP(A92,'Data Prep'!$A$5:$B$44,2,FALSE())</f>
        <v>El Pollo Loco</v>
      </c>
      <c r="AA92" s="4" t="n">
        <f aca="false">COUNTBLANK(A92:Y92)</f>
        <v>0</v>
      </c>
    </row>
    <row r="93" customFormat="false" ht="12.75" hidden="false" customHeight="true" outlineLevel="0" collapsed="false">
      <c r="A93" s="45" t="s">
        <v>168</v>
      </c>
      <c r="B93" s="46" t="n">
        <v>0</v>
      </c>
      <c r="C93" s="46" t="n">
        <v>0</v>
      </c>
      <c r="D93" s="46" t="n">
        <v>0</v>
      </c>
      <c r="E93" s="46" t="n">
        <v>0</v>
      </c>
      <c r="F93" s="47" t="n">
        <v>2</v>
      </c>
      <c r="G93" s="48"/>
      <c r="H93" s="48"/>
      <c r="I93" s="48"/>
      <c r="J93" s="48"/>
      <c r="K93" s="48"/>
      <c r="L93" s="48"/>
      <c r="M93" s="49"/>
      <c r="N93" s="49"/>
      <c r="O93" s="49"/>
      <c r="P93" s="49"/>
      <c r="Q93" s="49"/>
      <c r="R93" s="49"/>
      <c r="S93" s="50" t="n">
        <v>0</v>
      </c>
      <c r="T93" s="50" t="n">
        <v>20</v>
      </c>
      <c r="U93" s="50" t="n">
        <v>23930</v>
      </c>
      <c r="V93" s="51" t="n">
        <v>2</v>
      </c>
      <c r="W93" s="51" t="n">
        <v>3</v>
      </c>
      <c r="X93" s="51" t="n">
        <v>3</v>
      </c>
      <c r="Y93" s="51" t="n">
        <v>2</v>
      </c>
      <c r="Z93" s="3" t="str">
        <f aca="false">VLOOKUP(A93,'Data Prep'!$A$5:$B$44,2,FALSE())</f>
        <v>Martins</v>
      </c>
      <c r="AA93" s="4" t="n">
        <f aca="false">COUNTBLANK(A93:Y93)</f>
        <v>12</v>
      </c>
    </row>
    <row r="94" customFormat="false" ht="12.75" hidden="false" customHeight="true" outlineLevel="0" collapsed="false">
      <c r="A94" s="45" t="s">
        <v>43</v>
      </c>
      <c r="B94" s="46" t="n">
        <v>1</v>
      </c>
      <c r="C94" s="46" t="n">
        <v>0</v>
      </c>
      <c r="D94" s="46" t="n">
        <v>0</v>
      </c>
      <c r="E94" s="46" t="n">
        <v>0</v>
      </c>
      <c r="F94" s="47" t="n">
        <v>0</v>
      </c>
      <c r="G94" s="48" t="n">
        <v>4</v>
      </c>
      <c r="H94" s="48" t="n">
        <v>3</v>
      </c>
      <c r="I94" s="48" t="n">
        <v>5</v>
      </c>
      <c r="J94" s="48" t="n">
        <v>4</v>
      </c>
      <c r="K94" s="48" t="n">
        <v>5</v>
      </c>
      <c r="L94" s="48" t="n">
        <v>3</v>
      </c>
      <c r="M94" s="49" t="n">
        <v>4</v>
      </c>
      <c r="N94" s="49" t="n">
        <v>3</v>
      </c>
      <c r="O94" s="49" t="n">
        <v>2</v>
      </c>
      <c r="P94" s="49" t="n">
        <v>5</v>
      </c>
      <c r="Q94" s="49" t="n">
        <v>5</v>
      </c>
      <c r="R94" s="49" t="n">
        <v>4</v>
      </c>
      <c r="S94" s="50" t="n">
        <v>0</v>
      </c>
      <c r="T94" s="50" t="n">
        <v>29</v>
      </c>
      <c r="U94" s="50" t="n">
        <v>11059</v>
      </c>
      <c r="V94" s="51" t="n">
        <v>2</v>
      </c>
      <c r="W94" s="51" t="n">
        <v>3</v>
      </c>
      <c r="X94" s="51" t="n">
        <v>2</v>
      </c>
      <c r="Y94" s="51" t="n">
        <v>3</v>
      </c>
      <c r="Z94" s="3" t="str">
        <f aca="false">VLOOKUP(A94,'Data Prep'!$A$5:$B$44,2,FALSE())</f>
        <v>Taco Bell</v>
      </c>
      <c r="AA94" s="4" t="n">
        <f aca="false">COUNTBLANK(A94:Y94)</f>
        <v>0</v>
      </c>
    </row>
    <row r="95" customFormat="false" ht="12.75" hidden="false" customHeight="true" outlineLevel="0" collapsed="false">
      <c r="A95" s="45" t="s">
        <v>42</v>
      </c>
      <c r="B95" s="46" t="n">
        <v>0</v>
      </c>
      <c r="C95" s="46" t="n">
        <v>0</v>
      </c>
      <c r="D95" s="46" t="n">
        <v>1</v>
      </c>
      <c r="E95" s="46" t="n">
        <v>1</v>
      </c>
      <c r="F95" s="47" t="n">
        <v>0</v>
      </c>
      <c r="G95" s="48" t="n">
        <v>5</v>
      </c>
      <c r="H95" s="48" t="n">
        <v>4</v>
      </c>
      <c r="I95" s="48" t="n">
        <v>5</v>
      </c>
      <c r="J95" s="48" t="n">
        <v>4</v>
      </c>
      <c r="K95" s="48" t="n">
        <v>4</v>
      </c>
      <c r="L95" s="48" t="n">
        <v>4</v>
      </c>
      <c r="M95" s="49" t="n">
        <v>5</v>
      </c>
      <c r="N95" s="49" t="n">
        <v>5</v>
      </c>
      <c r="O95" s="49" t="n">
        <v>5</v>
      </c>
      <c r="P95" s="49" t="n">
        <v>5</v>
      </c>
      <c r="Q95" s="49" t="n">
        <v>5</v>
      </c>
      <c r="R95" s="49" t="n">
        <v>5</v>
      </c>
      <c r="S95" s="50" t="n">
        <v>1</v>
      </c>
      <c r="T95" s="50" t="n">
        <v>30</v>
      </c>
      <c r="U95" s="50" t="n">
        <v>24737</v>
      </c>
      <c r="V95" s="51" t="n">
        <v>3</v>
      </c>
      <c r="W95" s="51" t="n">
        <v>2</v>
      </c>
      <c r="X95" s="51" t="n">
        <v>2</v>
      </c>
      <c r="Y95" s="51" t="n">
        <v>2</v>
      </c>
      <c r="Z95" s="3" t="str">
        <f aca="false">VLOOKUP(A95,'Data Prep'!$A$5:$B$44,2,FALSE())</f>
        <v>Subway</v>
      </c>
      <c r="AA95" s="4" t="n">
        <f aca="false">COUNTBLANK(A95:Y95)</f>
        <v>0</v>
      </c>
    </row>
    <row r="96" customFormat="false" ht="12.75" hidden="false" customHeight="true" outlineLevel="0" collapsed="false">
      <c r="A96" s="45" t="s">
        <v>41</v>
      </c>
      <c r="B96" s="46" t="n">
        <v>0</v>
      </c>
      <c r="C96" s="46" t="n">
        <v>0</v>
      </c>
      <c r="D96" s="46" t="n">
        <v>1</v>
      </c>
      <c r="E96" s="46" t="n">
        <v>0</v>
      </c>
      <c r="F96" s="47" t="n">
        <v>0</v>
      </c>
      <c r="G96" s="48" t="n">
        <v>4</v>
      </c>
      <c r="H96" s="48" t="n">
        <v>4</v>
      </c>
      <c r="I96" s="48" t="n">
        <v>5</v>
      </c>
      <c r="J96" s="48" t="n">
        <v>4</v>
      </c>
      <c r="K96" s="48" t="n">
        <v>5</v>
      </c>
      <c r="L96" s="48" t="n">
        <v>4</v>
      </c>
      <c r="M96" s="49" t="n">
        <v>3</v>
      </c>
      <c r="N96" s="49" t="n">
        <v>4</v>
      </c>
      <c r="O96" s="49" t="n">
        <v>2</v>
      </c>
      <c r="P96" s="49" t="n">
        <v>4</v>
      </c>
      <c r="Q96" s="49" t="n">
        <v>4</v>
      </c>
      <c r="R96" s="49" t="n">
        <v>3</v>
      </c>
      <c r="S96" s="50" t="n">
        <v>0</v>
      </c>
      <c r="T96" s="50" t="n">
        <v>31</v>
      </c>
      <c r="U96" s="50" t="n">
        <v>27458</v>
      </c>
      <c r="V96" s="51" t="n">
        <v>2</v>
      </c>
      <c r="W96" s="51" t="n">
        <v>3</v>
      </c>
      <c r="X96" s="51" t="n">
        <v>2</v>
      </c>
      <c r="Y96" s="51" t="n">
        <v>2</v>
      </c>
      <c r="Z96" s="3" t="str">
        <f aca="false">VLOOKUP(A96,'Data Prep'!$A$5:$B$44,2,FALSE())</f>
        <v>Starbucks</v>
      </c>
      <c r="AA96" s="4" t="n">
        <f aca="false">COUNTBLANK(A96:Y96)</f>
        <v>0</v>
      </c>
    </row>
    <row r="97" customFormat="false" ht="12.75" hidden="false" customHeight="true" outlineLevel="0" collapsed="false">
      <c r="A97" s="45" t="s">
        <v>44</v>
      </c>
      <c r="B97" s="46" t="n">
        <v>1</v>
      </c>
      <c r="C97" s="46" t="n">
        <v>0</v>
      </c>
      <c r="D97" s="46" t="n">
        <v>0</v>
      </c>
      <c r="E97" s="46" t="n">
        <v>0</v>
      </c>
      <c r="F97" s="47" t="n">
        <v>0</v>
      </c>
      <c r="G97" s="48" t="n">
        <v>4</v>
      </c>
      <c r="H97" s="48" t="n">
        <v>4</v>
      </c>
      <c r="I97" s="48" t="n">
        <v>4</v>
      </c>
      <c r="J97" s="48" t="n">
        <v>5</v>
      </c>
      <c r="K97" s="48" t="n">
        <v>5</v>
      </c>
      <c r="L97" s="48" t="n">
        <v>4</v>
      </c>
      <c r="M97" s="49" t="n">
        <v>4</v>
      </c>
      <c r="N97" s="49" t="n">
        <v>5</v>
      </c>
      <c r="O97" s="49" t="n">
        <v>4</v>
      </c>
      <c r="P97" s="49" t="n">
        <v>5</v>
      </c>
      <c r="Q97" s="49" t="n">
        <v>5</v>
      </c>
      <c r="R97" s="49" t="n">
        <v>5</v>
      </c>
      <c r="S97" s="50" t="n">
        <v>0</v>
      </c>
      <c r="T97" s="50" t="n">
        <v>33</v>
      </c>
      <c r="U97" s="50" t="n">
        <v>44358</v>
      </c>
      <c r="V97" s="51" t="n">
        <v>2</v>
      </c>
      <c r="W97" s="51" t="n">
        <v>2</v>
      </c>
      <c r="X97" s="51" t="n">
        <v>2</v>
      </c>
      <c r="Y97" s="51" t="n">
        <v>2</v>
      </c>
      <c r="Z97" s="3" t="str">
        <f aca="false">VLOOKUP(A97,'Data Prep'!$A$5:$B$44,2,FALSE())</f>
        <v>The Market</v>
      </c>
      <c r="AA97" s="4" t="n">
        <f aca="false">COUNTBLANK(A97:Y97)</f>
        <v>0</v>
      </c>
    </row>
    <row r="98" customFormat="false" ht="12.75" hidden="false" customHeight="true" outlineLevel="0" collapsed="false">
      <c r="A98" s="45" t="s">
        <v>31</v>
      </c>
      <c r="B98" s="46" t="n">
        <v>1</v>
      </c>
      <c r="C98" s="46" t="n">
        <v>0</v>
      </c>
      <c r="D98" s="46" t="n">
        <v>0</v>
      </c>
      <c r="E98" s="46" t="n">
        <v>0</v>
      </c>
      <c r="F98" s="47" t="n">
        <v>0</v>
      </c>
      <c r="G98" s="48" t="n">
        <v>5</v>
      </c>
      <c r="H98" s="48" t="n">
        <v>4</v>
      </c>
      <c r="I98" s="48" t="n">
        <v>5</v>
      </c>
      <c r="J98" s="48" t="n">
        <v>5</v>
      </c>
      <c r="K98" s="48" t="n">
        <v>5</v>
      </c>
      <c r="L98" s="48" t="n">
        <v>4</v>
      </c>
      <c r="M98" s="49" t="n">
        <v>4</v>
      </c>
      <c r="N98" s="49" t="n">
        <v>3</v>
      </c>
      <c r="O98" s="49" t="n">
        <v>4</v>
      </c>
      <c r="P98" s="49" t="n">
        <v>4</v>
      </c>
      <c r="Q98" s="49" t="n">
        <v>4</v>
      </c>
      <c r="R98" s="49" t="n">
        <v>3</v>
      </c>
      <c r="S98" s="50" t="n">
        <v>0</v>
      </c>
      <c r="T98" s="50" t="n">
        <v>38</v>
      </c>
      <c r="U98" s="50" t="n">
        <v>24582</v>
      </c>
      <c r="V98" s="51" t="n">
        <v>2</v>
      </c>
      <c r="W98" s="51" t="n">
        <v>3</v>
      </c>
      <c r="X98" s="51" t="n">
        <v>2</v>
      </c>
      <c r="Y98" s="51" t="n">
        <v>2</v>
      </c>
      <c r="Z98" s="3" t="str">
        <f aca="false">VLOOKUP(A98,'Data Prep'!$A$5:$B$44,2,FALSE())</f>
        <v>El Pollo Loco</v>
      </c>
      <c r="AA98" s="4" t="n">
        <f aca="false">COUNTBLANK(A98:Y98)</f>
        <v>0</v>
      </c>
    </row>
    <row r="99" customFormat="false" ht="12.75" hidden="false" customHeight="true" outlineLevel="0" collapsed="false">
      <c r="A99" s="45" t="s">
        <v>27</v>
      </c>
      <c r="B99" s="46" t="n">
        <v>0</v>
      </c>
      <c r="C99" s="46" t="n">
        <v>0</v>
      </c>
      <c r="D99" s="46" t="n">
        <v>0</v>
      </c>
      <c r="E99" s="46" t="n">
        <v>0</v>
      </c>
      <c r="F99" s="47" t="n">
        <v>0</v>
      </c>
      <c r="G99" s="48" t="n">
        <v>4</v>
      </c>
      <c r="H99" s="48" t="n">
        <v>4</v>
      </c>
      <c r="I99" s="48" t="n">
        <v>5</v>
      </c>
      <c r="J99" s="48" t="n">
        <v>5</v>
      </c>
      <c r="K99" s="48" t="n">
        <v>5</v>
      </c>
      <c r="L99" s="48" t="n">
        <v>4</v>
      </c>
      <c r="M99" s="49" t="n">
        <v>4</v>
      </c>
      <c r="N99" s="49" t="n">
        <v>5</v>
      </c>
      <c r="O99" s="49" t="n">
        <v>4</v>
      </c>
      <c r="P99" s="49" t="n">
        <v>5</v>
      </c>
      <c r="Q99" s="49" t="n">
        <v>5</v>
      </c>
      <c r="R99" s="49" t="n">
        <v>4</v>
      </c>
      <c r="S99" s="50" t="n">
        <v>1</v>
      </c>
      <c r="T99" s="50" t="n">
        <v>34</v>
      </c>
      <c r="U99" s="50" t="n">
        <v>39134</v>
      </c>
      <c r="V99" s="51" t="n">
        <v>1</v>
      </c>
      <c r="W99" s="51" t="n">
        <v>4</v>
      </c>
      <c r="X99" s="51" t="n">
        <v>1</v>
      </c>
      <c r="Y99" s="51" t="n">
        <v>1</v>
      </c>
      <c r="Z99" s="3" t="str">
        <f aca="false">VLOOKUP(A99,'Data Prep'!$A$5:$B$44,2,FALSE())</f>
        <v>Arbys</v>
      </c>
      <c r="AA99" s="4" t="n">
        <f aca="false">COUNTBLANK(A99:Y99)</f>
        <v>0</v>
      </c>
    </row>
    <row r="100" customFormat="false" ht="12.75" hidden="false" customHeight="true" outlineLevel="0" collapsed="false">
      <c r="A100" s="45" t="s">
        <v>31</v>
      </c>
      <c r="B100" s="46" t="n">
        <v>1</v>
      </c>
      <c r="C100" s="46" t="n">
        <v>0</v>
      </c>
      <c r="D100" s="46" t="n">
        <v>0</v>
      </c>
      <c r="E100" s="46" t="n">
        <v>0</v>
      </c>
      <c r="F100" s="47" t="n">
        <v>1</v>
      </c>
      <c r="G100" s="48" t="n">
        <v>4</v>
      </c>
      <c r="H100" s="48" t="n">
        <v>4</v>
      </c>
      <c r="I100" s="48" t="n">
        <v>5</v>
      </c>
      <c r="J100" s="48" t="n">
        <v>4</v>
      </c>
      <c r="K100" s="48" t="n">
        <v>5</v>
      </c>
      <c r="L100" s="48" t="n">
        <v>3</v>
      </c>
      <c r="M100" s="49" t="n">
        <v>4</v>
      </c>
      <c r="N100" s="49" t="n">
        <v>4</v>
      </c>
      <c r="O100" s="49" t="n">
        <v>2</v>
      </c>
      <c r="P100" s="49" t="n">
        <v>5</v>
      </c>
      <c r="Q100" s="49" t="n">
        <v>5</v>
      </c>
      <c r="R100" s="49" t="n">
        <v>3</v>
      </c>
      <c r="S100" s="50" t="n">
        <v>1</v>
      </c>
      <c r="T100" s="50" t="n">
        <v>45</v>
      </c>
      <c r="U100" s="50" t="n">
        <v>11601</v>
      </c>
      <c r="V100" s="51" t="n">
        <v>2</v>
      </c>
      <c r="W100" s="51" t="n">
        <v>3</v>
      </c>
      <c r="X100" s="51" t="n">
        <v>2</v>
      </c>
      <c r="Y100" s="51" t="n">
        <v>2</v>
      </c>
      <c r="Z100" s="3" t="str">
        <f aca="false">VLOOKUP(A100,'Data Prep'!$A$5:$B$44,2,FALSE())</f>
        <v>El Pollo Loco</v>
      </c>
      <c r="AA100" s="4" t="n">
        <f aca="false">COUNTBLANK(A100:Y100)</f>
        <v>0</v>
      </c>
    </row>
    <row r="101" customFormat="false" ht="12.75" hidden="false" customHeight="true" outlineLevel="0" collapsed="false">
      <c r="A101" s="45" t="s">
        <v>40</v>
      </c>
      <c r="B101" s="46" t="n">
        <v>1</v>
      </c>
      <c r="C101" s="46" t="n">
        <v>0</v>
      </c>
      <c r="D101" s="46" t="n">
        <v>0</v>
      </c>
      <c r="E101" s="46" t="n">
        <v>0</v>
      </c>
      <c r="F101" s="47" t="n">
        <v>1</v>
      </c>
      <c r="G101" s="48" t="n">
        <v>4</v>
      </c>
      <c r="H101" s="48" t="n">
        <v>5</v>
      </c>
      <c r="I101" s="48" t="n">
        <v>5</v>
      </c>
      <c r="J101" s="48" t="n">
        <v>4</v>
      </c>
      <c r="K101" s="48" t="n">
        <v>5</v>
      </c>
      <c r="L101" s="48" t="n">
        <v>3</v>
      </c>
      <c r="M101" s="49" t="n">
        <v>3</v>
      </c>
      <c r="N101" s="49" t="n">
        <v>4</v>
      </c>
      <c r="O101" s="49" t="n">
        <v>2</v>
      </c>
      <c r="P101" s="49" t="n">
        <v>5</v>
      </c>
      <c r="Q101" s="49" t="n">
        <v>5</v>
      </c>
      <c r="R101" s="49" t="n">
        <v>4</v>
      </c>
      <c r="S101" s="50" t="n">
        <v>1</v>
      </c>
      <c r="T101" s="50" t="n">
        <v>39</v>
      </c>
      <c r="U101" s="50" t="n">
        <v>45758</v>
      </c>
      <c r="V101" s="51" t="n">
        <v>2</v>
      </c>
      <c r="W101" s="51" t="n">
        <v>3</v>
      </c>
      <c r="X101" s="51" t="n">
        <v>2</v>
      </c>
      <c r="Y101" s="51" t="n">
        <v>2</v>
      </c>
      <c r="Z101" s="3" t="str">
        <f aca="false">VLOOKUP(A101,'Data Prep'!$A$5:$B$44,2,FALSE())</f>
        <v>Pizza Hut</v>
      </c>
      <c r="AA101" s="4" t="n">
        <f aca="false">COUNTBLANK(A101:Y101)</f>
        <v>0</v>
      </c>
    </row>
    <row r="102" customFormat="false" ht="12.75" hidden="false" customHeight="true" outlineLevel="0" collapsed="false">
      <c r="A102" s="45" t="s">
        <v>31</v>
      </c>
      <c r="B102" s="46" t="n">
        <v>0</v>
      </c>
      <c r="C102" s="46" t="n">
        <v>0</v>
      </c>
      <c r="D102" s="46" t="n">
        <v>1</v>
      </c>
      <c r="E102" s="46" t="n">
        <v>0</v>
      </c>
      <c r="F102" s="47" t="n">
        <v>0</v>
      </c>
      <c r="G102" s="48" t="n">
        <v>5</v>
      </c>
      <c r="H102" s="48" t="n">
        <v>5</v>
      </c>
      <c r="I102" s="48" t="n">
        <v>5</v>
      </c>
      <c r="J102" s="48" t="n">
        <v>5</v>
      </c>
      <c r="K102" s="48" t="n">
        <v>5</v>
      </c>
      <c r="L102" s="48" t="n">
        <v>4</v>
      </c>
      <c r="M102" s="49" t="n">
        <v>4</v>
      </c>
      <c r="N102" s="49" t="n">
        <v>5</v>
      </c>
      <c r="O102" s="49" t="n">
        <v>4</v>
      </c>
      <c r="P102" s="49" t="n">
        <v>5</v>
      </c>
      <c r="Q102" s="49" t="n">
        <v>5</v>
      </c>
      <c r="R102" s="49" t="n">
        <v>4</v>
      </c>
      <c r="S102" s="50" t="n">
        <v>0</v>
      </c>
      <c r="T102" s="50" t="n">
        <v>33</v>
      </c>
      <c r="U102" s="50" t="n">
        <v>57942</v>
      </c>
      <c r="V102" s="51" t="n">
        <v>3</v>
      </c>
      <c r="W102" s="51" t="n">
        <v>2</v>
      </c>
      <c r="X102" s="51" t="n">
        <v>2</v>
      </c>
      <c r="Y102" s="51" t="n">
        <v>2</v>
      </c>
      <c r="Z102" s="3" t="str">
        <f aca="false">VLOOKUP(A102,'Data Prep'!$A$5:$B$44,2,FALSE())</f>
        <v>El Pollo Loco</v>
      </c>
      <c r="AA102" s="4" t="n">
        <f aca="false">COUNTBLANK(A102:Y102)</f>
        <v>0</v>
      </c>
    </row>
    <row r="103" customFormat="false" ht="12.75" hidden="false" customHeight="true" outlineLevel="0" collapsed="false">
      <c r="A103" s="45" t="s">
        <v>180</v>
      </c>
      <c r="B103" s="46" t="n">
        <v>0</v>
      </c>
      <c r="C103" s="46" t="n">
        <v>0</v>
      </c>
      <c r="D103" s="46" t="n">
        <v>1</v>
      </c>
      <c r="E103" s="46" t="n">
        <v>0</v>
      </c>
      <c r="F103" s="47" t="n">
        <v>0</v>
      </c>
      <c r="G103" s="48" t="n">
        <v>4</v>
      </c>
      <c r="H103" s="48" t="n">
        <v>4</v>
      </c>
      <c r="I103" s="48" t="n">
        <v>5</v>
      </c>
      <c r="J103" s="48" t="n">
        <v>5</v>
      </c>
      <c r="K103" s="48" t="n">
        <v>4</v>
      </c>
      <c r="L103" s="48" t="n">
        <v>4</v>
      </c>
      <c r="M103" s="49" t="n">
        <v>4</v>
      </c>
      <c r="N103" s="49" t="n">
        <v>4</v>
      </c>
      <c r="O103" s="49" t="n">
        <v>3</v>
      </c>
      <c r="P103" s="49" t="n">
        <v>5</v>
      </c>
      <c r="Q103" s="49" t="n">
        <v>5</v>
      </c>
      <c r="R103" s="49" t="n">
        <v>5</v>
      </c>
      <c r="S103" s="50" t="n">
        <v>0</v>
      </c>
      <c r="T103" s="50" t="n">
        <v>29</v>
      </c>
      <c r="U103" s="50" t="n">
        <v>24323</v>
      </c>
      <c r="V103" s="51" t="n">
        <v>1</v>
      </c>
      <c r="W103" s="51" t="n">
        <v>4</v>
      </c>
      <c r="X103" s="51" t="n">
        <v>2</v>
      </c>
      <c r="Y103" s="51" t="n">
        <v>1</v>
      </c>
      <c r="Z103" s="3" t="str">
        <f aca="false">VLOOKUP(A103,'Data Prep'!$A$5:$B$44,2,FALSE())</f>
        <v>Panera Bread</v>
      </c>
      <c r="AA103" s="4" t="n">
        <f aca="false">COUNTBLANK(A103:Y103)</f>
        <v>0</v>
      </c>
    </row>
    <row r="104" customFormat="false" ht="12.75" hidden="false" customHeight="true" outlineLevel="0" collapsed="false">
      <c r="A104" s="45" t="s">
        <v>170</v>
      </c>
      <c r="B104" s="46" t="n">
        <v>0</v>
      </c>
      <c r="C104" s="46" t="n">
        <v>0</v>
      </c>
      <c r="D104" s="46" t="n">
        <v>1</v>
      </c>
      <c r="E104" s="46" t="n">
        <v>0</v>
      </c>
      <c r="F104" s="47" t="n">
        <v>0</v>
      </c>
      <c r="G104" s="48" t="n">
        <v>3</v>
      </c>
      <c r="H104" s="48" t="n">
        <v>4</v>
      </c>
      <c r="I104" s="48" t="n">
        <v>4</v>
      </c>
      <c r="J104" s="48" t="n">
        <v>4</v>
      </c>
      <c r="K104" s="48" t="n">
        <v>5</v>
      </c>
      <c r="L104" s="48" t="n">
        <v>3</v>
      </c>
      <c r="M104" s="49" t="n">
        <v>3</v>
      </c>
      <c r="N104" s="49" t="n">
        <v>4</v>
      </c>
      <c r="O104" s="49" t="n">
        <v>2</v>
      </c>
      <c r="P104" s="49" t="n">
        <v>4</v>
      </c>
      <c r="Q104" s="49" t="n">
        <v>4</v>
      </c>
      <c r="R104" s="49" t="n">
        <v>3</v>
      </c>
      <c r="S104" s="50" t="n">
        <v>0</v>
      </c>
      <c r="T104" s="50" t="n">
        <v>45</v>
      </c>
      <c r="U104" s="50" t="n">
        <v>89076</v>
      </c>
      <c r="V104" s="51" t="n">
        <v>2</v>
      </c>
      <c r="W104" s="51" t="n">
        <v>4</v>
      </c>
      <c r="X104" s="51" t="n">
        <v>1</v>
      </c>
      <c r="Y104" s="51" t="n">
        <v>2</v>
      </c>
      <c r="Z104" s="3" t="str">
        <f aca="false">VLOOKUP(A104,'Data Prep'!$A$5:$B$44,2,FALSE())</f>
        <v>Jasons Deli</v>
      </c>
      <c r="AA104" s="4" t="n">
        <f aca="false">COUNTBLANK(A104:Y104)</f>
        <v>0</v>
      </c>
    </row>
    <row r="105" customFormat="false" ht="12.75" hidden="false" customHeight="true" outlineLevel="0" collapsed="false">
      <c r="A105" s="45" t="s">
        <v>31</v>
      </c>
      <c r="B105" s="46" t="n">
        <v>0</v>
      </c>
      <c r="C105" s="46" t="n">
        <v>0</v>
      </c>
      <c r="D105" s="46" t="n">
        <v>1</v>
      </c>
      <c r="E105" s="46" t="n">
        <v>0</v>
      </c>
      <c r="F105" s="47" t="n">
        <v>0</v>
      </c>
      <c r="G105" s="48" t="n">
        <v>3</v>
      </c>
      <c r="H105" s="48" t="n">
        <v>3</v>
      </c>
      <c r="I105" s="48" t="n">
        <v>5</v>
      </c>
      <c r="J105" s="48" t="n">
        <v>3</v>
      </c>
      <c r="K105" s="48" t="n">
        <v>5</v>
      </c>
      <c r="L105" s="48" t="n">
        <v>5</v>
      </c>
      <c r="M105" s="49" t="n">
        <v>3</v>
      </c>
      <c r="N105" s="49" t="n">
        <v>2</v>
      </c>
      <c r="O105" s="49" t="n">
        <v>4</v>
      </c>
      <c r="P105" s="49" t="n">
        <v>5</v>
      </c>
      <c r="Q105" s="49" t="n">
        <v>4</v>
      </c>
      <c r="R105" s="49" t="n">
        <v>2</v>
      </c>
      <c r="S105" s="50" t="n">
        <v>0</v>
      </c>
      <c r="T105" s="50" t="n">
        <v>33</v>
      </c>
      <c r="U105" s="50" t="n">
        <v>87381</v>
      </c>
      <c r="V105" s="51" t="n">
        <v>2</v>
      </c>
      <c r="W105" s="51" t="n">
        <v>3</v>
      </c>
      <c r="X105" s="51" t="n">
        <v>2</v>
      </c>
      <c r="Y105" s="51" t="n">
        <v>3</v>
      </c>
      <c r="Z105" s="3" t="str">
        <f aca="false">VLOOKUP(A105,'Data Prep'!$A$5:$B$44,2,FALSE())</f>
        <v>El Pollo Loco</v>
      </c>
      <c r="AA105" s="4" t="n">
        <f aca="false">COUNTBLANK(A105:Y105)</f>
        <v>0</v>
      </c>
    </row>
    <row r="106" customFormat="false" ht="12.75" hidden="false" customHeight="true" outlineLevel="0" collapsed="false">
      <c r="A106" s="45" t="s">
        <v>163</v>
      </c>
      <c r="B106" s="46" t="n">
        <v>1</v>
      </c>
      <c r="C106" s="46" t="n">
        <v>0</v>
      </c>
      <c r="D106" s="46" t="n">
        <v>0</v>
      </c>
      <c r="E106" s="46" t="n">
        <v>0</v>
      </c>
      <c r="F106" s="47" t="n">
        <v>0</v>
      </c>
      <c r="G106" s="48" t="n">
        <v>4</v>
      </c>
      <c r="H106" s="48" t="n">
        <v>4</v>
      </c>
      <c r="I106" s="48" t="n">
        <v>5</v>
      </c>
      <c r="J106" s="48" t="n">
        <v>5</v>
      </c>
      <c r="K106" s="48" t="n">
        <v>5</v>
      </c>
      <c r="L106" s="48" t="n">
        <v>4</v>
      </c>
      <c r="M106" s="49" t="n">
        <v>5</v>
      </c>
      <c r="N106" s="49" t="n">
        <v>5</v>
      </c>
      <c r="O106" s="49" t="n">
        <v>3</v>
      </c>
      <c r="P106" s="49" t="n">
        <v>4</v>
      </c>
      <c r="Q106" s="49" t="n">
        <v>5</v>
      </c>
      <c r="R106" s="49" t="n">
        <v>3</v>
      </c>
      <c r="S106" s="50" t="n">
        <v>0</v>
      </c>
      <c r="T106" s="50" t="n">
        <v>36</v>
      </c>
      <c r="U106" s="50" t="n">
        <v>84261</v>
      </c>
      <c r="V106" s="51" t="n">
        <v>2</v>
      </c>
      <c r="W106" s="51" t="n">
        <v>2</v>
      </c>
      <c r="X106" s="51" t="n">
        <v>2</v>
      </c>
      <c r="Y106" s="51" t="n">
        <v>1</v>
      </c>
      <c r="Z106" s="3" t="str">
        <f aca="false">VLOOKUP(A106,'Data Prep'!$A$5:$B$44,2,FALSE())</f>
        <v>Chick-fil-A</v>
      </c>
      <c r="AA106" s="4" t="n">
        <f aca="false">COUNTBLANK(A106:Y106)</f>
        <v>0</v>
      </c>
    </row>
    <row r="107" customFormat="false" ht="12.75" hidden="false" customHeight="true" outlineLevel="0" collapsed="false">
      <c r="A107" s="45" t="s">
        <v>31</v>
      </c>
      <c r="B107" s="46" t="n">
        <v>0</v>
      </c>
      <c r="C107" s="46" t="n">
        <v>0</v>
      </c>
      <c r="D107" s="46" t="n">
        <v>1</v>
      </c>
      <c r="E107" s="46" t="n">
        <v>0</v>
      </c>
      <c r="F107" s="47" t="n">
        <v>0</v>
      </c>
      <c r="G107" s="48" t="n">
        <v>5</v>
      </c>
      <c r="H107" s="48" t="n">
        <v>4</v>
      </c>
      <c r="I107" s="48" t="n">
        <v>5</v>
      </c>
      <c r="J107" s="48" t="n">
        <v>5</v>
      </c>
      <c r="K107" s="48" t="n">
        <v>5</v>
      </c>
      <c r="L107" s="48" t="n">
        <v>5</v>
      </c>
      <c r="M107" s="49" t="n">
        <v>2</v>
      </c>
      <c r="N107" s="49" t="n">
        <v>4</v>
      </c>
      <c r="O107" s="49" t="n">
        <v>3</v>
      </c>
      <c r="P107" s="49" t="n">
        <v>5</v>
      </c>
      <c r="Q107" s="49" t="n">
        <v>5</v>
      </c>
      <c r="R107" s="49" t="n">
        <v>4</v>
      </c>
      <c r="S107" s="50" t="n">
        <v>0</v>
      </c>
      <c r="T107" s="50" t="n">
        <v>20</v>
      </c>
      <c r="U107" s="50" t="n">
        <v>40048</v>
      </c>
      <c r="V107" s="51" t="n">
        <v>2</v>
      </c>
      <c r="W107" s="51" t="n">
        <v>3</v>
      </c>
      <c r="X107" s="51" t="n">
        <v>1</v>
      </c>
      <c r="Y107" s="51" t="n">
        <v>2</v>
      </c>
      <c r="Z107" s="3" t="str">
        <f aca="false">VLOOKUP(A107,'Data Prep'!$A$5:$B$44,2,FALSE())</f>
        <v>El Pollo Loco</v>
      </c>
      <c r="AA107" s="4" t="n">
        <f aca="false">COUNTBLANK(A107:Y107)</f>
        <v>0</v>
      </c>
    </row>
    <row r="108" customFormat="false" ht="12.75" hidden="false" customHeight="true" outlineLevel="0" collapsed="false">
      <c r="A108" s="45" t="s">
        <v>159</v>
      </c>
      <c r="B108" s="46" t="n">
        <v>0</v>
      </c>
      <c r="C108" s="46" t="n">
        <v>1</v>
      </c>
      <c r="D108" s="46" t="n">
        <v>0</v>
      </c>
      <c r="E108" s="46" t="n">
        <v>0</v>
      </c>
      <c r="F108" s="47" t="n">
        <v>0</v>
      </c>
      <c r="G108" s="48" t="n">
        <v>4</v>
      </c>
      <c r="H108" s="48" t="n">
        <v>5</v>
      </c>
      <c r="I108" s="48" t="n">
        <v>5</v>
      </c>
      <c r="J108" s="48" t="n">
        <v>5</v>
      </c>
      <c r="K108" s="48" t="n">
        <v>5</v>
      </c>
      <c r="L108" s="48" t="n">
        <v>5</v>
      </c>
      <c r="M108" s="49" t="n">
        <v>3</v>
      </c>
      <c r="N108" s="49" t="n">
        <v>4</v>
      </c>
      <c r="O108" s="49" t="n">
        <v>4</v>
      </c>
      <c r="P108" s="49" t="n">
        <v>5</v>
      </c>
      <c r="Q108" s="49" t="n">
        <v>3</v>
      </c>
      <c r="R108" s="49" t="n">
        <v>3</v>
      </c>
      <c r="S108" s="50" t="n">
        <v>0</v>
      </c>
      <c r="T108" s="50" t="n">
        <v>45</v>
      </c>
      <c r="U108" s="50" t="n">
        <v>30362</v>
      </c>
      <c r="V108" s="51" t="n">
        <v>2</v>
      </c>
      <c r="W108" s="51" t="n">
        <v>2</v>
      </c>
      <c r="X108" s="51" t="n">
        <v>2</v>
      </c>
      <c r="Y108" s="51" t="n">
        <v>2</v>
      </c>
      <c r="Z108" s="3" t="str">
        <f aca="false">VLOOKUP(A108,'Data Prep'!$A$5:$B$44,2,FALSE())</f>
        <v>Burger King</v>
      </c>
      <c r="AA108" s="4" t="n">
        <f aca="false">COUNTBLANK(A108:Y108)</f>
        <v>0</v>
      </c>
    </row>
    <row r="109" customFormat="false" ht="12.75" hidden="false" customHeight="true" outlineLevel="0" collapsed="false">
      <c r="A109" s="45" t="s">
        <v>31</v>
      </c>
      <c r="B109" s="46" t="n">
        <v>0</v>
      </c>
      <c r="C109" s="46" t="n">
        <v>0</v>
      </c>
      <c r="D109" s="46" t="n">
        <v>1</v>
      </c>
      <c r="E109" s="46" t="n">
        <v>0</v>
      </c>
      <c r="F109" s="47" t="n">
        <v>0</v>
      </c>
      <c r="G109" s="48" t="n">
        <v>4</v>
      </c>
      <c r="H109" s="48" t="n">
        <v>5</v>
      </c>
      <c r="I109" s="48" t="n">
        <v>5</v>
      </c>
      <c r="J109" s="48" t="n">
        <v>4</v>
      </c>
      <c r="K109" s="48" t="n">
        <v>5</v>
      </c>
      <c r="L109" s="48" t="n">
        <v>4</v>
      </c>
      <c r="M109" s="49" t="n">
        <v>4</v>
      </c>
      <c r="N109" s="49" t="n">
        <v>2</v>
      </c>
      <c r="O109" s="49" t="n">
        <v>5</v>
      </c>
      <c r="P109" s="49" t="n">
        <v>5</v>
      </c>
      <c r="Q109" s="49" t="n">
        <v>2</v>
      </c>
      <c r="R109" s="49" t="n">
        <v>3</v>
      </c>
      <c r="S109" s="50" t="n">
        <v>1</v>
      </c>
      <c r="T109" s="50" t="n">
        <v>49</v>
      </c>
      <c r="U109" s="50" t="n">
        <v>40104</v>
      </c>
      <c r="V109" s="51" t="n">
        <v>2</v>
      </c>
      <c r="W109" s="51" t="n">
        <v>2</v>
      </c>
      <c r="X109" s="51" t="n">
        <v>1</v>
      </c>
      <c r="Y109" s="51" t="n">
        <v>2</v>
      </c>
      <c r="Z109" s="3" t="str">
        <f aca="false">VLOOKUP(A109,'Data Prep'!$A$5:$B$44,2,FALSE())</f>
        <v>El Pollo Loco</v>
      </c>
      <c r="AA109" s="4" t="n">
        <f aca="false">COUNTBLANK(A109:Y109)</f>
        <v>0</v>
      </c>
    </row>
    <row r="110" customFormat="false" ht="12.75" hidden="false" customHeight="true" outlineLevel="0" collapsed="false">
      <c r="A110" s="45" t="s">
        <v>31</v>
      </c>
      <c r="B110" s="46" t="n">
        <v>1</v>
      </c>
      <c r="C110" s="46" t="n">
        <v>0</v>
      </c>
      <c r="D110" s="46" t="n">
        <v>0</v>
      </c>
      <c r="E110" s="46" t="n">
        <v>0</v>
      </c>
      <c r="F110" s="47" t="n">
        <v>0</v>
      </c>
      <c r="G110" s="48" t="n">
        <v>4</v>
      </c>
      <c r="H110" s="48" t="n">
        <v>3</v>
      </c>
      <c r="I110" s="48" t="n">
        <v>3</v>
      </c>
      <c r="J110" s="48" t="n">
        <v>4</v>
      </c>
      <c r="K110" s="48" t="n">
        <v>5</v>
      </c>
      <c r="L110" s="48" t="n">
        <v>5</v>
      </c>
      <c r="M110" s="49" t="n">
        <v>4</v>
      </c>
      <c r="N110" s="49" t="n">
        <v>3</v>
      </c>
      <c r="O110" s="49" t="n">
        <v>3</v>
      </c>
      <c r="P110" s="49" t="n">
        <v>5</v>
      </c>
      <c r="Q110" s="49" t="n">
        <v>3</v>
      </c>
      <c r="R110" s="49" t="n">
        <v>2</v>
      </c>
      <c r="S110" s="50" t="n">
        <v>0</v>
      </c>
      <c r="T110" s="50" t="n">
        <v>55</v>
      </c>
      <c r="U110" s="50" t="n">
        <v>52712</v>
      </c>
      <c r="V110" s="51" t="n">
        <v>3</v>
      </c>
      <c r="W110" s="51" t="n">
        <v>4</v>
      </c>
      <c r="X110" s="51" t="n">
        <v>1</v>
      </c>
      <c r="Y110" s="51" t="n">
        <v>2</v>
      </c>
      <c r="Z110" s="3" t="str">
        <f aca="false">VLOOKUP(A110,'Data Prep'!$A$5:$B$44,2,FALSE())</f>
        <v>El Pollo Loco</v>
      </c>
      <c r="AA110" s="4" t="n">
        <f aca="false">COUNTBLANK(A110:Y110)</f>
        <v>0</v>
      </c>
    </row>
    <row r="111" customFormat="false" ht="12.75" hidden="false" customHeight="true" outlineLevel="0" collapsed="false">
      <c r="A111" s="45" t="s">
        <v>42</v>
      </c>
      <c r="B111" s="46" t="n">
        <v>0</v>
      </c>
      <c r="C111" s="46" t="n">
        <v>1</v>
      </c>
      <c r="D111" s="46" t="n">
        <v>0</v>
      </c>
      <c r="E111" s="46" t="n">
        <v>0</v>
      </c>
      <c r="F111" s="47" t="n">
        <v>0</v>
      </c>
      <c r="G111" s="48" t="n">
        <v>5</v>
      </c>
      <c r="H111" s="48" t="n">
        <v>5</v>
      </c>
      <c r="I111" s="48" t="n">
        <v>5</v>
      </c>
      <c r="J111" s="48" t="n">
        <v>4</v>
      </c>
      <c r="K111" s="48" t="n">
        <v>5</v>
      </c>
      <c r="L111" s="48" t="n">
        <v>5</v>
      </c>
      <c r="M111" s="49" t="n">
        <v>4</v>
      </c>
      <c r="N111" s="49" t="n">
        <v>3</v>
      </c>
      <c r="O111" s="49" t="n">
        <v>3</v>
      </c>
      <c r="P111" s="49" t="n">
        <v>4</v>
      </c>
      <c r="Q111" s="49" t="n">
        <v>3</v>
      </c>
      <c r="R111" s="49" t="n">
        <v>4</v>
      </c>
      <c r="S111" s="50" t="n">
        <v>0</v>
      </c>
      <c r="T111" s="50" t="n">
        <v>29</v>
      </c>
      <c r="U111" s="50" t="n">
        <v>20196</v>
      </c>
      <c r="V111" s="51" t="n">
        <v>2</v>
      </c>
      <c r="W111" s="51" t="n">
        <v>2</v>
      </c>
      <c r="X111" s="51" t="n">
        <v>2</v>
      </c>
      <c r="Y111" s="51" t="n">
        <v>3</v>
      </c>
      <c r="Z111" s="3" t="str">
        <f aca="false">VLOOKUP(A111,'Data Prep'!$A$5:$B$44,2,FALSE())</f>
        <v>Subway</v>
      </c>
      <c r="AA111" s="4" t="n">
        <f aca="false">COUNTBLANK(A111:Y111)</f>
        <v>0</v>
      </c>
    </row>
    <row r="112" customFormat="false" ht="12.75" hidden="false" customHeight="true" outlineLevel="0" collapsed="false">
      <c r="A112" s="45" t="s">
        <v>31</v>
      </c>
      <c r="B112" s="46" t="n">
        <v>1</v>
      </c>
      <c r="C112" s="46" t="n">
        <v>0</v>
      </c>
      <c r="D112" s="46" t="n">
        <v>0</v>
      </c>
      <c r="E112" s="46" t="n">
        <v>0</v>
      </c>
      <c r="F112" s="47" t="n">
        <v>0</v>
      </c>
      <c r="G112" s="48" t="n">
        <v>5</v>
      </c>
      <c r="H112" s="48" t="n">
        <v>5</v>
      </c>
      <c r="I112" s="48" t="n">
        <v>5</v>
      </c>
      <c r="J112" s="48" t="n">
        <v>4</v>
      </c>
      <c r="K112" s="48" t="n">
        <v>5</v>
      </c>
      <c r="L112" s="48" t="n">
        <v>4</v>
      </c>
      <c r="M112" s="49" t="n">
        <v>5</v>
      </c>
      <c r="N112" s="49" t="n">
        <v>3</v>
      </c>
      <c r="O112" s="49" t="n">
        <v>5</v>
      </c>
      <c r="P112" s="49" t="n">
        <v>5</v>
      </c>
      <c r="Q112" s="49" t="n">
        <v>5</v>
      </c>
      <c r="R112" s="49" t="n">
        <v>5</v>
      </c>
      <c r="S112" s="50" t="n">
        <v>1</v>
      </c>
      <c r="T112" s="50" t="n">
        <v>45</v>
      </c>
      <c r="U112" s="50" t="n">
        <v>23515</v>
      </c>
      <c r="V112" s="51" t="n">
        <v>2</v>
      </c>
      <c r="W112" s="51" t="n">
        <v>3</v>
      </c>
      <c r="X112" s="51" t="n">
        <v>3</v>
      </c>
      <c r="Y112" s="51" t="n">
        <v>3</v>
      </c>
      <c r="Z112" s="3" t="str">
        <f aca="false">VLOOKUP(A112,'Data Prep'!$A$5:$B$44,2,FALSE())</f>
        <v>El Pollo Loco</v>
      </c>
      <c r="AA112" s="4" t="n">
        <f aca="false">COUNTBLANK(A112:Y112)</f>
        <v>0</v>
      </c>
    </row>
    <row r="113" customFormat="false" ht="12.75" hidden="false" customHeight="true" outlineLevel="0" collapsed="false">
      <c r="A113" s="45" t="s">
        <v>34</v>
      </c>
      <c r="B113" s="46" t="n">
        <v>1</v>
      </c>
      <c r="C113" s="46" t="n">
        <v>0</v>
      </c>
      <c r="D113" s="46" t="n">
        <v>0</v>
      </c>
      <c r="E113" s="46" t="n">
        <v>0</v>
      </c>
      <c r="F113" s="47" t="n">
        <v>0</v>
      </c>
      <c r="G113" s="48" t="n">
        <v>5</v>
      </c>
      <c r="H113" s="48" t="n">
        <v>5</v>
      </c>
      <c r="I113" s="48" t="n">
        <v>5</v>
      </c>
      <c r="J113" s="48" t="n">
        <v>5</v>
      </c>
      <c r="K113" s="48" t="n">
        <v>5</v>
      </c>
      <c r="L113" s="48" t="n">
        <v>4</v>
      </c>
      <c r="M113" s="49" t="n">
        <v>5</v>
      </c>
      <c r="N113" s="49" t="n">
        <v>4</v>
      </c>
      <c r="O113" s="49" t="n">
        <v>5</v>
      </c>
      <c r="P113" s="49" t="n">
        <v>5</v>
      </c>
      <c r="Q113" s="49" t="n">
        <v>5</v>
      </c>
      <c r="R113" s="49" t="n">
        <v>3</v>
      </c>
      <c r="S113" s="50" t="n">
        <v>1</v>
      </c>
      <c r="T113" s="50" t="n">
        <v>33</v>
      </c>
      <c r="U113" s="50" t="n">
        <v>28285</v>
      </c>
      <c r="V113" s="51" t="n">
        <v>3</v>
      </c>
      <c r="W113" s="51" t="n">
        <v>2</v>
      </c>
      <c r="X113" s="51" t="n">
        <v>2</v>
      </c>
      <c r="Y113" s="51" t="n">
        <v>3</v>
      </c>
      <c r="Z113" s="3" t="str">
        <f aca="false">VLOOKUP(A113,'Data Prep'!$A$5:$B$44,2,FALSE())</f>
        <v>Jasons Deli</v>
      </c>
      <c r="AA113" s="4" t="n">
        <f aca="false">COUNTBLANK(A113:Y113)</f>
        <v>0</v>
      </c>
    </row>
    <row r="114" customFormat="false" ht="12.75" hidden="false" customHeight="true" outlineLevel="0" collapsed="false">
      <c r="A114" s="45" t="s">
        <v>42</v>
      </c>
      <c r="B114" s="46" t="n">
        <v>0</v>
      </c>
      <c r="C114" s="46" t="n">
        <v>1</v>
      </c>
      <c r="D114" s="46" t="n">
        <v>0</v>
      </c>
      <c r="E114" s="46" t="n">
        <v>0</v>
      </c>
      <c r="F114" s="47" t="n">
        <v>2</v>
      </c>
      <c r="G114" s="48" t="n">
        <v>4</v>
      </c>
      <c r="H114" s="48" t="n">
        <v>4</v>
      </c>
      <c r="I114" s="48" t="n">
        <v>4</v>
      </c>
      <c r="J114" s="48" t="n">
        <v>4</v>
      </c>
      <c r="K114" s="48" t="n">
        <v>5</v>
      </c>
      <c r="L114" s="48" t="n">
        <v>4</v>
      </c>
      <c r="M114" s="49" t="n">
        <v>1</v>
      </c>
      <c r="N114" s="49" t="n">
        <v>4</v>
      </c>
      <c r="O114" s="49" t="n">
        <v>3</v>
      </c>
      <c r="P114" s="49" t="n">
        <v>5</v>
      </c>
      <c r="Q114" s="49" t="n">
        <v>5</v>
      </c>
      <c r="R114" s="49" t="n">
        <v>3</v>
      </c>
      <c r="S114" s="50" t="n">
        <v>0</v>
      </c>
      <c r="T114" s="50" t="n">
        <v>43</v>
      </c>
      <c r="U114" s="50" t="n">
        <v>76311</v>
      </c>
      <c r="V114" s="51" t="n">
        <v>2</v>
      </c>
      <c r="W114" s="51" t="n">
        <v>4</v>
      </c>
      <c r="X114" s="51" t="n">
        <v>2</v>
      </c>
      <c r="Y114" s="51" t="n">
        <v>2</v>
      </c>
      <c r="Z114" s="3" t="str">
        <f aca="false">VLOOKUP(A114,'Data Prep'!$A$5:$B$44,2,FALSE())</f>
        <v>Subway</v>
      </c>
      <c r="AA114" s="4" t="n">
        <f aca="false">COUNTBLANK(A114:Y114)</f>
        <v>0</v>
      </c>
    </row>
    <row r="115" customFormat="false" ht="12.75" hidden="false" customHeight="true" outlineLevel="0" collapsed="false">
      <c r="A115" s="45" t="s">
        <v>33</v>
      </c>
      <c r="B115" s="46" t="n">
        <v>0</v>
      </c>
      <c r="C115" s="46" t="n">
        <v>0</v>
      </c>
      <c r="D115" s="46" t="n">
        <v>1</v>
      </c>
      <c r="E115" s="46" t="n">
        <v>0</v>
      </c>
      <c r="F115" s="47" t="n">
        <v>0</v>
      </c>
      <c r="G115" s="48" t="n">
        <v>5</v>
      </c>
      <c r="H115" s="48"/>
      <c r="I115" s="48"/>
      <c r="J115" s="48" t="n">
        <v>5</v>
      </c>
      <c r="K115" s="48"/>
      <c r="L115" s="48" t="n">
        <v>5</v>
      </c>
      <c r="M115" s="49"/>
      <c r="N115" s="49"/>
      <c r="O115" s="49" t="n">
        <v>1</v>
      </c>
      <c r="P115" s="49"/>
      <c r="Q115" s="49" t="n">
        <v>5</v>
      </c>
      <c r="R115" s="49"/>
      <c r="S115" s="50" t="n">
        <v>1</v>
      </c>
      <c r="T115" s="50" t="n">
        <v>33</v>
      </c>
      <c r="U115" s="50" t="n">
        <v>42186</v>
      </c>
      <c r="V115" s="51" t="n">
        <v>1</v>
      </c>
      <c r="W115" s="51"/>
      <c r="X115" s="51"/>
      <c r="Y115" s="51"/>
      <c r="Z115" s="3" t="str">
        <f aca="false">VLOOKUP(A115,'Data Prep'!$A$5:$B$44,2,FALSE())</f>
        <v>In-n-out</v>
      </c>
      <c r="AA115" s="4" t="n">
        <f aca="false">COUNTBLANK(A115:Y115)</f>
        <v>10</v>
      </c>
    </row>
    <row r="116" customFormat="false" ht="12.75" hidden="false" customHeight="true" outlineLevel="0" collapsed="false">
      <c r="A116" s="45" t="s">
        <v>31</v>
      </c>
      <c r="B116" s="46" t="n">
        <v>1</v>
      </c>
      <c r="C116" s="46" t="n">
        <v>0</v>
      </c>
      <c r="D116" s="46" t="n">
        <v>0</v>
      </c>
      <c r="E116" s="46" t="n">
        <v>0</v>
      </c>
      <c r="F116" s="47" t="n">
        <v>0</v>
      </c>
      <c r="G116" s="48" t="n">
        <v>4</v>
      </c>
      <c r="H116" s="48" t="n">
        <v>4</v>
      </c>
      <c r="I116" s="48" t="n">
        <v>2</v>
      </c>
      <c r="J116" s="48" t="n">
        <v>4</v>
      </c>
      <c r="K116" s="48" t="n">
        <v>5</v>
      </c>
      <c r="L116" s="48" t="n">
        <v>4</v>
      </c>
      <c r="M116" s="49" t="n">
        <v>3</v>
      </c>
      <c r="N116" s="49" t="n">
        <v>4</v>
      </c>
      <c r="O116" s="49" t="n">
        <v>4</v>
      </c>
      <c r="P116" s="49" t="n">
        <v>5</v>
      </c>
      <c r="Q116" s="49" t="n">
        <v>4</v>
      </c>
      <c r="R116" s="49" t="n">
        <v>3</v>
      </c>
      <c r="S116" s="50" t="n">
        <v>0</v>
      </c>
      <c r="T116" s="50" t="n">
        <v>33</v>
      </c>
      <c r="U116" s="50" t="n">
        <v>71247</v>
      </c>
      <c r="V116" s="51" t="n">
        <v>2</v>
      </c>
      <c r="W116" s="51" t="n">
        <v>4</v>
      </c>
      <c r="X116" s="51" t="n">
        <v>1</v>
      </c>
      <c r="Y116" s="51" t="n">
        <v>1</v>
      </c>
      <c r="Z116" s="3" t="str">
        <f aca="false">VLOOKUP(A116,'Data Prep'!$A$5:$B$44,2,FALSE())</f>
        <v>El Pollo Loco</v>
      </c>
      <c r="AA116" s="4" t="n">
        <f aca="false">COUNTBLANK(A116:Y116)</f>
        <v>0</v>
      </c>
    </row>
    <row r="117" customFormat="false" ht="12.75" hidden="false" customHeight="true" outlineLevel="0" collapsed="false">
      <c r="A117" s="45" t="s">
        <v>31</v>
      </c>
      <c r="B117" s="46" t="n">
        <v>0</v>
      </c>
      <c r="C117" s="46" t="n">
        <v>0</v>
      </c>
      <c r="D117" s="46" t="n">
        <v>1</v>
      </c>
      <c r="E117" s="46" t="n">
        <v>0</v>
      </c>
      <c r="F117" s="47" t="n">
        <v>0</v>
      </c>
      <c r="G117" s="48" t="n">
        <v>4</v>
      </c>
      <c r="H117" s="48" t="n">
        <v>4</v>
      </c>
      <c r="I117" s="48" t="n">
        <v>5</v>
      </c>
      <c r="J117" s="48" t="n">
        <v>5</v>
      </c>
      <c r="K117" s="48" t="n">
        <v>5</v>
      </c>
      <c r="L117" s="48" t="n">
        <v>4</v>
      </c>
      <c r="M117" s="49" t="n">
        <v>3</v>
      </c>
      <c r="N117" s="49" t="n">
        <v>2</v>
      </c>
      <c r="O117" s="49" t="n">
        <v>4</v>
      </c>
      <c r="P117" s="49" t="n">
        <v>2</v>
      </c>
      <c r="Q117" s="49" t="n">
        <v>4</v>
      </c>
      <c r="R117" s="49" t="n">
        <v>2</v>
      </c>
      <c r="S117" s="50" t="n">
        <v>1</v>
      </c>
      <c r="T117" s="50" t="n">
        <v>69</v>
      </c>
      <c r="U117" s="50" t="n">
        <v>25734</v>
      </c>
      <c r="V117" s="51" t="n">
        <v>2</v>
      </c>
      <c r="W117" s="51" t="n">
        <v>4</v>
      </c>
      <c r="X117" s="51" t="n">
        <v>2</v>
      </c>
      <c r="Y117" s="51" t="n">
        <v>2</v>
      </c>
      <c r="Z117" s="3" t="str">
        <f aca="false">VLOOKUP(A117,'Data Prep'!$A$5:$B$44,2,FALSE())</f>
        <v>El Pollo Loco</v>
      </c>
      <c r="AA117" s="4" t="n">
        <f aca="false">COUNTBLANK(A117:Y117)</f>
        <v>0</v>
      </c>
    </row>
    <row r="118" customFormat="false" ht="12.75" hidden="false" customHeight="true" outlineLevel="0" collapsed="false">
      <c r="A118" s="45" t="s">
        <v>30</v>
      </c>
      <c r="B118" s="46" t="n">
        <v>0</v>
      </c>
      <c r="C118" s="46" t="n">
        <v>0</v>
      </c>
      <c r="D118" s="46" t="n">
        <v>1</v>
      </c>
      <c r="E118" s="46" t="n">
        <v>0</v>
      </c>
      <c r="F118" s="47" t="n">
        <v>4</v>
      </c>
      <c r="G118" s="48" t="n">
        <v>5</v>
      </c>
      <c r="H118" s="48" t="n">
        <v>4</v>
      </c>
      <c r="I118" s="48" t="n">
        <v>5</v>
      </c>
      <c r="J118" s="48" t="n">
        <v>3</v>
      </c>
      <c r="K118" s="48" t="n">
        <v>5</v>
      </c>
      <c r="L118" s="48" t="n">
        <v>4</v>
      </c>
      <c r="M118" s="49" t="n">
        <v>5</v>
      </c>
      <c r="N118" s="49" t="n">
        <v>4</v>
      </c>
      <c r="O118" s="49" t="n">
        <v>5</v>
      </c>
      <c r="P118" s="49" t="n">
        <v>4</v>
      </c>
      <c r="Q118" s="49" t="n">
        <v>5</v>
      </c>
      <c r="R118" s="49" t="n">
        <v>5</v>
      </c>
      <c r="S118" s="50" t="n">
        <v>0</v>
      </c>
      <c r="T118" s="50" t="n">
        <v>19</v>
      </c>
      <c r="U118" s="50" t="n">
        <v>18248</v>
      </c>
      <c r="V118" s="51" t="n">
        <v>3</v>
      </c>
      <c r="W118" s="51" t="n">
        <v>4</v>
      </c>
      <c r="X118" s="51" t="n">
        <v>2</v>
      </c>
      <c r="Y118" s="51" t="n">
        <v>2</v>
      </c>
      <c r="Z118" s="3" t="str">
        <f aca="false">VLOOKUP(A118,'Data Prep'!$A$5:$B$44,2,FALSE())</f>
        <v>Chipotle</v>
      </c>
      <c r="AA118" s="4" t="n">
        <f aca="false">COUNTBLANK(A118:Y118)</f>
        <v>0</v>
      </c>
    </row>
    <row r="119" customFormat="false" ht="12.75" hidden="false" customHeight="true" outlineLevel="0" collapsed="false">
      <c r="A119" s="45" t="s">
        <v>31</v>
      </c>
      <c r="B119" s="46" t="n">
        <v>1</v>
      </c>
      <c r="C119" s="46" t="n">
        <v>0</v>
      </c>
      <c r="D119" s="46" t="n">
        <v>0</v>
      </c>
      <c r="E119" s="46" t="n">
        <v>0</v>
      </c>
      <c r="F119" s="47" t="n">
        <v>0</v>
      </c>
      <c r="G119" s="48" t="n">
        <v>5</v>
      </c>
      <c r="H119" s="48" t="n">
        <v>5</v>
      </c>
      <c r="I119" s="48" t="n">
        <v>5</v>
      </c>
      <c r="J119" s="48" t="n">
        <v>5</v>
      </c>
      <c r="K119" s="48" t="n">
        <v>5</v>
      </c>
      <c r="L119" s="48" t="n">
        <v>5</v>
      </c>
      <c r="M119" s="49" t="n">
        <v>5</v>
      </c>
      <c r="N119" s="49" t="n">
        <v>5</v>
      </c>
      <c r="O119" s="49" t="n">
        <v>5</v>
      </c>
      <c r="P119" s="49" t="n">
        <v>5</v>
      </c>
      <c r="Q119" s="49" t="n">
        <v>5</v>
      </c>
      <c r="R119" s="49" t="n">
        <v>5</v>
      </c>
      <c r="S119" s="50" t="n">
        <v>1</v>
      </c>
      <c r="T119" s="50" t="n">
        <v>18</v>
      </c>
      <c r="U119" s="50" t="n">
        <v>66888</v>
      </c>
      <c r="V119" s="51" t="n">
        <v>1</v>
      </c>
      <c r="W119" s="51" t="n">
        <v>1</v>
      </c>
      <c r="X119" s="51" t="n">
        <v>1</v>
      </c>
      <c r="Y119" s="51" t="n">
        <v>1</v>
      </c>
      <c r="Z119" s="3" t="str">
        <f aca="false">VLOOKUP(A119,'Data Prep'!$A$5:$B$44,2,FALSE())</f>
        <v>El Pollo Loco</v>
      </c>
      <c r="AA119" s="4" t="n">
        <f aca="false">COUNTBLANK(A119:Y119)</f>
        <v>0</v>
      </c>
    </row>
    <row r="120" customFormat="false" ht="12.75" hidden="false" customHeight="true" outlineLevel="0" collapsed="false">
      <c r="A120" s="45" t="s">
        <v>180</v>
      </c>
      <c r="B120" s="46" t="n">
        <v>1</v>
      </c>
      <c r="C120" s="46" t="n">
        <v>0</v>
      </c>
      <c r="D120" s="46" t="n">
        <v>0</v>
      </c>
      <c r="E120" s="46" t="n">
        <v>0</v>
      </c>
      <c r="F120" s="47" t="n">
        <v>0</v>
      </c>
      <c r="G120" s="48" t="n">
        <v>5</v>
      </c>
      <c r="H120" s="48" t="n">
        <v>5</v>
      </c>
      <c r="I120" s="48" t="n">
        <v>5</v>
      </c>
      <c r="J120" s="48" t="n">
        <v>5</v>
      </c>
      <c r="K120" s="48" t="n">
        <v>5</v>
      </c>
      <c r="L120" s="48" t="n">
        <v>4</v>
      </c>
      <c r="M120" s="49" t="n">
        <v>3</v>
      </c>
      <c r="N120" s="49" t="n">
        <v>4</v>
      </c>
      <c r="O120" s="49" t="n">
        <v>3</v>
      </c>
      <c r="P120" s="49" t="n">
        <v>5</v>
      </c>
      <c r="Q120" s="49" t="n">
        <v>5</v>
      </c>
      <c r="R120" s="49" t="n">
        <v>3</v>
      </c>
      <c r="S120" s="50"/>
      <c r="T120" s="50"/>
      <c r="U120" s="50"/>
      <c r="V120" s="51"/>
      <c r="W120" s="51"/>
      <c r="X120" s="51"/>
      <c r="Y120" s="51"/>
      <c r="Z120" s="3" t="str">
        <f aca="false">VLOOKUP(A120,'Data Prep'!$A$5:$B$44,2,FALSE())</f>
        <v>Panera Bread</v>
      </c>
      <c r="AA120" s="4" t="n">
        <f aca="false">COUNTBLANK(A120:Y120)</f>
        <v>7</v>
      </c>
    </row>
    <row r="121" customFormat="false" ht="12.75" hidden="false" customHeight="true" outlineLevel="0" collapsed="false">
      <c r="A121" s="45" t="s">
        <v>31</v>
      </c>
      <c r="B121" s="46" t="n">
        <v>1</v>
      </c>
      <c r="C121" s="46" t="n">
        <v>0</v>
      </c>
      <c r="D121" s="46" t="n">
        <v>0</v>
      </c>
      <c r="E121" s="46" t="n">
        <v>0</v>
      </c>
      <c r="F121" s="47" t="n">
        <v>0</v>
      </c>
      <c r="G121" s="48" t="n">
        <v>4</v>
      </c>
      <c r="H121" s="48" t="n">
        <v>5</v>
      </c>
      <c r="I121" s="48" t="n">
        <v>5</v>
      </c>
      <c r="J121" s="48" t="n">
        <v>5</v>
      </c>
      <c r="K121" s="48" t="n">
        <v>5</v>
      </c>
      <c r="L121" s="48" t="n">
        <v>4</v>
      </c>
      <c r="M121" s="49" t="n">
        <v>3</v>
      </c>
      <c r="N121" s="49" t="n">
        <v>5</v>
      </c>
      <c r="O121" s="49" t="n">
        <v>4</v>
      </c>
      <c r="P121" s="49"/>
      <c r="Q121" s="49" t="n">
        <v>5</v>
      </c>
      <c r="R121" s="49" t="n">
        <v>4</v>
      </c>
      <c r="S121" s="50" t="n">
        <v>1</v>
      </c>
      <c r="T121" s="50" t="n">
        <v>29</v>
      </c>
      <c r="U121" s="50" t="n">
        <v>26017</v>
      </c>
      <c r="V121" s="51" t="n">
        <v>1</v>
      </c>
      <c r="W121" s="51" t="n">
        <v>2</v>
      </c>
      <c r="X121" s="51" t="n">
        <v>2</v>
      </c>
      <c r="Y121" s="51" t="n">
        <v>1</v>
      </c>
      <c r="Z121" s="3" t="str">
        <f aca="false">VLOOKUP(A121,'Data Prep'!$A$5:$B$44,2,FALSE())</f>
        <v>El Pollo Loco</v>
      </c>
      <c r="AA121" s="4" t="n">
        <f aca="false">COUNTBLANK(A121:Y121)</f>
        <v>1</v>
      </c>
    </row>
    <row r="122" customFormat="false" ht="12.75" hidden="false" customHeight="true" outlineLevel="0" collapsed="false">
      <c r="A122" s="45" t="s">
        <v>31</v>
      </c>
      <c r="B122" s="46" t="n">
        <v>1</v>
      </c>
      <c r="C122" s="46" t="n">
        <v>0</v>
      </c>
      <c r="D122" s="46" t="n">
        <v>0</v>
      </c>
      <c r="E122" s="46" t="n">
        <v>0</v>
      </c>
      <c r="F122" s="47" t="n">
        <v>0</v>
      </c>
      <c r="G122" s="48" t="n">
        <v>5</v>
      </c>
      <c r="H122" s="48" t="n">
        <v>5</v>
      </c>
      <c r="I122" s="48" t="n">
        <v>5</v>
      </c>
      <c r="J122" s="48" t="n">
        <v>5</v>
      </c>
      <c r="K122" s="48" t="n">
        <v>5</v>
      </c>
      <c r="L122" s="48" t="n">
        <v>5</v>
      </c>
      <c r="M122" s="49" t="n">
        <v>2</v>
      </c>
      <c r="N122" s="49" t="n">
        <v>5</v>
      </c>
      <c r="O122" s="49" t="n">
        <v>4</v>
      </c>
      <c r="P122" s="49" t="n">
        <v>5</v>
      </c>
      <c r="Q122" s="49" t="n">
        <v>5</v>
      </c>
      <c r="R122" s="49" t="n">
        <v>3</v>
      </c>
      <c r="S122" s="50" t="n">
        <v>0</v>
      </c>
      <c r="T122" s="50" t="n">
        <v>39</v>
      </c>
      <c r="U122" s="50" t="n">
        <v>21978</v>
      </c>
      <c r="V122" s="51" t="n">
        <v>2</v>
      </c>
      <c r="W122" s="51" t="n">
        <v>4</v>
      </c>
      <c r="X122" s="51" t="n">
        <v>2</v>
      </c>
      <c r="Y122" s="51" t="n">
        <v>1</v>
      </c>
      <c r="Z122" s="3" t="str">
        <f aca="false">VLOOKUP(A122,'Data Prep'!$A$5:$B$44,2,FALSE())</f>
        <v>El Pollo Loco</v>
      </c>
      <c r="AA122" s="4" t="n">
        <f aca="false">COUNTBLANK(A122:Y122)</f>
        <v>0</v>
      </c>
    </row>
    <row r="123" customFormat="false" ht="12.75" hidden="false" customHeight="true" outlineLevel="0" collapsed="false">
      <c r="A123" s="45" t="s">
        <v>182</v>
      </c>
      <c r="B123" s="46" t="n">
        <v>1</v>
      </c>
      <c r="C123" s="46" t="n">
        <v>0</v>
      </c>
      <c r="D123" s="46" t="n">
        <v>0</v>
      </c>
      <c r="E123" s="46" t="n">
        <v>0</v>
      </c>
      <c r="F123" s="47" t="n">
        <v>0</v>
      </c>
      <c r="G123" s="48" t="n">
        <v>4</v>
      </c>
      <c r="H123" s="48" t="n">
        <v>4</v>
      </c>
      <c r="I123" s="48" t="n">
        <v>5</v>
      </c>
      <c r="J123" s="48" t="n">
        <v>5</v>
      </c>
      <c r="K123" s="48" t="n">
        <v>5</v>
      </c>
      <c r="L123" s="48" t="n">
        <v>4</v>
      </c>
      <c r="M123" s="49" t="n">
        <v>3</v>
      </c>
      <c r="N123" s="49" t="n">
        <v>3</v>
      </c>
      <c r="O123" s="49" t="n">
        <v>3</v>
      </c>
      <c r="P123" s="49" t="n">
        <v>4</v>
      </c>
      <c r="Q123" s="49" t="n">
        <v>4</v>
      </c>
      <c r="R123" s="49" t="n">
        <v>3</v>
      </c>
      <c r="S123" s="50" t="n">
        <v>0</v>
      </c>
      <c r="T123" s="50" t="n">
        <v>45</v>
      </c>
      <c r="U123" s="50" t="n">
        <v>11342</v>
      </c>
      <c r="V123" s="51" t="n">
        <v>2</v>
      </c>
      <c r="W123" s="51" t="n">
        <v>2</v>
      </c>
      <c r="X123" s="51" t="n">
        <v>2</v>
      </c>
      <c r="Y123" s="51" t="n">
        <v>2</v>
      </c>
      <c r="Z123" s="3" t="str">
        <f aca="false">VLOOKUP(A123,'Data Prep'!$A$5:$B$44,2,FALSE())</f>
        <v>Panera Bread</v>
      </c>
      <c r="AA123" s="4" t="n">
        <f aca="false">COUNTBLANK(A123:Y123)</f>
        <v>0</v>
      </c>
    </row>
    <row r="124" customFormat="false" ht="12.75" hidden="false" customHeight="true" outlineLevel="0" collapsed="false">
      <c r="A124" s="45" t="s">
        <v>33</v>
      </c>
      <c r="B124" s="46" t="n">
        <v>1</v>
      </c>
      <c r="C124" s="46" t="n">
        <v>0</v>
      </c>
      <c r="D124" s="46" t="n">
        <v>0</v>
      </c>
      <c r="E124" s="46" t="n">
        <v>0</v>
      </c>
      <c r="F124" s="47" t="n">
        <v>0</v>
      </c>
      <c r="G124" s="48" t="n">
        <v>5</v>
      </c>
      <c r="H124" s="48" t="n">
        <v>5</v>
      </c>
      <c r="I124" s="48" t="n">
        <v>5</v>
      </c>
      <c r="J124" s="48" t="n">
        <v>5</v>
      </c>
      <c r="K124" s="48" t="n">
        <v>5</v>
      </c>
      <c r="L124" s="48" t="n">
        <v>5</v>
      </c>
      <c r="M124" s="49" t="n">
        <v>5</v>
      </c>
      <c r="N124" s="49" t="n">
        <v>5</v>
      </c>
      <c r="O124" s="49" t="n">
        <v>5</v>
      </c>
      <c r="P124" s="49" t="n">
        <v>5</v>
      </c>
      <c r="Q124" s="49" t="n">
        <v>5</v>
      </c>
      <c r="R124" s="49" t="n">
        <v>5</v>
      </c>
      <c r="S124" s="50" t="n">
        <v>0</v>
      </c>
      <c r="T124" s="50" t="n">
        <v>33</v>
      </c>
      <c r="U124" s="50" t="n">
        <v>23146</v>
      </c>
      <c r="V124" s="51" t="n">
        <v>1</v>
      </c>
      <c r="W124" s="51" t="n">
        <v>4</v>
      </c>
      <c r="X124" s="51" t="n">
        <v>1</v>
      </c>
      <c r="Y124" s="51" t="n">
        <v>2</v>
      </c>
      <c r="Z124" s="3" t="str">
        <f aca="false">VLOOKUP(A124,'Data Prep'!$A$5:$B$44,2,FALSE())</f>
        <v>In-n-out</v>
      </c>
      <c r="AA124" s="4" t="n">
        <f aca="false">COUNTBLANK(A124:Y124)</f>
        <v>0</v>
      </c>
    </row>
    <row r="125" customFormat="false" ht="12.75" hidden="false" customHeight="true" outlineLevel="0" collapsed="false">
      <c r="A125" s="45" t="s">
        <v>31</v>
      </c>
      <c r="B125" s="46" t="n">
        <v>0</v>
      </c>
      <c r="C125" s="46" t="n">
        <v>0</v>
      </c>
      <c r="D125" s="46" t="n">
        <v>0</v>
      </c>
      <c r="E125" s="46" t="n">
        <v>1</v>
      </c>
      <c r="F125" s="47" t="n">
        <v>0</v>
      </c>
      <c r="G125" s="48" t="n">
        <v>5</v>
      </c>
      <c r="H125" s="48" t="n">
        <v>5</v>
      </c>
      <c r="I125" s="48" t="n">
        <v>5</v>
      </c>
      <c r="J125" s="48" t="n">
        <v>5</v>
      </c>
      <c r="K125" s="48" t="n">
        <v>5</v>
      </c>
      <c r="L125" s="48" t="n">
        <v>5</v>
      </c>
      <c r="M125" s="49" t="n">
        <v>4</v>
      </c>
      <c r="N125" s="49" t="n">
        <v>4</v>
      </c>
      <c r="O125" s="49" t="n">
        <v>5</v>
      </c>
      <c r="P125" s="49" t="n">
        <v>5</v>
      </c>
      <c r="Q125" s="49" t="n">
        <v>4</v>
      </c>
      <c r="R125" s="49" t="n">
        <v>5</v>
      </c>
      <c r="S125" s="50" t="n">
        <v>0</v>
      </c>
      <c r="T125" s="50" t="n">
        <v>33</v>
      </c>
      <c r="U125" s="50" t="n">
        <v>18631</v>
      </c>
      <c r="V125" s="51" t="n">
        <v>1</v>
      </c>
      <c r="W125" s="51" t="n">
        <v>2</v>
      </c>
      <c r="X125" s="51" t="n">
        <v>1</v>
      </c>
      <c r="Y125" s="51" t="n">
        <v>1</v>
      </c>
      <c r="Z125" s="3" t="str">
        <f aca="false">VLOOKUP(A125,'Data Prep'!$A$5:$B$44,2,FALSE())</f>
        <v>El Pollo Loco</v>
      </c>
      <c r="AA125" s="4" t="n">
        <f aca="false">COUNTBLANK(A125:Y125)</f>
        <v>0</v>
      </c>
    </row>
    <row r="126" customFormat="false" ht="12.75" hidden="false" customHeight="true" outlineLevel="0" collapsed="false">
      <c r="A126" s="45" t="s">
        <v>31</v>
      </c>
      <c r="B126" s="46" t="n">
        <v>0</v>
      </c>
      <c r="C126" s="46" t="n">
        <v>0</v>
      </c>
      <c r="D126" s="46" t="n">
        <v>1</v>
      </c>
      <c r="E126" s="46" t="n">
        <v>0</v>
      </c>
      <c r="F126" s="47" t="n">
        <v>0</v>
      </c>
      <c r="G126" s="48" t="n">
        <v>4</v>
      </c>
      <c r="H126" s="48" t="n">
        <v>4</v>
      </c>
      <c r="I126" s="48" t="n">
        <v>5</v>
      </c>
      <c r="J126" s="48" t="n">
        <v>5</v>
      </c>
      <c r="K126" s="48" t="n">
        <v>5</v>
      </c>
      <c r="L126" s="48" t="n">
        <v>5</v>
      </c>
      <c r="M126" s="49" t="n">
        <v>3</v>
      </c>
      <c r="N126" s="49" t="n">
        <v>3</v>
      </c>
      <c r="O126" s="49" t="n">
        <v>3</v>
      </c>
      <c r="P126" s="49" t="n">
        <v>3</v>
      </c>
      <c r="Q126" s="49" t="n">
        <v>3</v>
      </c>
      <c r="R126" s="49" t="n">
        <v>3</v>
      </c>
      <c r="S126" s="50"/>
      <c r="T126" s="50"/>
      <c r="U126" s="50"/>
      <c r="V126" s="51"/>
      <c r="W126" s="51"/>
      <c r="X126" s="51"/>
      <c r="Y126" s="51"/>
      <c r="Z126" s="3" t="str">
        <f aca="false">VLOOKUP(A126,'Data Prep'!$A$5:$B$44,2,FALSE())</f>
        <v>El Pollo Loco</v>
      </c>
      <c r="AA126" s="4" t="n">
        <f aca="false">COUNTBLANK(A126:Y126)</f>
        <v>7</v>
      </c>
    </row>
    <row r="127" customFormat="false" ht="12.75" hidden="false" customHeight="true" outlineLevel="0" collapsed="false">
      <c r="A127" s="45" t="s">
        <v>30</v>
      </c>
      <c r="B127" s="46" t="n">
        <v>1</v>
      </c>
      <c r="C127" s="46" t="n">
        <v>0</v>
      </c>
      <c r="D127" s="46" t="n">
        <v>0</v>
      </c>
      <c r="E127" s="46" t="n">
        <v>0</v>
      </c>
      <c r="F127" s="47" t="n">
        <v>0</v>
      </c>
      <c r="G127" s="48" t="n">
        <v>5</v>
      </c>
      <c r="H127" s="48" t="n">
        <v>5</v>
      </c>
      <c r="I127" s="48" t="n">
        <v>5</v>
      </c>
      <c r="J127" s="48" t="n">
        <v>5</v>
      </c>
      <c r="K127" s="48" t="n">
        <v>5</v>
      </c>
      <c r="L127" s="48" t="n">
        <v>5</v>
      </c>
      <c r="M127" s="49" t="n">
        <v>4</v>
      </c>
      <c r="N127" s="49" t="n">
        <v>4</v>
      </c>
      <c r="O127" s="49" t="n">
        <v>3</v>
      </c>
      <c r="P127" s="49" t="n">
        <v>5</v>
      </c>
      <c r="Q127" s="49" t="n">
        <v>3</v>
      </c>
      <c r="R127" s="49" t="n">
        <v>3</v>
      </c>
      <c r="S127" s="50" t="n">
        <v>0</v>
      </c>
      <c r="T127" s="50" t="n">
        <v>44</v>
      </c>
      <c r="U127" s="50" t="n">
        <v>30408</v>
      </c>
      <c r="V127" s="51" t="n">
        <v>2</v>
      </c>
      <c r="W127" s="51" t="n">
        <v>2</v>
      </c>
      <c r="X127" s="51" t="n">
        <v>2</v>
      </c>
      <c r="Y127" s="51" t="n">
        <v>1</v>
      </c>
      <c r="Z127" s="3" t="str">
        <f aca="false">VLOOKUP(A127,'Data Prep'!$A$5:$B$44,2,FALSE())</f>
        <v>Chipotle</v>
      </c>
      <c r="AA127" s="4" t="n">
        <f aca="false">COUNTBLANK(A127:Y127)</f>
        <v>0</v>
      </c>
    </row>
    <row r="128" customFormat="false" ht="12.75" hidden="false" customHeight="true" outlineLevel="0" collapsed="false">
      <c r="A128" s="45" t="s">
        <v>31</v>
      </c>
      <c r="B128" s="46" t="n">
        <v>0</v>
      </c>
      <c r="C128" s="46" t="n">
        <v>0</v>
      </c>
      <c r="D128" s="46" t="n">
        <v>1</v>
      </c>
      <c r="E128" s="46" t="n">
        <v>0</v>
      </c>
      <c r="F128" s="47" t="n">
        <v>0</v>
      </c>
      <c r="G128" s="48" t="n">
        <v>4</v>
      </c>
      <c r="H128" s="48" t="n">
        <v>4</v>
      </c>
      <c r="I128" s="48" t="n">
        <v>5</v>
      </c>
      <c r="J128" s="48" t="n">
        <v>5</v>
      </c>
      <c r="K128" s="48" t="n">
        <v>5</v>
      </c>
      <c r="L128" s="48" t="n">
        <v>5</v>
      </c>
      <c r="M128" s="49" t="n">
        <v>4</v>
      </c>
      <c r="N128" s="49" t="n">
        <v>5</v>
      </c>
      <c r="O128" s="49" t="n">
        <v>5</v>
      </c>
      <c r="P128" s="49" t="n">
        <v>5</v>
      </c>
      <c r="Q128" s="49" t="n">
        <v>5</v>
      </c>
      <c r="R128" s="49" t="n">
        <v>5</v>
      </c>
      <c r="S128" s="50" t="n">
        <v>0</v>
      </c>
      <c r="T128" s="50" t="n">
        <v>44</v>
      </c>
      <c r="U128" s="50" t="n">
        <v>38756</v>
      </c>
      <c r="V128" s="51" t="n">
        <v>1</v>
      </c>
      <c r="W128" s="51" t="n">
        <v>3</v>
      </c>
      <c r="X128" s="51" t="n">
        <v>1</v>
      </c>
      <c r="Y128" s="51" t="n">
        <v>1</v>
      </c>
      <c r="Z128" s="3" t="str">
        <f aca="false">VLOOKUP(A128,'Data Prep'!$A$5:$B$44,2,FALSE())</f>
        <v>El Pollo Loco</v>
      </c>
      <c r="AA128" s="4" t="n">
        <f aca="false">COUNTBLANK(A128:Y128)</f>
        <v>0</v>
      </c>
    </row>
    <row r="129" customFormat="false" ht="12.75" hidden="false" customHeight="true" outlineLevel="0" collapsed="false">
      <c r="A129" s="45" t="s">
        <v>42</v>
      </c>
      <c r="B129" s="46" t="n">
        <v>1</v>
      </c>
      <c r="C129" s="46" t="n">
        <v>0</v>
      </c>
      <c r="D129" s="46" t="n">
        <v>0</v>
      </c>
      <c r="E129" s="46" t="n">
        <v>0</v>
      </c>
      <c r="F129" s="47" t="n">
        <v>1</v>
      </c>
      <c r="G129" s="48" t="n">
        <v>3</v>
      </c>
      <c r="H129" s="48" t="n">
        <v>5</v>
      </c>
      <c r="I129" s="48" t="n">
        <v>5</v>
      </c>
      <c r="J129" s="48" t="n">
        <v>4</v>
      </c>
      <c r="K129" s="48" t="n">
        <v>5</v>
      </c>
      <c r="L129" s="48" t="n">
        <v>4</v>
      </c>
      <c r="M129" s="49" t="n">
        <v>2</v>
      </c>
      <c r="N129" s="49" t="n">
        <v>3</v>
      </c>
      <c r="O129" s="49" t="n">
        <v>3</v>
      </c>
      <c r="P129" s="49" t="n">
        <v>3</v>
      </c>
      <c r="Q129" s="49" t="n">
        <v>3</v>
      </c>
      <c r="R129" s="49" t="n">
        <v>2</v>
      </c>
      <c r="S129" s="50" t="n">
        <v>0</v>
      </c>
      <c r="T129" s="50" t="n">
        <v>39</v>
      </c>
      <c r="U129" s="50" t="n">
        <v>46736</v>
      </c>
      <c r="V129" s="51" t="n">
        <v>1</v>
      </c>
      <c r="W129" s="51" t="n">
        <v>4</v>
      </c>
      <c r="X129" s="51" t="n">
        <v>1</v>
      </c>
      <c r="Y129" s="51" t="n">
        <v>1</v>
      </c>
      <c r="Z129" s="3" t="str">
        <f aca="false">VLOOKUP(A129,'Data Prep'!$A$5:$B$44,2,FALSE())</f>
        <v>Subway</v>
      </c>
      <c r="AA129" s="4" t="n">
        <f aca="false">COUNTBLANK(A129:Y129)</f>
        <v>0</v>
      </c>
    </row>
    <row r="130" customFormat="false" ht="12.75" hidden="false" customHeight="true" outlineLevel="0" collapsed="false">
      <c r="A130" s="45" t="s">
        <v>31</v>
      </c>
      <c r="B130" s="46" t="n">
        <v>0</v>
      </c>
      <c r="C130" s="46" t="n">
        <v>0</v>
      </c>
      <c r="D130" s="46" t="n">
        <v>0</v>
      </c>
      <c r="E130" s="46" t="n">
        <v>0</v>
      </c>
      <c r="F130" s="47" t="n">
        <v>3</v>
      </c>
      <c r="G130" s="48"/>
      <c r="H130" s="48"/>
      <c r="I130" s="48"/>
      <c r="J130" s="48"/>
      <c r="K130" s="48"/>
      <c r="L130" s="48"/>
      <c r="M130" s="49"/>
      <c r="N130" s="49"/>
      <c r="O130" s="49"/>
      <c r="P130" s="49"/>
      <c r="Q130" s="49"/>
      <c r="R130" s="49"/>
      <c r="S130" s="50" t="n">
        <v>0</v>
      </c>
      <c r="T130" s="50" t="n">
        <v>58</v>
      </c>
      <c r="U130" s="50" t="n">
        <v>21101</v>
      </c>
      <c r="V130" s="51" t="n">
        <v>1</v>
      </c>
      <c r="W130" s="51" t="n">
        <v>4</v>
      </c>
      <c r="X130" s="51" t="n">
        <v>3</v>
      </c>
      <c r="Y130" s="51" t="n">
        <v>3</v>
      </c>
      <c r="Z130" s="3" t="str">
        <f aca="false">VLOOKUP(A130,'Data Prep'!$A$5:$B$44,2,FALSE())</f>
        <v>El Pollo Loco</v>
      </c>
      <c r="AA130" s="4" t="n">
        <f aca="false">COUNTBLANK(A130:Y130)</f>
        <v>12</v>
      </c>
    </row>
    <row r="131" customFormat="false" ht="12.75" hidden="false" customHeight="true" outlineLevel="0" collapsed="false">
      <c r="A131" s="45" t="s">
        <v>31</v>
      </c>
      <c r="B131" s="46" t="n">
        <v>0</v>
      </c>
      <c r="C131" s="46" t="n">
        <v>0</v>
      </c>
      <c r="D131" s="46" t="n">
        <v>0</v>
      </c>
      <c r="E131" s="46" t="n">
        <v>0</v>
      </c>
      <c r="F131" s="47" t="n">
        <v>4</v>
      </c>
      <c r="G131" s="48"/>
      <c r="H131" s="48"/>
      <c r="I131" s="48"/>
      <c r="J131" s="48"/>
      <c r="K131" s="48"/>
      <c r="L131" s="48"/>
      <c r="M131" s="49"/>
      <c r="N131" s="49"/>
      <c r="O131" s="49"/>
      <c r="P131" s="49"/>
      <c r="Q131" s="49"/>
      <c r="R131" s="49"/>
      <c r="S131" s="50" t="n">
        <v>0</v>
      </c>
      <c r="T131" s="50" t="n">
        <v>21</v>
      </c>
      <c r="U131" s="50" t="n">
        <v>17330</v>
      </c>
      <c r="V131" s="51" t="n">
        <v>1</v>
      </c>
      <c r="W131" s="51" t="n">
        <v>2</v>
      </c>
      <c r="X131" s="51" t="n">
        <v>1</v>
      </c>
      <c r="Y131" s="51" t="n">
        <v>2</v>
      </c>
      <c r="Z131" s="3" t="str">
        <f aca="false">VLOOKUP(A131,'Data Prep'!$A$5:$B$44,2,FALSE())</f>
        <v>El Pollo Loco</v>
      </c>
      <c r="AA131" s="4" t="n">
        <f aca="false">COUNTBLANK(A131:Y131)</f>
        <v>12</v>
      </c>
    </row>
    <row r="132" customFormat="false" ht="12.75" hidden="false" customHeight="true" outlineLevel="0" collapsed="false">
      <c r="A132" s="45" t="s">
        <v>30</v>
      </c>
      <c r="B132" s="46" t="n">
        <v>0</v>
      </c>
      <c r="C132" s="46" t="n">
        <v>0</v>
      </c>
      <c r="D132" s="46" t="n">
        <v>1</v>
      </c>
      <c r="E132" s="46" t="n">
        <v>0</v>
      </c>
      <c r="F132" s="47" t="n">
        <v>0</v>
      </c>
      <c r="G132" s="48" t="n">
        <v>4</v>
      </c>
      <c r="H132" s="48" t="n">
        <v>4</v>
      </c>
      <c r="I132" s="48" t="n">
        <v>4</v>
      </c>
      <c r="J132" s="48" t="n">
        <v>5</v>
      </c>
      <c r="K132" s="48" t="n">
        <v>5</v>
      </c>
      <c r="L132" s="48" t="n">
        <v>4</v>
      </c>
      <c r="M132" s="49" t="n">
        <v>3</v>
      </c>
      <c r="N132" s="49" t="n">
        <v>2</v>
      </c>
      <c r="O132" s="49" t="n">
        <v>3</v>
      </c>
      <c r="P132" s="49" t="n">
        <v>4</v>
      </c>
      <c r="Q132" s="49" t="n">
        <v>3</v>
      </c>
      <c r="R132" s="49" t="n">
        <v>3</v>
      </c>
      <c r="S132" s="50" t="n">
        <v>0</v>
      </c>
      <c r="T132" s="50" t="n">
        <v>45</v>
      </c>
      <c r="U132" s="50" t="n">
        <v>88962</v>
      </c>
      <c r="V132" s="51" t="n">
        <v>1</v>
      </c>
      <c r="W132" s="51" t="n">
        <v>3</v>
      </c>
      <c r="X132" s="51" t="n">
        <v>2</v>
      </c>
      <c r="Y132" s="51" t="n">
        <v>1</v>
      </c>
      <c r="Z132" s="3" t="str">
        <f aca="false">VLOOKUP(A132,'Data Prep'!$A$5:$B$44,2,FALSE())</f>
        <v>Chipotle</v>
      </c>
      <c r="AA132" s="4" t="n">
        <f aca="false">COUNTBLANK(A132:Y132)</f>
        <v>0</v>
      </c>
    </row>
    <row r="133" customFormat="false" ht="12.75" hidden="false" customHeight="true" outlineLevel="0" collapsed="false">
      <c r="A133" s="45" t="s">
        <v>33</v>
      </c>
      <c r="B133" s="46" t="n">
        <v>0</v>
      </c>
      <c r="C133" s="46" t="n">
        <v>0</v>
      </c>
      <c r="D133" s="46" t="n">
        <v>1</v>
      </c>
      <c r="E133" s="46" t="n">
        <v>0</v>
      </c>
      <c r="F133" s="47" t="n">
        <v>0</v>
      </c>
      <c r="G133" s="48" t="n">
        <v>5</v>
      </c>
      <c r="H133" s="48" t="n">
        <v>5</v>
      </c>
      <c r="I133" s="48" t="n">
        <v>4</v>
      </c>
      <c r="J133" s="48" t="n">
        <v>5</v>
      </c>
      <c r="K133" s="48" t="n">
        <v>5</v>
      </c>
      <c r="L133" s="48" t="n">
        <v>5</v>
      </c>
      <c r="M133" s="49" t="n">
        <v>5</v>
      </c>
      <c r="N133" s="49" t="n">
        <v>5</v>
      </c>
      <c r="O133" s="49" t="n">
        <v>5</v>
      </c>
      <c r="P133" s="49" t="n">
        <v>5</v>
      </c>
      <c r="Q133" s="49" t="n">
        <v>5</v>
      </c>
      <c r="R133" s="49" t="n">
        <v>5</v>
      </c>
      <c r="S133" s="50" t="n">
        <v>0</v>
      </c>
      <c r="T133" s="50" t="n">
        <v>33</v>
      </c>
      <c r="U133" s="50" t="n">
        <v>28117</v>
      </c>
      <c r="V133" s="51" t="n">
        <v>2</v>
      </c>
      <c r="W133" s="51" t="n">
        <v>4</v>
      </c>
      <c r="X133" s="51" t="n">
        <v>2</v>
      </c>
      <c r="Y133" s="51" t="n">
        <v>1</v>
      </c>
      <c r="Z133" s="3" t="str">
        <f aca="false">VLOOKUP(A133,'Data Prep'!$A$5:$B$44,2,FALSE())</f>
        <v>In-n-out</v>
      </c>
      <c r="AA133" s="4" t="n">
        <f aca="false">COUNTBLANK(A133:Y133)</f>
        <v>0</v>
      </c>
    </row>
    <row r="134" customFormat="false" ht="12.75" hidden="false" customHeight="true" outlineLevel="0" collapsed="false">
      <c r="A134" s="45" t="s">
        <v>33</v>
      </c>
      <c r="B134" s="46" t="n">
        <v>1</v>
      </c>
      <c r="C134" s="46" t="n">
        <v>0</v>
      </c>
      <c r="D134" s="46" t="n">
        <v>0</v>
      </c>
      <c r="E134" s="46" t="n">
        <v>0</v>
      </c>
      <c r="F134" s="47" t="n">
        <v>0</v>
      </c>
      <c r="G134" s="48" t="n">
        <v>5</v>
      </c>
      <c r="H134" s="48" t="n">
        <v>5</v>
      </c>
      <c r="I134" s="48" t="n">
        <v>5</v>
      </c>
      <c r="J134" s="48" t="n">
        <v>5</v>
      </c>
      <c r="K134" s="48" t="n">
        <v>5</v>
      </c>
      <c r="L134" s="48" t="n">
        <v>3</v>
      </c>
      <c r="M134" s="49" t="n">
        <v>4</v>
      </c>
      <c r="N134" s="49" t="n">
        <v>4</v>
      </c>
      <c r="O134" s="49" t="n">
        <v>5</v>
      </c>
      <c r="P134" s="49" t="n">
        <v>5</v>
      </c>
      <c r="Q134" s="49" t="n">
        <v>5</v>
      </c>
      <c r="R134" s="49" t="n">
        <v>4</v>
      </c>
      <c r="S134" s="50" t="n">
        <v>0</v>
      </c>
      <c r="T134" s="50" t="n">
        <v>39</v>
      </c>
      <c r="U134" s="50" t="n">
        <v>19460</v>
      </c>
      <c r="V134" s="51" t="n">
        <v>2</v>
      </c>
      <c r="W134" s="51" t="n">
        <v>3</v>
      </c>
      <c r="X134" s="51" t="n">
        <v>2</v>
      </c>
      <c r="Y134" s="51" t="n">
        <v>2</v>
      </c>
      <c r="Z134" s="3" t="str">
        <f aca="false">VLOOKUP(A134,'Data Prep'!$A$5:$B$44,2,FALSE())</f>
        <v>In-n-out</v>
      </c>
      <c r="AA134" s="4" t="n">
        <f aca="false">COUNTBLANK(A134:Y134)</f>
        <v>0</v>
      </c>
    </row>
    <row r="135" customFormat="false" ht="12.75" hidden="false" customHeight="true" outlineLevel="0" collapsed="false">
      <c r="A135" s="45" t="s">
        <v>166</v>
      </c>
      <c r="B135" s="46" t="n">
        <v>1</v>
      </c>
      <c r="C135" s="46" t="n">
        <v>0</v>
      </c>
      <c r="D135" s="46" t="n">
        <v>0</v>
      </c>
      <c r="E135" s="46" t="n">
        <v>0</v>
      </c>
      <c r="F135" s="47" t="n">
        <v>0</v>
      </c>
      <c r="G135" s="48" t="n">
        <v>5</v>
      </c>
      <c r="H135" s="48" t="n">
        <v>4</v>
      </c>
      <c r="I135" s="48" t="n">
        <v>2</v>
      </c>
      <c r="J135" s="48" t="n">
        <v>2</v>
      </c>
      <c r="K135" s="48" t="n">
        <v>5</v>
      </c>
      <c r="L135" s="48" t="n">
        <v>4</v>
      </c>
      <c r="M135" s="49" t="n">
        <v>4</v>
      </c>
      <c r="N135" s="49" t="n">
        <v>3</v>
      </c>
      <c r="O135" s="49" t="n">
        <v>2</v>
      </c>
      <c r="P135" s="49" t="n">
        <v>4</v>
      </c>
      <c r="Q135" s="49"/>
      <c r="R135" s="49" t="n">
        <v>4</v>
      </c>
      <c r="S135" s="50" t="n">
        <v>0</v>
      </c>
      <c r="T135" s="50" t="n">
        <v>49</v>
      </c>
      <c r="U135" s="50" t="n">
        <v>71493</v>
      </c>
      <c r="V135" s="51" t="n">
        <v>3</v>
      </c>
      <c r="W135" s="51" t="n">
        <v>4</v>
      </c>
      <c r="X135" s="51" t="n">
        <v>2</v>
      </c>
      <c r="Y135" s="51" t="n">
        <v>3</v>
      </c>
      <c r="Z135" s="3" t="str">
        <f aca="false">VLOOKUP(A135,'Data Prep'!$A$5:$B$44,2,FALSE())</f>
        <v>Chipotle</v>
      </c>
      <c r="AA135" s="4" t="n">
        <f aca="false">COUNTBLANK(A135:Y135)</f>
        <v>1</v>
      </c>
    </row>
    <row r="136" customFormat="false" ht="12.75" hidden="false" customHeight="true" outlineLevel="0" collapsed="false">
      <c r="A136" s="45" t="s">
        <v>33</v>
      </c>
      <c r="B136" s="46" t="n">
        <v>1</v>
      </c>
      <c r="C136" s="46" t="n">
        <v>0</v>
      </c>
      <c r="D136" s="46" t="n">
        <v>0</v>
      </c>
      <c r="E136" s="46" t="n">
        <v>0</v>
      </c>
      <c r="F136" s="47" t="n">
        <v>4</v>
      </c>
      <c r="G136" s="48" t="n">
        <v>4</v>
      </c>
      <c r="H136" s="48" t="n">
        <v>3</v>
      </c>
      <c r="I136" s="48" t="n">
        <v>4</v>
      </c>
      <c r="J136" s="48" t="n">
        <v>3</v>
      </c>
      <c r="K136" s="48" t="n">
        <v>5</v>
      </c>
      <c r="L136" s="48" t="n">
        <v>3</v>
      </c>
      <c r="M136" s="49" t="n">
        <v>4</v>
      </c>
      <c r="N136" s="49" t="n">
        <v>3</v>
      </c>
      <c r="O136" s="49" t="n">
        <v>3</v>
      </c>
      <c r="P136" s="49" t="n">
        <v>3</v>
      </c>
      <c r="Q136" s="49" t="n">
        <v>3</v>
      </c>
      <c r="R136" s="49" t="n">
        <v>3</v>
      </c>
      <c r="S136" s="50" t="n">
        <v>0</v>
      </c>
      <c r="T136" s="50" t="n">
        <v>58</v>
      </c>
      <c r="U136" s="50" t="n">
        <v>31482</v>
      </c>
      <c r="V136" s="51" t="n">
        <v>2</v>
      </c>
      <c r="W136" s="51" t="n">
        <v>4</v>
      </c>
      <c r="X136" s="51" t="n">
        <v>2</v>
      </c>
      <c r="Y136" s="51" t="n">
        <v>4</v>
      </c>
      <c r="Z136" s="3" t="str">
        <f aca="false">VLOOKUP(A136,'Data Prep'!$A$5:$B$44,2,FALSE())</f>
        <v>In-n-out</v>
      </c>
      <c r="AA136" s="4" t="n">
        <f aca="false">COUNTBLANK(A136:Y136)</f>
        <v>0</v>
      </c>
    </row>
    <row r="137" customFormat="false" ht="12.75" hidden="false" customHeight="true" outlineLevel="0" collapsed="false">
      <c r="A137" s="45" t="s">
        <v>173</v>
      </c>
      <c r="B137" s="46" t="n">
        <v>1</v>
      </c>
      <c r="C137" s="46" t="n">
        <v>1</v>
      </c>
      <c r="D137" s="46" t="n">
        <v>0</v>
      </c>
      <c r="E137" s="46" t="n">
        <v>0</v>
      </c>
      <c r="F137" s="47" t="n">
        <v>0</v>
      </c>
      <c r="G137" s="48" t="n">
        <v>5</v>
      </c>
      <c r="H137" s="48" t="n">
        <v>5</v>
      </c>
      <c r="I137" s="48" t="n">
        <v>5</v>
      </c>
      <c r="J137" s="48" t="n">
        <v>5</v>
      </c>
      <c r="K137" s="48" t="n">
        <v>5</v>
      </c>
      <c r="L137" s="48" t="n">
        <v>5</v>
      </c>
      <c r="M137" s="49" t="n">
        <v>5</v>
      </c>
      <c r="N137" s="49" t="n">
        <v>5</v>
      </c>
      <c r="O137" s="49" t="n">
        <v>5</v>
      </c>
      <c r="P137" s="49" t="n">
        <v>5</v>
      </c>
      <c r="Q137" s="49" t="n">
        <v>5</v>
      </c>
      <c r="R137" s="49" t="n">
        <v>5</v>
      </c>
      <c r="S137" s="50" t="n">
        <v>0</v>
      </c>
      <c r="T137" s="50" t="n">
        <v>32</v>
      </c>
      <c r="U137" s="50" t="n">
        <v>24397</v>
      </c>
      <c r="V137" s="51" t="n">
        <v>1</v>
      </c>
      <c r="W137" s="51" t="n">
        <v>4</v>
      </c>
      <c r="X137" s="51" t="n">
        <v>2</v>
      </c>
      <c r="Y137" s="51" t="n">
        <v>2</v>
      </c>
      <c r="Z137" s="3" t="str">
        <f aca="false">VLOOKUP(A137,'Data Prep'!$A$5:$B$44,2,FALSE())</f>
        <v>McDonalds</v>
      </c>
      <c r="AA137" s="4" t="n">
        <f aca="false">COUNTBLANK(A137:Y137)</f>
        <v>0</v>
      </c>
    </row>
    <row r="138" customFormat="false" ht="12.75" hidden="false" customHeight="true" outlineLevel="0" collapsed="false">
      <c r="A138" s="45" t="s">
        <v>33</v>
      </c>
      <c r="B138" s="46" t="n">
        <v>1</v>
      </c>
      <c r="C138" s="46" t="n">
        <v>0</v>
      </c>
      <c r="D138" s="46" t="n">
        <v>1</v>
      </c>
      <c r="E138" s="46" t="n">
        <v>0</v>
      </c>
      <c r="F138" s="47" t="n">
        <v>0</v>
      </c>
      <c r="G138" s="48" t="n">
        <v>4</v>
      </c>
      <c r="H138" s="48" t="n">
        <v>4</v>
      </c>
      <c r="I138" s="48" t="n">
        <v>4</v>
      </c>
      <c r="J138" s="48" t="n">
        <v>4</v>
      </c>
      <c r="K138" s="48" t="n">
        <v>5</v>
      </c>
      <c r="L138" s="48" t="n">
        <v>4</v>
      </c>
      <c r="M138" s="49" t="n">
        <v>4</v>
      </c>
      <c r="N138" s="49" t="n">
        <v>5</v>
      </c>
      <c r="O138" s="49" t="n">
        <v>5</v>
      </c>
      <c r="P138" s="49" t="n">
        <v>5</v>
      </c>
      <c r="Q138" s="49" t="n">
        <v>5</v>
      </c>
      <c r="R138" s="49" t="n">
        <v>4</v>
      </c>
      <c r="S138" s="50" t="n">
        <v>0</v>
      </c>
      <c r="T138" s="50" t="n">
        <v>35</v>
      </c>
      <c r="U138" s="50" t="n">
        <v>20924</v>
      </c>
      <c r="V138" s="51" t="n">
        <v>1</v>
      </c>
      <c r="W138" s="51" t="n">
        <v>4</v>
      </c>
      <c r="X138" s="51" t="n">
        <v>2</v>
      </c>
      <c r="Y138" s="51" t="n">
        <v>2</v>
      </c>
      <c r="Z138" s="3" t="str">
        <f aca="false">VLOOKUP(A138,'Data Prep'!$A$5:$B$44,2,FALSE())</f>
        <v>In-n-out</v>
      </c>
      <c r="AA138" s="4" t="n">
        <f aca="false">COUNTBLANK(A138:Y138)</f>
        <v>0</v>
      </c>
    </row>
    <row r="139" customFormat="false" ht="12.75" hidden="false" customHeight="true" outlineLevel="0" collapsed="false">
      <c r="A139" s="45" t="s">
        <v>186</v>
      </c>
      <c r="B139" s="46" t="n">
        <v>0</v>
      </c>
      <c r="C139" s="46" t="n">
        <v>0</v>
      </c>
      <c r="D139" s="46" t="n">
        <v>1</v>
      </c>
      <c r="E139" s="46" t="n">
        <v>0</v>
      </c>
      <c r="F139" s="47" t="n">
        <v>0</v>
      </c>
      <c r="G139" s="48" t="n">
        <v>5</v>
      </c>
      <c r="H139" s="48" t="n">
        <v>4</v>
      </c>
      <c r="I139" s="48" t="n">
        <v>4</v>
      </c>
      <c r="J139" s="48" t="n">
        <v>4</v>
      </c>
      <c r="K139" s="48" t="n">
        <v>5</v>
      </c>
      <c r="L139" s="48" t="n">
        <v>4</v>
      </c>
      <c r="M139" s="49" t="n">
        <v>4</v>
      </c>
      <c r="N139" s="49" t="n">
        <v>5</v>
      </c>
      <c r="O139" s="49" t="n">
        <v>3</v>
      </c>
      <c r="P139" s="49" t="n">
        <v>4</v>
      </c>
      <c r="Q139" s="49" t="n">
        <v>5</v>
      </c>
      <c r="R139" s="49" t="n">
        <v>4</v>
      </c>
      <c r="S139" s="50" t="n">
        <v>1</v>
      </c>
      <c r="T139" s="50" t="n">
        <v>45</v>
      </c>
      <c r="U139" s="50" t="n">
        <v>66648</v>
      </c>
      <c r="V139" s="51" t="n">
        <v>1</v>
      </c>
      <c r="W139" s="51" t="n">
        <v>4</v>
      </c>
      <c r="X139" s="51" t="n">
        <v>1</v>
      </c>
      <c r="Y139" s="51" t="n">
        <v>2</v>
      </c>
      <c r="Z139" s="3" t="str">
        <f aca="false">VLOOKUP(A139,'Data Prep'!$A$5:$B$44,2,FALSE())</f>
        <v>Panera Bread</v>
      </c>
      <c r="AA139" s="4" t="n">
        <f aca="false">COUNTBLANK(A139:Y139)</f>
        <v>0</v>
      </c>
    </row>
    <row r="140" customFormat="false" ht="12.75" hidden="false" customHeight="true" outlineLevel="0" collapsed="false">
      <c r="A140" s="45" t="s">
        <v>35</v>
      </c>
      <c r="B140" s="46" t="n">
        <v>0</v>
      </c>
      <c r="C140" s="46" t="n">
        <v>0</v>
      </c>
      <c r="D140" s="46" t="n">
        <v>0</v>
      </c>
      <c r="E140" s="46" t="n">
        <v>0</v>
      </c>
      <c r="F140" s="47" t="n">
        <v>0</v>
      </c>
      <c r="G140" s="48" t="n">
        <v>3</v>
      </c>
      <c r="H140" s="48" t="n">
        <v>4</v>
      </c>
      <c r="I140" s="48" t="n">
        <v>5</v>
      </c>
      <c r="J140" s="48" t="n">
        <v>4</v>
      </c>
      <c r="K140" s="48" t="n">
        <v>5</v>
      </c>
      <c r="L140" s="48" t="n">
        <v>5</v>
      </c>
      <c r="M140" s="49" t="n">
        <v>6</v>
      </c>
      <c r="N140" s="49" t="n">
        <v>3</v>
      </c>
      <c r="O140" s="49" t="n">
        <v>3</v>
      </c>
      <c r="P140" s="49" t="n">
        <v>4</v>
      </c>
      <c r="Q140" s="49" t="n">
        <v>4</v>
      </c>
      <c r="R140" s="49" t="n">
        <v>5</v>
      </c>
      <c r="S140" s="50" t="n">
        <v>0</v>
      </c>
      <c r="T140" s="50" t="n">
        <v>55</v>
      </c>
      <c r="U140" s="50" t="n">
        <v>57404</v>
      </c>
      <c r="V140" s="51" t="n">
        <v>2</v>
      </c>
      <c r="W140" s="51" t="n">
        <v>4</v>
      </c>
      <c r="X140" s="51" t="n">
        <v>2</v>
      </c>
      <c r="Y140" s="51" t="n">
        <v>2</v>
      </c>
      <c r="Z140" s="3" t="str">
        <f aca="false">VLOOKUP(A140,'Data Prep'!$A$5:$B$44,2,FALSE())</f>
        <v>KFC</v>
      </c>
      <c r="AA140" s="4" t="n">
        <f aca="false">COUNTBLANK(A140:Y140)</f>
        <v>0</v>
      </c>
    </row>
    <row r="141" customFormat="false" ht="12.75" hidden="false" customHeight="true" outlineLevel="0" collapsed="false">
      <c r="A141" s="45" t="s">
        <v>33</v>
      </c>
      <c r="B141" s="46" t="n">
        <v>1</v>
      </c>
      <c r="C141" s="46" t="n">
        <v>0</v>
      </c>
      <c r="D141" s="46" t="n">
        <v>0</v>
      </c>
      <c r="E141" s="46" t="n">
        <v>0</v>
      </c>
      <c r="F141" s="47" t="n">
        <v>0</v>
      </c>
      <c r="G141" s="48" t="n">
        <v>5</v>
      </c>
      <c r="H141" s="48" t="n">
        <v>5</v>
      </c>
      <c r="I141" s="48" t="n">
        <v>5</v>
      </c>
      <c r="J141" s="48" t="n">
        <v>5</v>
      </c>
      <c r="K141" s="48" t="n">
        <v>5</v>
      </c>
      <c r="L141" s="48" t="n">
        <v>5</v>
      </c>
      <c r="M141" s="49" t="n">
        <v>5</v>
      </c>
      <c r="N141" s="49" t="n">
        <v>5</v>
      </c>
      <c r="O141" s="49" t="n">
        <v>5</v>
      </c>
      <c r="P141" s="49" t="n">
        <v>5</v>
      </c>
      <c r="Q141" s="49" t="n">
        <v>5</v>
      </c>
      <c r="R141" s="49" t="n">
        <v>5</v>
      </c>
      <c r="S141" s="50" t="n">
        <v>0</v>
      </c>
      <c r="T141" s="50" t="n">
        <v>29</v>
      </c>
      <c r="U141" s="50" t="n">
        <v>15332</v>
      </c>
      <c r="V141" s="51" t="n">
        <v>1</v>
      </c>
      <c r="W141" s="51" t="n">
        <v>1</v>
      </c>
      <c r="X141" s="51" t="n">
        <v>1</v>
      </c>
      <c r="Y141" s="51" t="n">
        <v>1</v>
      </c>
      <c r="Z141" s="3" t="str">
        <f aca="false">VLOOKUP(A141,'Data Prep'!$A$5:$B$44,2,FALSE())</f>
        <v>In-n-out</v>
      </c>
      <c r="AA141" s="4" t="n">
        <f aca="false">COUNTBLANK(A141:Y141)</f>
        <v>0</v>
      </c>
    </row>
    <row r="142" customFormat="false" ht="12.75" hidden="false" customHeight="true" outlineLevel="0" collapsed="false">
      <c r="A142" s="45" t="s">
        <v>33</v>
      </c>
      <c r="B142" s="46" t="n">
        <v>1</v>
      </c>
      <c r="C142" s="46" t="n">
        <v>0</v>
      </c>
      <c r="D142" s="46" t="n">
        <v>0</v>
      </c>
      <c r="E142" s="46" t="n">
        <v>0</v>
      </c>
      <c r="F142" s="47" t="n">
        <v>0</v>
      </c>
      <c r="G142" s="48" t="n">
        <v>4</v>
      </c>
      <c r="H142" s="48" t="n">
        <v>3</v>
      </c>
      <c r="I142" s="48" t="n">
        <v>4</v>
      </c>
      <c r="J142" s="48" t="n">
        <v>5</v>
      </c>
      <c r="K142" s="48" t="n">
        <v>5</v>
      </c>
      <c r="L142" s="48" t="n">
        <v>4</v>
      </c>
      <c r="M142" s="49" t="n">
        <v>4</v>
      </c>
      <c r="N142" s="49" t="n">
        <v>3</v>
      </c>
      <c r="O142" s="49" t="n">
        <v>4</v>
      </c>
      <c r="P142" s="49" t="n">
        <v>5</v>
      </c>
      <c r="Q142" s="49" t="n">
        <v>5</v>
      </c>
      <c r="R142" s="49" t="n">
        <v>4</v>
      </c>
      <c r="S142" s="50" t="n">
        <v>0</v>
      </c>
      <c r="T142" s="50" t="n">
        <v>24</v>
      </c>
      <c r="U142" s="50" t="n">
        <v>10157</v>
      </c>
      <c r="V142" s="51" t="n">
        <v>2</v>
      </c>
      <c r="W142" s="51" t="n">
        <v>2</v>
      </c>
      <c r="X142" s="51" t="n">
        <v>2</v>
      </c>
      <c r="Y142" s="51" t="n">
        <v>1</v>
      </c>
      <c r="Z142" s="3" t="str">
        <f aca="false">VLOOKUP(A142,'Data Prep'!$A$5:$B$44,2,FALSE())</f>
        <v>In-n-out</v>
      </c>
      <c r="AA142" s="4" t="n">
        <f aca="false">COUNTBLANK(A142:Y142)</f>
        <v>0</v>
      </c>
    </row>
    <row r="143" customFormat="false" ht="12.75" hidden="false" customHeight="true" outlineLevel="0" collapsed="false">
      <c r="A143" s="45" t="s">
        <v>174</v>
      </c>
      <c r="B143" s="46" t="n">
        <v>1</v>
      </c>
      <c r="C143" s="46" t="n">
        <v>0</v>
      </c>
      <c r="D143" s="46" t="n">
        <v>0</v>
      </c>
      <c r="E143" s="46" t="n">
        <v>0</v>
      </c>
      <c r="F143" s="47" t="n">
        <v>1</v>
      </c>
      <c r="G143" s="48" t="n">
        <v>5</v>
      </c>
      <c r="H143" s="48" t="n">
        <v>5</v>
      </c>
      <c r="I143" s="48" t="n">
        <v>5</v>
      </c>
      <c r="J143" s="48" t="n">
        <v>5</v>
      </c>
      <c r="K143" s="48" t="n">
        <v>5</v>
      </c>
      <c r="L143" s="48" t="n">
        <v>4</v>
      </c>
      <c r="M143" s="49" t="n">
        <v>5</v>
      </c>
      <c r="N143" s="49" t="n">
        <v>5</v>
      </c>
      <c r="O143" s="49" t="n">
        <v>3</v>
      </c>
      <c r="P143" s="49" t="n">
        <v>3</v>
      </c>
      <c r="Q143" s="49" t="n">
        <v>5</v>
      </c>
      <c r="R143" s="49" t="n">
        <v>4</v>
      </c>
      <c r="S143" s="50" t="n">
        <v>0</v>
      </c>
      <c r="T143" s="50" t="n">
        <v>56</v>
      </c>
      <c r="U143" s="50" t="n">
        <v>25152</v>
      </c>
      <c r="V143" s="51" t="n">
        <v>5</v>
      </c>
      <c r="W143" s="51" t="n">
        <v>5</v>
      </c>
      <c r="X143" s="51" t="n">
        <v>5</v>
      </c>
      <c r="Y143" s="51" t="n">
        <v>5</v>
      </c>
      <c r="Z143" s="3" t="str">
        <f aca="false">VLOOKUP(A143,'Data Prep'!$A$5:$B$44,2,FALSE())</f>
        <v>McDonalds</v>
      </c>
      <c r="AA143" s="4" t="n">
        <f aca="false">COUNTBLANK(A143:Y143)</f>
        <v>0</v>
      </c>
    </row>
    <row r="144" customFormat="false" ht="12.75" hidden="false" customHeight="true" outlineLevel="0" collapsed="false">
      <c r="A144" s="45" t="s">
        <v>30</v>
      </c>
      <c r="B144" s="46" t="n">
        <v>1</v>
      </c>
      <c r="C144" s="46" t="n">
        <v>0</v>
      </c>
      <c r="D144" s="46" t="n">
        <v>0</v>
      </c>
      <c r="E144" s="46" t="n">
        <v>0</v>
      </c>
      <c r="F144" s="47" t="n">
        <v>0</v>
      </c>
      <c r="G144" s="48" t="n">
        <v>4</v>
      </c>
      <c r="H144" s="48" t="n">
        <v>4</v>
      </c>
      <c r="I144" s="48" t="n">
        <v>4</v>
      </c>
      <c r="J144" s="48" t="n">
        <v>4</v>
      </c>
      <c r="K144" s="48" t="n">
        <v>5</v>
      </c>
      <c r="L144" s="48" t="n">
        <v>4</v>
      </c>
      <c r="M144" s="49" t="n">
        <v>5</v>
      </c>
      <c r="N144" s="49" t="n">
        <v>4</v>
      </c>
      <c r="O144" s="49" t="n">
        <v>3</v>
      </c>
      <c r="P144" s="49" t="n">
        <v>4</v>
      </c>
      <c r="Q144" s="49" t="n">
        <v>5</v>
      </c>
      <c r="R144" s="49" t="n">
        <v>4</v>
      </c>
      <c r="S144" s="50" t="n">
        <v>0</v>
      </c>
      <c r="T144" s="50" t="n">
        <v>33</v>
      </c>
      <c r="U144" s="50" t="n">
        <v>27529</v>
      </c>
      <c r="V144" s="51" t="n">
        <v>2</v>
      </c>
      <c r="W144" s="51" t="n">
        <v>4</v>
      </c>
      <c r="X144" s="51" t="n">
        <v>1</v>
      </c>
      <c r="Y144" s="51" t="n">
        <v>1</v>
      </c>
      <c r="Z144" s="3" t="str">
        <f aca="false">VLOOKUP(A144,'Data Prep'!$A$5:$B$44,2,FALSE())</f>
        <v>Chipotle</v>
      </c>
      <c r="AA144" s="4" t="n">
        <f aca="false">COUNTBLANK(A144:Y144)</f>
        <v>0</v>
      </c>
    </row>
    <row r="145" customFormat="false" ht="12.75" hidden="false" customHeight="true" outlineLevel="0" collapsed="false">
      <c r="A145" s="45" t="s">
        <v>180</v>
      </c>
      <c r="B145" s="46" t="n">
        <v>0</v>
      </c>
      <c r="C145" s="46" t="n">
        <v>0</v>
      </c>
      <c r="D145" s="46" t="n">
        <v>0</v>
      </c>
      <c r="E145" s="46" t="n">
        <v>0</v>
      </c>
      <c r="F145" s="47" t="n">
        <v>0</v>
      </c>
      <c r="G145" s="48" t="n">
        <v>5</v>
      </c>
      <c r="H145" s="48" t="n">
        <v>5</v>
      </c>
      <c r="I145" s="48" t="n">
        <v>5</v>
      </c>
      <c r="J145" s="48" t="n">
        <v>5</v>
      </c>
      <c r="K145" s="48" t="n">
        <v>5</v>
      </c>
      <c r="L145" s="48" t="n">
        <v>5</v>
      </c>
      <c r="M145" s="49" t="n">
        <v>5</v>
      </c>
      <c r="N145" s="49" t="n">
        <v>5</v>
      </c>
      <c r="O145" s="49" t="n">
        <v>5</v>
      </c>
      <c r="P145" s="49" t="n">
        <v>5</v>
      </c>
      <c r="Q145" s="49" t="n">
        <v>5</v>
      </c>
      <c r="R145" s="49" t="n">
        <v>5</v>
      </c>
      <c r="S145" s="50" t="n">
        <v>0</v>
      </c>
      <c r="T145" s="50" t="n">
        <v>19</v>
      </c>
      <c r="U145" s="50" t="n">
        <v>63255</v>
      </c>
      <c r="V145" s="51" t="n">
        <v>1</v>
      </c>
      <c r="W145" s="51" t="n">
        <v>1</v>
      </c>
      <c r="X145" s="51" t="n">
        <v>1</v>
      </c>
      <c r="Y145" s="51" t="n">
        <v>1</v>
      </c>
      <c r="Z145" s="3" t="str">
        <f aca="false">VLOOKUP(A145,'Data Prep'!$A$5:$B$44,2,FALSE())</f>
        <v>Panera Bread</v>
      </c>
      <c r="AA145" s="4" t="n">
        <f aca="false">COUNTBLANK(A145:Y145)</f>
        <v>0</v>
      </c>
    </row>
    <row r="146" customFormat="false" ht="12.75" hidden="false" customHeight="true" outlineLevel="0" collapsed="false">
      <c r="A146" s="45" t="s">
        <v>180</v>
      </c>
      <c r="B146" s="46" t="n">
        <v>0</v>
      </c>
      <c r="C146" s="46" t="n">
        <v>1</v>
      </c>
      <c r="D146" s="46" t="n">
        <v>1</v>
      </c>
      <c r="E146" s="46" t="n">
        <v>0</v>
      </c>
      <c r="F146" s="47" t="n">
        <v>0</v>
      </c>
      <c r="G146" s="48" t="n">
        <v>5</v>
      </c>
      <c r="H146" s="48" t="n">
        <v>3</v>
      </c>
      <c r="I146" s="48" t="n">
        <v>5</v>
      </c>
      <c r="J146" s="48" t="n">
        <v>4</v>
      </c>
      <c r="K146" s="48" t="n">
        <v>5</v>
      </c>
      <c r="L146" s="48" t="n">
        <v>4</v>
      </c>
      <c r="M146" s="49" t="n">
        <v>3</v>
      </c>
      <c r="N146" s="49" t="n">
        <v>3</v>
      </c>
      <c r="O146" s="49" t="n">
        <v>2</v>
      </c>
      <c r="P146" s="49" t="n">
        <v>5</v>
      </c>
      <c r="Q146" s="49" t="n">
        <v>5</v>
      </c>
      <c r="R146" s="49" t="n">
        <v>2</v>
      </c>
      <c r="S146" s="50" t="n">
        <v>1</v>
      </c>
      <c r="T146" s="50" t="n">
        <v>55</v>
      </c>
      <c r="U146" s="50" t="n">
        <v>67983</v>
      </c>
      <c r="V146" s="51" t="n">
        <v>2</v>
      </c>
      <c r="W146" s="51" t="n">
        <v>4</v>
      </c>
      <c r="X146" s="51" t="n">
        <v>2</v>
      </c>
      <c r="Y146" s="51" t="n">
        <v>1</v>
      </c>
      <c r="Z146" s="3" t="str">
        <f aca="false">VLOOKUP(A146,'Data Prep'!$A$5:$B$44,2,FALSE())</f>
        <v>Panera Bread</v>
      </c>
      <c r="AA146" s="4" t="n">
        <f aca="false">COUNTBLANK(A146:Y146)</f>
        <v>0</v>
      </c>
    </row>
    <row r="147" customFormat="false" ht="12.75" hidden="false" customHeight="true" outlineLevel="0" collapsed="false">
      <c r="A147" s="45" t="s">
        <v>180</v>
      </c>
      <c r="B147" s="46" t="n">
        <v>1</v>
      </c>
      <c r="C147" s="46" t="n">
        <v>0</v>
      </c>
      <c r="D147" s="46" t="n">
        <v>0</v>
      </c>
      <c r="E147" s="46" t="n">
        <v>0</v>
      </c>
      <c r="F147" s="47" t="n">
        <v>0</v>
      </c>
      <c r="G147" s="48" t="n">
        <v>5</v>
      </c>
      <c r="H147" s="48" t="n">
        <v>4</v>
      </c>
      <c r="I147" s="48" t="n">
        <v>5</v>
      </c>
      <c r="J147" s="48" t="n">
        <v>5</v>
      </c>
      <c r="K147" s="48" t="n">
        <v>5</v>
      </c>
      <c r="L147" s="48" t="n">
        <v>5</v>
      </c>
      <c r="M147" s="49" t="n">
        <v>5</v>
      </c>
      <c r="N147" s="49" t="n">
        <v>4</v>
      </c>
      <c r="O147" s="49" t="n">
        <v>3</v>
      </c>
      <c r="P147" s="49" t="n">
        <v>5</v>
      </c>
      <c r="Q147" s="49" t="n">
        <v>4</v>
      </c>
      <c r="R147" s="49" t="n">
        <v>5</v>
      </c>
      <c r="S147" s="50" t="n">
        <v>0</v>
      </c>
      <c r="T147" s="50" t="n">
        <v>34</v>
      </c>
      <c r="U147" s="50" t="n">
        <v>27244</v>
      </c>
      <c r="V147" s="51" t="n">
        <v>1</v>
      </c>
      <c r="W147" s="51" t="n">
        <v>4</v>
      </c>
      <c r="X147" s="51" t="n">
        <v>2</v>
      </c>
      <c r="Y147" s="51" t="n">
        <v>2</v>
      </c>
      <c r="Z147" s="3" t="str">
        <f aca="false">VLOOKUP(A147,'Data Prep'!$A$5:$B$44,2,FALSE())</f>
        <v>Panera Bread</v>
      </c>
      <c r="AA147" s="4" t="n">
        <f aca="false">COUNTBLANK(A147:Y147)</f>
        <v>0</v>
      </c>
    </row>
    <row r="148" customFormat="false" ht="12.75" hidden="false" customHeight="true" outlineLevel="0" collapsed="false">
      <c r="A148" s="45" t="s">
        <v>30</v>
      </c>
      <c r="B148" s="46" t="n">
        <v>0</v>
      </c>
      <c r="C148" s="46" t="n">
        <v>0</v>
      </c>
      <c r="D148" s="46" t="n">
        <v>1</v>
      </c>
      <c r="E148" s="46" t="n">
        <v>0</v>
      </c>
      <c r="F148" s="47" t="n">
        <v>0</v>
      </c>
      <c r="G148" s="48" t="n">
        <v>4</v>
      </c>
      <c r="H148" s="48" t="n">
        <v>4</v>
      </c>
      <c r="I148" s="48" t="n">
        <v>3</v>
      </c>
      <c r="J148" s="48" t="n">
        <v>5</v>
      </c>
      <c r="K148" s="48" t="n">
        <v>5</v>
      </c>
      <c r="L148" s="48" t="n">
        <v>4</v>
      </c>
      <c r="M148" s="49" t="n">
        <v>3</v>
      </c>
      <c r="N148" s="49" t="n">
        <v>2</v>
      </c>
      <c r="O148" s="49" t="n">
        <v>2</v>
      </c>
      <c r="P148" s="49" t="n">
        <v>3</v>
      </c>
      <c r="Q148" s="49" t="n">
        <v>3</v>
      </c>
      <c r="R148" s="49" t="n">
        <v>3</v>
      </c>
      <c r="S148" s="50" t="n">
        <v>0</v>
      </c>
      <c r="T148" s="50" t="n">
        <v>37</v>
      </c>
      <c r="U148" s="50" t="n">
        <v>83082</v>
      </c>
      <c r="V148" s="51" t="n">
        <v>1</v>
      </c>
      <c r="W148" s="51" t="n">
        <v>4</v>
      </c>
      <c r="X148" s="51" t="n">
        <v>1</v>
      </c>
      <c r="Y148" s="51" t="n">
        <v>1</v>
      </c>
      <c r="Z148" s="3" t="str">
        <f aca="false">VLOOKUP(A148,'Data Prep'!$A$5:$B$44,2,FALSE())</f>
        <v>Chipotle</v>
      </c>
      <c r="AA148" s="4" t="n">
        <f aca="false">COUNTBLANK(A148:Y148)</f>
        <v>0</v>
      </c>
    </row>
    <row r="149" customFormat="false" ht="12.75" hidden="false" customHeight="true" outlineLevel="0" collapsed="false">
      <c r="A149" s="45" t="s">
        <v>30</v>
      </c>
      <c r="B149" s="46" t="n">
        <v>0</v>
      </c>
      <c r="C149" s="46" t="n">
        <v>0</v>
      </c>
      <c r="D149" s="46" t="n">
        <v>1</v>
      </c>
      <c r="E149" s="46" t="n">
        <v>0</v>
      </c>
      <c r="F149" s="47" t="n">
        <v>0</v>
      </c>
      <c r="G149" s="48" t="n">
        <v>5</v>
      </c>
      <c r="H149" s="48" t="n">
        <v>5</v>
      </c>
      <c r="I149" s="48" t="n">
        <v>5</v>
      </c>
      <c r="J149" s="48" t="n">
        <v>5</v>
      </c>
      <c r="K149" s="48" t="n">
        <v>5</v>
      </c>
      <c r="L149" s="48" t="n">
        <v>4</v>
      </c>
      <c r="M149" s="49" t="n">
        <v>5</v>
      </c>
      <c r="N149" s="49" t="n">
        <v>3</v>
      </c>
      <c r="O149" s="49" t="n">
        <v>2</v>
      </c>
      <c r="P149" s="49" t="n">
        <v>4</v>
      </c>
      <c r="Q149" s="49" t="n">
        <v>5</v>
      </c>
      <c r="R149" s="49" t="n">
        <v>5</v>
      </c>
      <c r="S149" s="50" t="n">
        <v>0</v>
      </c>
      <c r="T149" s="50" t="n">
        <v>29</v>
      </c>
      <c r="U149" s="50" t="n">
        <v>26778</v>
      </c>
      <c r="V149" s="51" t="n">
        <v>1</v>
      </c>
      <c r="W149" s="51" t="n">
        <v>4</v>
      </c>
      <c r="X149" s="51" t="n">
        <v>2</v>
      </c>
      <c r="Y149" s="51" t="n">
        <v>1</v>
      </c>
      <c r="Z149" s="3" t="str">
        <f aca="false">VLOOKUP(A149,'Data Prep'!$A$5:$B$44,2,FALSE())</f>
        <v>Chipotle</v>
      </c>
      <c r="AA149" s="4" t="n">
        <f aca="false">COUNTBLANK(A149:Y149)</f>
        <v>0</v>
      </c>
    </row>
    <row r="150" customFormat="false" ht="12.75" hidden="false" customHeight="true" outlineLevel="0" collapsed="false">
      <c r="A150" s="45" t="s">
        <v>33</v>
      </c>
      <c r="B150" s="46" t="n">
        <v>1</v>
      </c>
      <c r="C150" s="46" t="n">
        <v>0</v>
      </c>
      <c r="D150" s="46" t="n">
        <v>0</v>
      </c>
      <c r="E150" s="46" t="n">
        <v>0</v>
      </c>
      <c r="F150" s="47" t="n">
        <v>0</v>
      </c>
      <c r="G150" s="48" t="n">
        <v>4</v>
      </c>
      <c r="H150" s="48" t="n">
        <v>4</v>
      </c>
      <c r="I150" s="48" t="n">
        <v>5</v>
      </c>
      <c r="J150" s="48" t="n">
        <v>4</v>
      </c>
      <c r="K150" s="48" t="n">
        <v>5</v>
      </c>
      <c r="L150" s="48" t="n">
        <v>4</v>
      </c>
      <c r="M150" s="49" t="n">
        <v>4</v>
      </c>
      <c r="N150" s="49" t="n">
        <v>4</v>
      </c>
      <c r="O150" s="49" t="n">
        <v>3</v>
      </c>
      <c r="P150" s="49" t="n">
        <v>5</v>
      </c>
      <c r="Q150" s="49" t="n">
        <v>5</v>
      </c>
      <c r="R150" s="49" t="n">
        <v>3</v>
      </c>
      <c r="S150" s="50" t="n">
        <v>1</v>
      </c>
      <c r="T150" s="50" t="n">
        <v>59</v>
      </c>
      <c r="U150" s="50" t="n">
        <v>75777</v>
      </c>
      <c r="V150" s="51" t="n">
        <v>2</v>
      </c>
      <c r="W150" s="51" t="n">
        <v>3</v>
      </c>
      <c r="X150" s="51" t="n">
        <v>2</v>
      </c>
      <c r="Y150" s="51" t="n">
        <v>2</v>
      </c>
      <c r="Z150" s="3" t="str">
        <f aca="false">VLOOKUP(A150,'Data Prep'!$A$5:$B$44,2,FALSE())</f>
        <v>In-n-out</v>
      </c>
      <c r="AA150" s="4" t="n">
        <f aca="false">COUNTBLANK(A150:Y150)</f>
        <v>0</v>
      </c>
    </row>
    <row r="151" customFormat="false" ht="12.75" hidden="false" customHeight="true" outlineLevel="0" collapsed="false">
      <c r="A151" s="45" t="s">
        <v>33</v>
      </c>
      <c r="B151" s="46" t="n">
        <v>0</v>
      </c>
      <c r="C151" s="46" t="n">
        <v>0</v>
      </c>
      <c r="D151" s="46" t="n">
        <v>1</v>
      </c>
      <c r="E151" s="46" t="n">
        <v>0</v>
      </c>
      <c r="F151" s="47" t="n">
        <v>0</v>
      </c>
      <c r="G151" s="48" t="n">
        <v>5</v>
      </c>
      <c r="H151" s="48" t="n">
        <v>5</v>
      </c>
      <c r="I151" s="48" t="n">
        <v>5</v>
      </c>
      <c r="J151" s="48" t="n">
        <v>3</v>
      </c>
      <c r="K151" s="48" t="n">
        <v>5</v>
      </c>
      <c r="L151" s="48" t="n">
        <v>5</v>
      </c>
      <c r="M151" s="49" t="n">
        <v>5</v>
      </c>
      <c r="N151" s="49" t="n">
        <v>5</v>
      </c>
      <c r="O151" s="49" t="n">
        <v>3</v>
      </c>
      <c r="P151" s="49" t="n">
        <v>5</v>
      </c>
      <c r="Q151" s="49" t="n">
        <v>5</v>
      </c>
      <c r="R151" s="49" t="n">
        <v>5</v>
      </c>
      <c r="S151" s="50" t="n">
        <v>0</v>
      </c>
      <c r="T151" s="50" t="n">
        <v>54</v>
      </c>
      <c r="U151" s="50" t="n">
        <v>58036</v>
      </c>
      <c r="V151" s="51" t="n">
        <v>1</v>
      </c>
      <c r="W151" s="51" t="n">
        <v>4</v>
      </c>
      <c r="X151" s="51" t="n">
        <v>2</v>
      </c>
      <c r="Y151" s="51" t="n">
        <v>1</v>
      </c>
      <c r="Z151" s="3" t="str">
        <f aca="false">VLOOKUP(A151,'Data Prep'!$A$5:$B$44,2,FALSE())</f>
        <v>In-n-out</v>
      </c>
      <c r="AA151" s="4" t="n">
        <f aca="false">COUNTBLANK(A151:Y151)</f>
        <v>0</v>
      </c>
    </row>
    <row r="152" customFormat="false" ht="12.75" hidden="false" customHeight="true" outlineLevel="0" collapsed="false">
      <c r="A152" s="45" t="s">
        <v>42</v>
      </c>
      <c r="B152" s="46" t="n">
        <v>1</v>
      </c>
      <c r="C152" s="46" t="n">
        <v>0</v>
      </c>
      <c r="D152" s="46" t="n">
        <v>0</v>
      </c>
      <c r="E152" s="46" t="n">
        <v>0</v>
      </c>
      <c r="F152" s="47" t="n">
        <v>0</v>
      </c>
      <c r="G152" s="48" t="n">
        <v>5</v>
      </c>
      <c r="H152" s="48" t="n">
        <v>5</v>
      </c>
      <c r="I152" s="48" t="n">
        <v>5</v>
      </c>
      <c r="J152" s="48" t="n">
        <v>5</v>
      </c>
      <c r="K152" s="48" t="n">
        <v>5</v>
      </c>
      <c r="L152" s="48" t="n">
        <v>4</v>
      </c>
      <c r="M152" s="49" t="n">
        <v>2</v>
      </c>
      <c r="N152" s="49" t="n">
        <v>3</v>
      </c>
      <c r="O152" s="49" t="n">
        <v>4</v>
      </c>
      <c r="P152" s="49" t="n">
        <v>3</v>
      </c>
      <c r="Q152" s="49" t="n">
        <v>3</v>
      </c>
      <c r="R152" s="49" t="n">
        <v>3</v>
      </c>
      <c r="S152" s="50" t="n">
        <v>0</v>
      </c>
      <c r="T152" s="50" t="n">
        <v>57</v>
      </c>
      <c r="U152" s="50" t="n">
        <v>82425</v>
      </c>
      <c r="V152" s="51" t="n">
        <v>2</v>
      </c>
      <c r="W152" s="51" t="n">
        <v>4</v>
      </c>
      <c r="X152" s="51" t="n">
        <v>2</v>
      </c>
      <c r="Y152" s="51" t="n">
        <v>1</v>
      </c>
      <c r="Z152" s="3" t="str">
        <f aca="false">VLOOKUP(A152,'Data Prep'!$A$5:$B$44,2,FALSE())</f>
        <v>Subway</v>
      </c>
      <c r="AA152" s="4" t="n">
        <f aca="false">COUNTBLANK(A152:Y152)</f>
        <v>0</v>
      </c>
    </row>
    <row r="153" customFormat="false" ht="12.75" hidden="false" customHeight="true" outlineLevel="0" collapsed="false">
      <c r="A153" s="45" t="s">
        <v>35</v>
      </c>
      <c r="B153" s="46" t="n">
        <v>1</v>
      </c>
      <c r="C153" s="46" t="n">
        <v>1</v>
      </c>
      <c r="D153" s="46" t="n">
        <v>1</v>
      </c>
      <c r="E153" s="46" t="n">
        <v>0</v>
      </c>
      <c r="F153" s="47" t="n">
        <v>0</v>
      </c>
      <c r="G153" s="48" t="n">
        <v>5</v>
      </c>
      <c r="H153" s="48" t="n">
        <v>5</v>
      </c>
      <c r="I153" s="48" t="n">
        <v>5</v>
      </c>
      <c r="J153" s="48" t="n">
        <v>5</v>
      </c>
      <c r="K153" s="48" t="n">
        <v>5</v>
      </c>
      <c r="L153" s="48" t="n">
        <v>5</v>
      </c>
      <c r="M153" s="49" t="n">
        <v>5</v>
      </c>
      <c r="N153" s="49" t="n">
        <v>4</v>
      </c>
      <c r="O153" s="49" t="n">
        <v>5</v>
      </c>
      <c r="P153" s="49" t="n">
        <v>5</v>
      </c>
      <c r="Q153" s="49" t="n">
        <v>5</v>
      </c>
      <c r="R153" s="49" t="n">
        <v>4</v>
      </c>
      <c r="S153" s="50" t="n">
        <v>0</v>
      </c>
      <c r="T153" s="50" t="n">
        <v>29</v>
      </c>
      <c r="U153" s="50" t="n">
        <v>14472</v>
      </c>
      <c r="V153" s="51" t="n">
        <v>1</v>
      </c>
      <c r="W153" s="51" t="n">
        <v>3</v>
      </c>
      <c r="X153" s="51" t="n">
        <v>1</v>
      </c>
      <c r="Y153" s="51" t="n">
        <v>2</v>
      </c>
      <c r="Z153" s="3" t="str">
        <f aca="false">VLOOKUP(A153,'Data Prep'!$A$5:$B$44,2,FALSE())</f>
        <v>KFC</v>
      </c>
      <c r="AA153" s="4" t="n">
        <f aca="false">COUNTBLANK(A153:Y153)</f>
        <v>0</v>
      </c>
    </row>
    <row r="154" customFormat="false" ht="12.75" hidden="false" customHeight="true" outlineLevel="0" collapsed="false">
      <c r="A154" s="45" t="s">
        <v>33</v>
      </c>
      <c r="B154" s="46" t="n">
        <v>0</v>
      </c>
      <c r="C154" s="46" t="n">
        <v>0</v>
      </c>
      <c r="D154" s="46" t="n">
        <v>1</v>
      </c>
      <c r="E154" s="46" t="n">
        <v>0</v>
      </c>
      <c r="F154" s="47" t="n">
        <v>0</v>
      </c>
      <c r="G154" s="48" t="n">
        <v>4</v>
      </c>
      <c r="H154" s="48" t="n">
        <v>4</v>
      </c>
      <c r="I154" s="48" t="n">
        <v>4</v>
      </c>
      <c r="J154" s="48" t="n">
        <v>5</v>
      </c>
      <c r="K154" s="48" t="n">
        <v>5</v>
      </c>
      <c r="L154" s="48" t="n">
        <v>4</v>
      </c>
      <c r="M154" s="49" t="n">
        <v>4</v>
      </c>
      <c r="N154" s="49" t="n">
        <v>4</v>
      </c>
      <c r="O154" s="49" t="n">
        <v>2</v>
      </c>
      <c r="P154" s="49" t="n">
        <v>5</v>
      </c>
      <c r="Q154" s="49" t="n">
        <v>5</v>
      </c>
      <c r="R154" s="49" t="n">
        <v>4</v>
      </c>
      <c r="S154" s="50" t="n">
        <v>1</v>
      </c>
      <c r="T154" s="50" t="n">
        <v>33</v>
      </c>
      <c r="U154" s="50" t="n">
        <v>80682</v>
      </c>
      <c r="V154" s="51" t="n">
        <v>5</v>
      </c>
      <c r="W154" s="51" t="n">
        <v>3</v>
      </c>
      <c r="X154" s="51" t="n">
        <v>2</v>
      </c>
      <c r="Y154" s="51" t="n">
        <v>1</v>
      </c>
      <c r="Z154" s="3" t="str">
        <f aca="false">VLOOKUP(A154,'Data Prep'!$A$5:$B$44,2,FALSE())</f>
        <v>In-n-out</v>
      </c>
      <c r="AA154" s="4" t="n">
        <f aca="false">COUNTBLANK(A154:Y154)</f>
        <v>0</v>
      </c>
    </row>
    <row r="155" customFormat="false" ht="12.75" hidden="false" customHeight="true" outlineLevel="0" collapsed="false">
      <c r="A155" s="45" t="s">
        <v>42</v>
      </c>
      <c r="B155" s="46" t="n">
        <v>1</v>
      </c>
      <c r="C155" s="46" t="n">
        <v>0</v>
      </c>
      <c r="D155" s="46" t="n">
        <v>0</v>
      </c>
      <c r="E155" s="46" t="n">
        <v>0</v>
      </c>
      <c r="F155" s="47" t="n">
        <v>0</v>
      </c>
      <c r="G155" s="48" t="n">
        <v>4</v>
      </c>
      <c r="H155" s="48" t="n">
        <v>4</v>
      </c>
      <c r="I155" s="48" t="n">
        <v>5</v>
      </c>
      <c r="J155" s="48" t="n">
        <v>5</v>
      </c>
      <c r="K155" s="48" t="n">
        <v>5</v>
      </c>
      <c r="L155" s="48" t="n">
        <v>4</v>
      </c>
      <c r="M155" s="49" t="n">
        <v>4</v>
      </c>
      <c r="N155" s="49" t="n">
        <v>3</v>
      </c>
      <c r="O155" s="49" t="n">
        <v>3</v>
      </c>
      <c r="P155" s="49" t="n">
        <v>5</v>
      </c>
      <c r="Q155" s="49" t="n">
        <v>4</v>
      </c>
      <c r="R155" s="49" t="n">
        <v>4</v>
      </c>
      <c r="S155" s="50" t="n">
        <v>0</v>
      </c>
      <c r="T155" s="50" t="n">
        <v>21</v>
      </c>
      <c r="U155" s="50" t="n">
        <v>28482</v>
      </c>
      <c r="V155" s="51" t="n">
        <v>1</v>
      </c>
      <c r="W155" s="51" t="n">
        <v>4</v>
      </c>
      <c r="X155" s="51" t="n">
        <v>1</v>
      </c>
      <c r="Y155" s="51" t="n">
        <v>1</v>
      </c>
      <c r="Z155" s="3" t="str">
        <f aca="false">VLOOKUP(A155,'Data Prep'!$A$5:$B$44,2,FALSE())</f>
        <v>Subway</v>
      </c>
      <c r="AA155" s="4" t="n">
        <f aca="false">COUNTBLANK(A155:Y155)</f>
        <v>0</v>
      </c>
    </row>
    <row r="156" customFormat="false" ht="12.75" hidden="false" customHeight="true" outlineLevel="0" collapsed="false">
      <c r="A156" s="45" t="s">
        <v>180</v>
      </c>
      <c r="B156" s="46" t="n">
        <v>0</v>
      </c>
      <c r="C156" s="46" t="n">
        <v>0</v>
      </c>
      <c r="D156" s="46" t="n">
        <v>1</v>
      </c>
      <c r="E156" s="46" t="n">
        <v>0</v>
      </c>
      <c r="F156" s="47" t="n">
        <v>0</v>
      </c>
      <c r="G156" s="48" t="n">
        <v>5</v>
      </c>
      <c r="H156" s="48" t="n">
        <v>5</v>
      </c>
      <c r="I156" s="48" t="n">
        <v>5</v>
      </c>
      <c r="J156" s="48" t="n">
        <v>5</v>
      </c>
      <c r="K156" s="48" t="n">
        <v>5</v>
      </c>
      <c r="L156" s="48" t="n">
        <v>5</v>
      </c>
      <c r="M156" s="49" t="n">
        <v>3</v>
      </c>
      <c r="N156" s="49" t="n">
        <v>3</v>
      </c>
      <c r="O156" s="49" t="n">
        <v>3</v>
      </c>
      <c r="P156" s="49" t="n">
        <v>3</v>
      </c>
      <c r="Q156" s="49" t="n">
        <v>3</v>
      </c>
      <c r="R156" s="49" t="n">
        <v>3</v>
      </c>
      <c r="S156" s="50"/>
      <c r="T156" s="50"/>
      <c r="U156" s="50"/>
      <c r="V156" s="51"/>
      <c r="W156" s="51"/>
      <c r="X156" s="51"/>
      <c r="Y156" s="51"/>
      <c r="Z156" s="3" t="str">
        <f aca="false">VLOOKUP(A156,'Data Prep'!$A$5:$B$44,2,FALSE())</f>
        <v>Panera Bread</v>
      </c>
      <c r="AA156" s="4" t="n">
        <f aca="false">COUNTBLANK(A156:Y156)</f>
        <v>7</v>
      </c>
    </row>
    <row r="157" customFormat="false" ht="12.75" hidden="false" customHeight="true" outlineLevel="0" collapsed="false">
      <c r="A157" s="45" t="s">
        <v>33</v>
      </c>
      <c r="B157" s="46" t="n">
        <v>0</v>
      </c>
      <c r="C157" s="46" t="n">
        <v>1</v>
      </c>
      <c r="D157" s="46" t="n">
        <v>0</v>
      </c>
      <c r="E157" s="46" t="n">
        <v>0</v>
      </c>
      <c r="F157" s="47" t="n">
        <v>0</v>
      </c>
      <c r="G157" s="48" t="n">
        <v>4</v>
      </c>
      <c r="H157" s="48" t="n">
        <v>4</v>
      </c>
      <c r="I157" s="48" t="n">
        <v>4</v>
      </c>
      <c r="J157" s="48" t="n">
        <v>4</v>
      </c>
      <c r="K157" s="48" t="n">
        <v>5</v>
      </c>
      <c r="L157" s="48" t="n">
        <v>4</v>
      </c>
      <c r="M157" s="49" t="n">
        <v>3</v>
      </c>
      <c r="N157" s="49" t="n">
        <v>4</v>
      </c>
      <c r="O157" s="49" t="n">
        <v>3</v>
      </c>
      <c r="P157" s="49" t="n">
        <v>5</v>
      </c>
      <c r="Q157" s="49" t="n">
        <v>5</v>
      </c>
      <c r="R157" s="49" t="n">
        <v>5</v>
      </c>
      <c r="S157" s="50" t="n">
        <v>0</v>
      </c>
      <c r="T157" s="50" t="n">
        <v>60</v>
      </c>
      <c r="U157" s="50" t="n">
        <v>74211</v>
      </c>
      <c r="V157" s="51" t="n">
        <v>3</v>
      </c>
      <c r="W157" s="51" t="n">
        <v>3</v>
      </c>
      <c r="X157" s="51" t="n">
        <v>2</v>
      </c>
      <c r="Y157" s="51" t="n">
        <v>2</v>
      </c>
      <c r="Z157" s="3" t="str">
        <f aca="false">VLOOKUP(A157,'Data Prep'!$A$5:$B$44,2,FALSE())</f>
        <v>In-n-out</v>
      </c>
      <c r="AA157" s="4" t="n">
        <f aca="false">COUNTBLANK(A157:Y157)</f>
        <v>0</v>
      </c>
    </row>
    <row r="158" customFormat="false" ht="12.75" hidden="false" customHeight="true" outlineLevel="0" collapsed="false">
      <c r="A158" s="45" t="s">
        <v>180</v>
      </c>
      <c r="B158" s="46" t="n">
        <v>0</v>
      </c>
      <c r="C158" s="46" t="n">
        <v>0</v>
      </c>
      <c r="D158" s="46" t="n">
        <v>1</v>
      </c>
      <c r="E158" s="46" t="n">
        <v>0</v>
      </c>
      <c r="F158" s="47" t="n">
        <v>0</v>
      </c>
      <c r="G158" s="48" t="n">
        <v>5</v>
      </c>
      <c r="H158" s="48" t="n">
        <v>5</v>
      </c>
      <c r="I158" s="48" t="n">
        <v>4</v>
      </c>
      <c r="J158" s="48" t="n">
        <v>4</v>
      </c>
      <c r="K158" s="48" t="n">
        <v>5</v>
      </c>
      <c r="L158" s="48" t="n">
        <v>4</v>
      </c>
      <c r="M158" s="49" t="n">
        <v>2</v>
      </c>
      <c r="N158" s="49" t="n">
        <v>5</v>
      </c>
      <c r="O158" s="49" t="n">
        <v>5</v>
      </c>
      <c r="P158" s="49" t="n">
        <v>5</v>
      </c>
      <c r="Q158" s="49" t="n">
        <v>5</v>
      </c>
      <c r="R158" s="49" t="n">
        <v>5</v>
      </c>
      <c r="S158" s="50" t="n">
        <v>0</v>
      </c>
      <c r="T158" s="50" t="n">
        <v>43</v>
      </c>
      <c r="U158" s="50" t="n">
        <v>42644</v>
      </c>
      <c r="V158" s="51" t="n">
        <v>1</v>
      </c>
      <c r="W158" s="51" t="n">
        <v>2</v>
      </c>
      <c r="X158" s="51" t="n">
        <v>2</v>
      </c>
      <c r="Y158" s="51" t="n">
        <v>2</v>
      </c>
      <c r="Z158" s="3" t="str">
        <f aca="false">VLOOKUP(A158,'Data Prep'!$A$5:$B$44,2,FALSE())</f>
        <v>Panera Bread</v>
      </c>
      <c r="AA158" s="4" t="n">
        <f aca="false">COUNTBLANK(A158:Y158)</f>
        <v>0</v>
      </c>
    </row>
    <row r="159" customFormat="false" ht="12.75" hidden="false" customHeight="true" outlineLevel="0" collapsed="false">
      <c r="A159" s="45" t="s">
        <v>42</v>
      </c>
      <c r="B159" s="46" t="n">
        <v>0</v>
      </c>
      <c r="C159" s="46" t="n">
        <v>1</v>
      </c>
      <c r="D159" s="46" t="n">
        <v>0</v>
      </c>
      <c r="E159" s="46" t="n">
        <v>0</v>
      </c>
      <c r="F159" s="47" t="n">
        <v>0</v>
      </c>
      <c r="G159" s="48" t="n">
        <v>5</v>
      </c>
      <c r="H159" s="48" t="n">
        <v>4</v>
      </c>
      <c r="I159" s="48" t="n">
        <v>5</v>
      </c>
      <c r="J159" s="48" t="n">
        <v>5</v>
      </c>
      <c r="K159" s="48" t="n">
        <v>5</v>
      </c>
      <c r="L159" s="48" t="n">
        <v>5</v>
      </c>
      <c r="M159" s="49" t="n">
        <v>5</v>
      </c>
      <c r="N159" s="49" t="n">
        <v>5</v>
      </c>
      <c r="O159" s="49" t="n">
        <v>3</v>
      </c>
      <c r="P159" s="49" t="n">
        <v>5</v>
      </c>
      <c r="Q159" s="49" t="n">
        <v>5</v>
      </c>
      <c r="R159" s="49" t="n">
        <v>3</v>
      </c>
      <c r="S159" s="50" t="n">
        <v>1</v>
      </c>
      <c r="T159" s="50" t="n">
        <v>42</v>
      </c>
      <c r="U159" s="50" t="n">
        <v>29442</v>
      </c>
      <c r="V159" s="51" t="n">
        <v>1</v>
      </c>
      <c r="W159" s="51" t="n">
        <v>4</v>
      </c>
      <c r="X159" s="51" t="n">
        <v>2</v>
      </c>
      <c r="Y159" s="51" t="n">
        <v>1</v>
      </c>
      <c r="Z159" s="3" t="str">
        <f aca="false">VLOOKUP(A159,'Data Prep'!$A$5:$B$44,2,FALSE())</f>
        <v>Subway</v>
      </c>
      <c r="AA159" s="4" t="n">
        <f aca="false">COUNTBLANK(A159:Y159)</f>
        <v>0</v>
      </c>
    </row>
    <row r="160" customFormat="false" ht="12.75" hidden="false" customHeight="true" outlineLevel="0" collapsed="false">
      <c r="A160" s="45" t="s">
        <v>42</v>
      </c>
      <c r="B160" s="46" t="n">
        <v>1</v>
      </c>
      <c r="C160" s="46" t="n">
        <v>0</v>
      </c>
      <c r="D160" s="46" t="n">
        <v>0</v>
      </c>
      <c r="E160" s="46" t="n">
        <v>0</v>
      </c>
      <c r="F160" s="47" t="n">
        <v>0</v>
      </c>
      <c r="G160" s="48" t="n">
        <v>5</v>
      </c>
      <c r="H160" s="48" t="n">
        <v>5</v>
      </c>
      <c r="I160" s="48" t="n">
        <v>5</v>
      </c>
      <c r="J160" s="48" t="n">
        <v>5</v>
      </c>
      <c r="K160" s="48" t="n">
        <v>5</v>
      </c>
      <c r="L160" s="48" t="n">
        <v>5</v>
      </c>
      <c r="M160" s="49" t="n">
        <v>5</v>
      </c>
      <c r="N160" s="49" t="n">
        <v>5</v>
      </c>
      <c r="O160" s="49" t="n">
        <v>5</v>
      </c>
      <c r="P160" s="49" t="n">
        <v>5</v>
      </c>
      <c r="Q160" s="49" t="n">
        <v>5</v>
      </c>
      <c r="R160" s="49" t="n">
        <v>5</v>
      </c>
      <c r="S160" s="50" t="n">
        <v>0</v>
      </c>
      <c r="T160" s="50" t="n">
        <v>41</v>
      </c>
      <c r="U160" s="50" t="n">
        <v>25062</v>
      </c>
      <c r="V160" s="51" t="n">
        <v>1</v>
      </c>
      <c r="W160" s="51" t="n">
        <v>2</v>
      </c>
      <c r="X160" s="51" t="n">
        <v>1</v>
      </c>
      <c r="Y160" s="51" t="n">
        <v>1</v>
      </c>
      <c r="Z160" s="3" t="str">
        <f aca="false">VLOOKUP(A160,'Data Prep'!$A$5:$B$44,2,FALSE())</f>
        <v>Subway</v>
      </c>
      <c r="AA160" s="4" t="n">
        <f aca="false">COUNTBLANK(A160:Y160)</f>
        <v>0</v>
      </c>
    </row>
    <row r="161" customFormat="false" ht="12.75" hidden="false" customHeight="true" outlineLevel="0" collapsed="false">
      <c r="A161" s="45" t="s">
        <v>33</v>
      </c>
      <c r="B161" s="46" t="n">
        <v>1</v>
      </c>
      <c r="C161" s="46" t="n">
        <v>0</v>
      </c>
      <c r="D161" s="46" t="n">
        <v>0</v>
      </c>
      <c r="E161" s="46" t="n">
        <v>0</v>
      </c>
      <c r="F161" s="47" t="n">
        <v>4</v>
      </c>
      <c r="G161" s="48" t="n">
        <v>4</v>
      </c>
      <c r="H161" s="48" t="n">
        <v>5</v>
      </c>
      <c r="I161" s="48" t="n">
        <v>5</v>
      </c>
      <c r="J161" s="48" t="n">
        <v>5</v>
      </c>
      <c r="K161" s="48" t="n">
        <v>5</v>
      </c>
      <c r="L161" s="48" t="n">
        <v>4</v>
      </c>
      <c r="M161" s="49" t="n">
        <v>3</v>
      </c>
      <c r="N161" s="49" t="n">
        <v>5</v>
      </c>
      <c r="O161" s="49" t="n">
        <v>5</v>
      </c>
      <c r="P161" s="49" t="n">
        <v>5</v>
      </c>
      <c r="Q161" s="49" t="n">
        <v>5</v>
      </c>
      <c r="R161" s="49" t="n">
        <v>3</v>
      </c>
      <c r="S161" s="50" t="n">
        <v>0</v>
      </c>
      <c r="T161" s="50" t="n">
        <v>40</v>
      </c>
      <c r="U161" s="50" t="n">
        <v>56304</v>
      </c>
      <c r="V161" s="51" t="n">
        <v>1</v>
      </c>
      <c r="W161" s="51" t="n">
        <v>3</v>
      </c>
      <c r="X161" s="51" t="n">
        <v>1</v>
      </c>
      <c r="Y161" s="51" t="n">
        <v>1</v>
      </c>
      <c r="Z161" s="3" t="str">
        <f aca="false">VLOOKUP(A161,'Data Prep'!$A$5:$B$44,2,FALSE())</f>
        <v>In-n-out</v>
      </c>
      <c r="AA161" s="4" t="n">
        <f aca="false">COUNTBLANK(A161:Y161)</f>
        <v>0</v>
      </c>
    </row>
    <row r="162" customFormat="false" ht="12.75" hidden="false" customHeight="true" outlineLevel="0" collapsed="false">
      <c r="A162" s="45" t="s">
        <v>42</v>
      </c>
      <c r="B162" s="46" t="n">
        <v>0</v>
      </c>
      <c r="C162" s="46" t="n">
        <v>0</v>
      </c>
      <c r="D162" s="46" t="n">
        <v>1</v>
      </c>
      <c r="E162" s="46" t="n">
        <v>0</v>
      </c>
      <c r="F162" s="47" t="n">
        <v>0</v>
      </c>
      <c r="G162" s="48" t="n">
        <v>4</v>
      </c>
      <c r="H162" s="48" t="n">
        <v>4</v>
      </c>
      <c r="I162" s="48" t="n">
        <v>4</v>
      </c>
      <c r="J162" s="48" t="n">
        <v>3</v>
      </c>
      <c r="K162" s="48" t="n">
        <v>5</v>
      </c>
      <c r="L162" s="48" t="n">
        <v>4</v>
      </c>
      <c r="M162" s="49" t="n">
        <v>2</v>
      </c>
      <c r="N162" s="49" t="n">
        <v>4</v>
      </c>
      <c r="O162" s="49" t="n">
        <v>3</v>
      </c>
      <c r="P162" s="49" t="n">
        <v>4</v>
      </c>
      <c r="Q162" s="49" t="n">
        <v>5</v>
      </c>
      <c r="R162" s="49" t="n">
        <v>4</v>
      </c>
      <c r="S162" s="50" t="n">
        <v>0</v>
      </c>
      <c r="T162" s="50" t="n">
        <v>39</v>
      </c>
      <c r="U162" s="50" t="n">
        <v>61332</v>
      </c>
      <c r="V162" s="51" t="n">
        <v>2</v>
      </c>
      <c r="W162" s="51" t="n">
        <v>2</v>
      </c>
      <c r="X162" s="51" t="n">
        <v>1</v>
      </c>
      <c r="Y162" s="51" t="n">
        <v>2</v>
      </c>
      <c r="Z162" s="3" t="str">
        <f aca="false">VLOOKUP(A162,'Data Prep'!$A$5:$B$44,2,FALSE())</f>
        <v>Subway</v>
      </c>
      <c r="AA162" s="4" t="n">
        <f aca="false">COUNTBLANK(A162:Y162)</f>
        <v>0</v>
      </c>
    </row>
    <row r="163" customFormat="false" ht="12.75" hidden="false" customHeight="true" outlineLevel="0" collapsed="false">
      <c r="A163" s="45" t="s">
        <v>186</v>
      </c>
      <c r="B163" s="46" t="n">
        <v>1</v>
      </c>
      <c r="C163" s="46" t="n">
        <v>0</v>
      </c>
      <c r="D163" s="46" t="n">
        <v>0</v>
      </c>
      <c r="E163" s="46" t="n">
        <v>0</v>
      </c>
      <c r="F163" s="47" t="n">
        <v>2</v>
      </c>
      <c r="G163" s="48" t="n">
        <v>5</v>
      </c>
      <c r="H163" s="48" t="n">
        <v>5</v>
      </c>
      <c r="I163" s="48" t="n">
        <v>4</v>
      </c>
      <c r="J163" s="48" t="n">
        <v>3</v>
      </c>
      <c r="K163" s="48" t="n">
        <v>5</v>
      </c>
      <c r="L163" s="48" t="n">
        <v>5</v>
      </c>
      <c r="M163" s="49" t="n">
        <v>2</v>
      </c>
      <c r="N163" s="49" t="n">
        <v>5</v>
      </c>
      <c r="O163" s="49" t="n">
        <v>5</v>
      </c>
      <c r="P163" s="49" t="n">
        <v>5</v>
      </c>
      <c r="Q163" s="49" t="n">
        <v>5</v>
      </c>
      <c r="R163" s="49" t="n">
        <v>3</v>
      </c>
      <c r="S163" s="50" t="n">
        <v>0</v>
      </c>
      <c r="T163" s="50" t="n">
        <v>29</v>
      </c>
      <c r="U163" s="50" t="n">
        <v>80871</v>
      </c>
      <c r="V163" s="51" t="n">
        <v>2</v>
      </c>
      <c r="W163" s="51" t="n">
        <v>2</v>
      </c>
      <c r="X163" s="51" t="n">
        <v>1</v>
      </c>
      <c r="Y163" s="51" t="n">
        <v>1</v>
      </c>
      <c r="Z163" s="3" t="str">
        <f aca="false">VLOOKUP(A163,'Data Prep'!$A$5:$B$44,2,FALSE())</f>
        <v>Panera Bread</v>
      </c>
      <c r="AA163" s="4" t="n">
        <f aca="false">COUNTBLANK(A163:Y163)</f>
        <v>0</v>
      </c>
    </row>
    <row r="164" customFormat="false" ht="12.75" hidden="false" customHeight="true" outlineLevel="0" collapsed="false">
      <c r="A164" s="45" t="s">
        <v>35</v>
      </c>
      <c r="B164" s="46" t="n">
        <v>0</v>
      </c>
      <c r="C164" s="46" t="n">
        <v>0</v>
      </c>
      <c r="D164" s="46" t="n">
        <v>1</v>
      </c>
      <c r="E164" s="46" t="n">
        <v>0</v>
      </c>
      <c r="F164" s="47" t="n">
        <v>0</v>
      </c>
      <c r="G164" s="48" t="n">
        <v>5</v>
      </c>
      <c r="H164" s="48" t="n">
        <v>5</v>
      </c>
      <c r="I164" s="48" t="n">
        <v>5</v>
      </c>
      <c r="J164" s="48" t="n">
        <v>5</v>
      </c>
      <c r="K164" s="48" t="n">
        <v>5</v>
      </c>
      <c r="L164" s="48" t="n">
        <v>5</v>
      </c>
      <c r="M164" s="49" t="n">
        <v>3</v>
      </c>
      <c r="N164" s="49" t="n">
        <v>3</v>
      </c>
      <c r="O164" s="49" t="n">
        <v>2</v>
      </c>
      <c r="P164" s="49" t="n">
        <v>3</v>
      </c>
      <c r="Q164" s="49" t="n">
        <v>3</v>
      </c>
      <c r="R164" s="49" t="n">
        <v>3</v>
      </c>
      <c r="S164" s="50" t="n">
        <v>1</v>
      </c>
      <c r="T164" s="50" t="n">
        <v>34</v>
      </c>
      <c r="U164" s="50" t="n">
        <v>36861</v>
      </c>
      <c r="V164" s="51" t="n">
        <v>3</v>
      </c>
      <c r="W164" s="51" t="n">
        <v>2</v>
      </c>
      <c r="X164" s="51" t="n">
        <v>1</v>
      </c>
      <c r="Y164" s="51" t="n">
        <v>1</v>
      </c>
      <c r="Z164" s="3" t="str">
        <f aca="false">VLOOKUP(A164,'Data Prep'!$A$5:$B$44,2,FALSE())</f>
        <v>KFC</v>
      </c>
      <c r="AA164" s="4" t="n">
        <f aca="false">COUNTBLANK(A164:Y164)</f>
        <v>0</v>
      </c>
    </row>
    <row r="165" customFormat="false" ht="12.75" hidden="false" customHeight="true" outlineLevel="0" collapsed="false">
      <c r="A165" s="45" t="s">
        <v>42</v>
      </c>
      <c r="B165" s="46" t="n">
        <v>1</v>
      </c>
      <c r="C165" s="46" t="n">
        <v>0</v>
      </c>
      <c r="D165" s="46" t="n">
        <v>0</v>
      </c>
      <c r="E165" s="46" t="n">
        <v>0</v>
      </c>
      <c r="F165" s="47" t="n">
        <v>2</v>
      </c>
      <c r="G165" s="48" t="n">
        <v>4</v>
      </c>
      <c r="H165" s="48" t="n">
        <v>5</v>
      </c>
      <c r="I165" s="48" t="n">
        <v>5</v>
      </c>
      <c r="J165" s="48" t="n">
        <v>5</v>
      </c>
      <c r="K165" s="48" t="n">
        <v>5</v>
      </c>
      <c r="L165" s="48" t="n">
        <v>4</v>
      </c>
      <c r="M165" s="49" t="n">
        <v>3</v>
      </c>
      <c r="N165" s="49" t="n">
        <v>4</v>
      </c>
      <c r="O165" s="49" t="n">
        <v>5</v>
      </c>
      <c r="P165" s="49" t="n">
        <v>5</v>
      </c>
      <c r="Q165" s="49" t="n">
        <v>5</v>
      </c>
      <c r="R165" s="49" t="n">
        <v>5</v>
      </c>
      <c r="S165" s="50" t="n">
        <v>0</v>
      </c>
      <c r="T165" s="50" t="n">
        <v>33</v>
      </c>
      <c r="U165" s="50" t="n">
        <v>31344</v>
      </c>
      <c r="V165" s="51" t="n">
        <v>1</v>
      </c>
      <c r="W165" s="51" t="n">
        <v>2</v>
      </c>
      <c r="X165" s="51" t="n">
        <v>1</v>
      </c>
      <c r="Y165" s="51" t="n">
        <v>2</v>
      </c>
      <c r="Z165" s="3" t="str">
        <f aca="false">VLOOKUP(A165,'Data Prep'!$A$5:$B$44,2,FALSE())</f>
        <v>Subway</v>
      </c>
      <c r="AA165" s="4" t="n">
        <f aca="false">COUNTBLANK(A165:Y165)</f>
        <v>0</v>
      </c>
    </row>
    <row r="166" customFormat="false" ht="12.75" hidden="false" customHeight="true" outlineLevel="0" collapsed="false">
      <c r="A166" s="45" t="s">
        <v>180</v>
      </c>
      <c r="B166" s="46" t="n">
        <v>1</v>
      </c>
      <c r="C166" s="46" t="n">
        <v>0</v>
      </c>
      <c r="D166" s="46" t="n">
        <v>0</v>
      </c>
      <c r="E166" s="46" t="n">
        <v>0</v>
      </c>
      <c r="F166" s="47" t="n">
        <v>0</v>
      </c>
      <c r="G166" s="48" t="n">
        <v>5</v>
      </c>
      <c r="H166" s="48" t="n">
        <v>5</v>
      </c>
      <c r="I166" s="48" t="n">
        <v>5</v>
      </c>
      <c r="J166" s="48" t="n">
        <v>5</v>
      </c>
      <c r="K166" s="48" t="n">
        <v>5</v>
      </c>
      <c r="L166" s="48" t="n">
        <v>5</v>
      </c>
      <c r="M166" s="49" t="n">
        <v>3</v>
      </c>
      <c r="N166" s="49" t="n">
        <v>3</v>
      </c>
      <c r="O166" s="49" t="n">
        <v>3</v>
      </c>
      <c r="P166" s="49" t="n">
        <v>5</v>
      </c>
      <c r="Q166" s="49" t="n">
        <v>3</v>
      </c>
      <c r="R166" s="49" t="n">
        <v>3</v>
      </c>
      <c r="S166" s="50" t="n">
        <v>0</v>
      </c>
      <c r="T166" s="50" t="n">
        <v>45</v>
      </c>
      <c r="U166" s="50" t="n">
        <v>51424</v>
      </c>
      <c r="V166" s="51" t="n">
        <v>3</v>
      </c>
      <c r="W166" s="51" t="n">
        <v>4</v>
      </c>
      <c r="X166" s="51" t="n">
        <v>1</v>
      </c>
      <c r="Y166" s="51" t="n">
        <v>1</v>
      </c>
      <c r="Z166" s="3" t="str">
        <f aca="false">VLOOKUP(A166,'Data Prep'!$A$5:$B$44,2,FALSE())</f>
        <v>Panera Bread</v>
      </c>
      <c r="AA166" s="4" t="n">
        <f aca="false">COUNTBLANK(A166:Y166)</f>
        <v>0</v>
      </c>
    </row>
    <row r="167" customFormat="false" ht="12.75" hidden="false" customHeight="true" outlineLevel="0" collapsed="false">
      <c r="A167" s="45" t="s">
        <v>35</v>
      </c>
      <c r="B167" s="46" t="n">
        <v>1</v>
      </c>
      <c r="C167" s="46" t="n">
        <v>0</v>
      </c>
      <c r="D167" s="46" t="n">
        <v>0</v>
      </c>
      <c r="E167" s="46" t="n">
        <v>0</v>
      </c>
      <c r="F167" s="47" t="n">
        <v>0</v>
      </c>
      <c r="G167" s="48" t="n">
        <v>4</v>
      </c>
      <c r="H167" s="48" t="n">
        <v>4</v>
      </c>
      <c r="I167" s="48" t="n">
        <v>4</v>
      </c>
      <c r="J167" s="48" t="n">
        <v>4</v>
      </c>
      <c r="K167" s="48" t="n">
        <v>5</v>
      </c>
      <c r="L167" s="48" t="n">
        <v>4</v>
      </c>
      <c r="M167" s="49" t="n">
        <v>4</v>
      </c>
      <c r="N167" s="49" t="n">
        <v>4</v>
      </c>
      <c r="O167" s="49" t="n">
        <v>4</v>
      </c>
      <c r="P167" s="49" t="n">
        <v>4</v>
      </c>
      <c r="Q167" s="49" t="n">
        <v>5</v>
      </c>
      <c r="R167" s="49" t="n">
        <v>4</v>
      </c>
      <c r="S167" s="50" t="n">
        <v>0</v>
      </c>
      <c r="T167" s="50" t="n">
        <v>48</v>
      </c>
      <c r="U167" s="50" t="n">
        <v>38160</v>
      </c>
      <c r="V167" s="51" t="n">
        <v>2</v>
      </c>
      <c r="W167" s="51" t="n">
        <v>3</v>
      </c>
      <c r="X167" s="51" t="n">
        <v>2</v>
      </c>
      <c r="Y167" s="51" t="n">
        <v>2</v>
      </c>
      <c r="Z167" s="3" t="str">
        <f aca="false">VLOOKUP(A167,'Data Prep'!$A$5:$B$44,2,FALSE())</f>
        <v>KFC</v>
      </c>
      <c r="AA167" s="4" t="n">
        <f aca="false">COUNTBLANK(A167:Y167)</f>
        <v>0</v>
      </c>
    </row>
    <row r="168" customFormat="false" ht="12.75" hidden="false" customHeight="true" outlineLevel="0" collapsed="false">
      <c r="A168" s="45" t="s">
        <v>31</v>
      </c>
      <c r="B168" s="46" t="n">
        <v>1</v>
      </c>
      <c r="C168" s="46" t="n">
        <v>0</v>
      </c>
      <c r="D168" s="46" t="n">
        <v>0</v>
      </c>
      <c r="E168" s="46" t="n">
        <v>0</v>
      </c>
      <c r="F168" s="47" t="n">
        <v>3</v>
      </c>
      <c r="G168" s="48" t="n">
        <v>4</v>
      </c>
      <c r="H168" s="48" t="n">
        <v>4</v>
      </c>
      <c r="I168" s="48" t="n">
        <v>4</v>
      </c>
      <c r="J168" s="48" t="n">
        <v>4</v>
      </c>
      <c r="K168" s="48" t="n">
        <v>4</v>
      </c>
      <c r="L168" s="48" t="n">
        <v>4</v>
      </c>
      <c r="M168" s="49" t="n">
        <v>4</v>
      </c>
      <c r="N168" s="49" t="n">
        <v>5</v>
      </c>
      <c r="O168" s="49" t="n">
        <v>5</v>
      </c>
      <c r="P168" s="49" t="n">
        <v>5</v>
      </c>
      <c r="Q168" s="49" t="n">
        <v>5</v>
      </c>
      <c r="R168" s="49" t="n">
        <v>3</v>
      </c>
      <c r="S168" s="50" t="n">
        <v>0</v>
      </c>
      <c r="T168" s="50" t="n">
        <v>51</v>
      </c>
      <c r="U168" s="50" t="n">
        <v>31904</v>
      </c>
      <c r="V168" s="51" t="n">
        <v>1</v>
      </c>
      <c r="W168" s="51" t="n">
        <v>4</v>
      </c>
      <c r="X168" s="51" t="n">
        <v>2</v>
      </c>
      <c r="Y168" s="51" t="n">
        <v>1</v>
      </c>
      <c r="Z168" s="3" t="str">
        <f aca="false">VLOOKUP(A168,'Data Prep'!$A$5:$B$44,2,FALSE())</f>
        <v>El Pollo Loco</v>
      </c>
      <c r="AA168" s="4" t="n">
        <f aca="false">COUNTBLANK(A168:Y168)</f>
        <v>0</v>
      </c>
    </row>
    <row r="169" customFormat="false" ht="12.75" hidden="false" customHeight="true" outlineLevel="0" collapsed="false">
      <c r="A169" s="45" t="s">
        <v>31</v>
      </c>
      <c r="B169" s="46" t="n">
        <v>1</v>
      </c>
      <c r="C169" s="46" t="n">
        <v>0</v>
      </c>
      <c r="D169" s="46" t="n">
        <v>0</v>
      </c>
      <c r="E169" s="46" t="n">
        <v>0</v>
      </c>
      <c r="F169" s="47" t="n">
        <v>0</v>
      </c>
      <c r="G169" s="48" t="n">
        <v>4</v>
      </c>
      <c r="H169" s="48" t="n">
        <v>4</v>
      </c>
      <c r="I169" s="48" t="n">
        <v>5</v>
      </c>
      <c r="J169" s="48" t="n">
        <v>3</v>
      </c>
      <c r="K169" s="48" t="n">
        <v>5</v>
      </c>
      <c r="L169" s="48" t="n">
        <v>4</v>
      </c>
      <c r="M169" s="49" t="n">
        <v>3</v>
      </c>
      <c r="N169" s="49" t="n">
        <v>2</v>
      </c>
      <c r="O169" s="49" t="n">
        <v>2</v>
      </c>
      <c r="P169" s="49" t="n">
        <v>5</v>
      </c>
      <c r="Q169" s="49" t="n">
        <v>4</v>
      </c>
      <c r="R169" s="49" t="n">
        <v>3</v>
      </c>
      <c r="S169" s="50" t="n">
        <v>0</v>
      </c>
      <c r="T169" s="50" t="n">
        <v>33</v>
      </c>
      <c r="U169" s="50" t="n">
        <v>25853</v>
      </c>
      <c r="V169" s="51" t="n">
        <v>2</v>
      </c>
      <c r="W169" s="51" t="n">
        <v>1</v>
      </c>
      <c r="X169" s="51" t="n">
        <v>2</v>
      </c>
      <c r="Y169" s="51" t="n">
        <v>3</v>
      </c>
      <c r="Z169" s="3" t="str">
        <f aca="false">VLOOKUP(A169,'Data Prep'!$A$5:$B$44,2,FALSE())</f>
        <v>El Pollo Loco</v>
      </c>
      <c r="AA169" s="4" t="n">
        <f aca="false">COUNTBLANK(A169:Y169)</f>
        <v>0</v>
      </c>
    </row>
    <row r="170" customFormat="false" ht="12.75" hidden="false" customHeight="true" outlineLevel="0" collapsed="false">
      <c r="A170" s="45" t="s">
        <v>30</v>
      </c>
      <c r="B170" s="46" t="n">
        <v>0</v>
      </c>
      <c r="C170" s="46" t="n">
        <v>0</v>
      </c>
      <c r="D170" s="46" t="n">
        <v>1</v>
      </c>
      <c r="E170" s="46" t="n">
        <v>0</v>
      </c>
      <c r="F170" s="47" t="n">
        <v>0</v>
      </c>
      <c r="G170" s="48" t="n">
        <v>5</v>
      </c>
      <c r="H170" s="48" t="n">
        <v>4</v>
      </c>
      <c r="I170" s="48" t="n">
        <v>4</v>
      </c>
      <c r="J170" s="48" t="n">
        <v>4</v>
      </c>
      <c r="K170" s="48" t="n">
        <v>4</v>
      </c>
      <c r="L170" s="48" t="n">
        <v>4</v>
      </c>
      <c r="M170" s="49" t="n">
        <v>4</v>
      </c>
      <c r="N170" s="49" t="n">
        <v>4</v>
      </c>
      <c r="O170" s="49" t="n">
        <v>4</v>
      </c>
      <c r="P170" s="49" t="n">
        <v>4</v>
      </c>
      <c r="Q170" s="49" t="n">
        <v>4</v>
      </c>
      <c r="R170" s="49" t="n">
        <v>4</v>
      </c>
      <c r="S170" s="50" t="n">
        <v>0</v>
      </c>
      <c r="T170" s="50" t="n">
        <v>51</v>
      </c>
      <c r="U170" s="50" t="n">
        <v>41883</v>
      </c>
      <c r="V170" s="51" t="n">
        <v>2</v>
      </c>
      <c r="W170" s="51" t="n">
        <v>2</v>
      </c>
      <c r="X170" s="51" t="n">
        <v>2</v>
      </c>
      <c r="Y170" s="51" t="n">
        <v>2</v>
      </c>
      <c r="Z170" s="3" t="str">
        <f aca="false">VLOOKUP(A170,'Data Prep'!$A$5:$B$44,2,FALSE())</f>
        <v>Chipotle</v>
      </c>
      <c r="AA170" s="4" t="n">
        <f aca="false">COUNTBLANK(A170:Y170)</f>
        <v>0</v>
      </c>
    </row>
    <row r="171" customFormat="false" ht="12.75" hidden="false" customHeight="true" outlineLevel="0" collapsed="false">
      <c r="A171" s="45" t="s">
        <v>31</v>
      </c>
      <c r="B171" s="46" t="n">
        <v>1</v>
      </c>
      <c r="C171" s="46" t="n">
        <v>0</v>
      </c>
      <c r="D171" s="46" t="n">
        <v>1</v>
      </c>
      <c r="E171" s="46" t="n">
        <v>0</v>
      </c>
      <c r="F171" s="47" t="n">
        <v>0</v>
      </c>
      <c r="G171" s="48" t="n">
        <v>5</v>
      </c>
      <c r="H171" s="48" t="n">
        <v>5</v>
      </c>
      <c r="I171" s="48" t="n">
        <v>5</v>
      </c>
      <c r="J171" s="48" t="n">
        <v>5</v>
      </c>
      <c r="K171" s="48" t="n">
        <v>5</v>
      </c>
      <c r="L171" s="48" t="n">
        <v>5</v>
      </c>
      <c r="M171" s="49" t="n">
        <v>5</v>
      </c>
      <c r="N171" s="49" t="n">
        <v>5</v>
      </c>
      <c r="O171" s="49" t="n">
        <v>5</v>
      </c>
      <c r="P171" s="49" t="n">
        <v>5</v>
      </c>
      <c r="Q171" s="49" t="n">
        <v>5</v>
      </c>
      <c r="R171" s="49" t="n">
        <v>5</v>
      </c>
      <c r="S171" s="50" t="n">
        <v>0</v>
      </c>
      <c r="T171" s="50" t="n">
        <v>50</v>
      </c>
      <c r="U171" s="50" t="n">
        <v>35736</v>
      </c>
      <c r="V171" s="51" t="n">
        <v>2</v>
      </c>
      <c r="W171" s="51" t="n">
        <v>4</v>
      </c>
      <c r="X171" s="51" t="n">
        <v>2</v>
      </c>
      <c r="Y171" s="51" t="n">
        <v>2</v>
      </c>
      <c r="Z171" s="3" t="str">
        <f aca="false">VLOOKUP(A171,'Data Prep'!$A$5:$B$44,2,FALSE())</f>
        <v>El Pollo Loco</v>
      </c>
      <c r="AA171" s="4" t="n">
        <f aca="false">COUNTBLANK(A171:Y171)</f>
        <v>0</v>
      </c>
    </row>
    <row r="172" customFormat="false" ht="12.75" hidden="false" customHeight="true" outlineLevel="0" collapsed="false">
      <c r="A172" s="45" t="s">
        <v>42</v>
      </c>
      <c r="B172" s="46" t="n">
        <v>0</v>
      </c>
      <c r="C172" s="46" t="n">
        <v>0</v>
      </c>
      <c r="D172" s="46" t="n">
        <v>0</v>
      </c>
      <c r="E172" s="46" t="n">
        <v>0</v>
      </c>
      <c r="F172" s="47" t="n">
        <v>0</v>
      </c>
      <c r="G172" s="48" t="n">
        <v>5</v>
      </c>
      <c r="H172" s="48" t="n">
        <v>5</v>
      </c>
      <c r="I172" s="48" t="n">
        <v>5</v>
      </c>
      <c r="J172" s="48" t="n">
        <v>5</v>
      </c>
      <c r="K172" s="48" t="n">
        <v>5</v>
      </c>
      <c r="L172" s="48" t="n">
        <v>5</v>
      </c>
      <c r="M172" s="49" t="n">
        <v>5</v>
      </c>
      <c r="N172" s="49" t="n">
        <v>5</v>
      </c>
      <c r="O172" s="49" t="n">
        <v>5</v>
      </c>
      <c r="P172" s="49" t="n">
        <v>5</v>
      </c>
      <c r="Q172" s="49" t="n">
        <v>5</v>
      </c>
      <c r="R172" s="49" t="n">
        <v>5</v>
      </c>
      <c r="S172" s="50" t="n">
        <v>1</v>
      </c>
      <c r="T172" s="50" t="n">
        <v>55</v>
      </c>
      <c r="U172" s="50" t="n">
        <v>58912</v>
      </c>
      <c r="V172" s="51" t="n">
        <v>2</v>
      </c>
      <c r="W172" s="51" t="n">
        <v>2</v>
      </c>
      <c r="X172" s="51" t="n">
        <v>2</v>
      </c>
      <c r="Y172" s="51" t="n">
        <v>2</v>
      </c>
      <c r="Z172" s="3" t="str">
        <f aca="false">VLOOKUP(A172,'Data Prep'!$A$5:$B$44,2,FALSE())</f>
        <v>Subway</v>
      </c>
      <c r="AA172" s="4" t="n">
        <f aca="false">COUNTBLANK(A172:Y172)</f>
        <v>0</v>
      </c>
    </row>
    <row r="173" customFormat="false" ht="12.75" hidden="false" customHeight="true" outlineLevel="0" collapsed="false">
      <c r="A173" s="45" t="s">
        <v>31</v>
      </c>
      <c r="B173" s="46" t="n">
        <v>0</v>
      </c>
      <c r="C173" s="46" t="n">
        <v>0</v>
      </c>
      <c r="D173" s="46" t="n">
        <v>1</v>
      </c>
      <c r="E173" s="46" t="n">
        <v>0</v>
      </c>
      <c r="F173" s="47" t="n">
        <v>0</v>
      </c>
      <c r="G173" s="48" t="n">
        <v>5</v>
      </c>
      <c r="H173" s="48" t="n">
        <v>5</v>
      </c>
      <c r="I173" s="48" t="n">
        <v>5</v>
      </c>
      <c r="J173" s="48" t="n">
        <v>4</v>
      </c>
      <c r="K173" s="48" t="n">
        <v>5</v>
      </c>
      <c r="L173" s="48" t="n">
        <v>4</v>
      </c>
      <c r="M173" s="49" t="n">
        <v>5</v>
      </c>
      <c r="N173" s="49" t="n">
        <v>3</v>
      </c>
      <c r="O173" s="49" t="n">
        <v>3</v>
      </c>
      <c r="P173" s="49" t="n">
        <v>3</v>
      </c>
      <c r="Q173" s="49" t="n">
        <v>5</v>
      </c>
      <c r="R173" s="49" t="n">
        <v>5</v>
      </c>
      <c r="S173" s="50" t="n">
        <v>1</v>
      </c>
      <c r="T173" s="50" t="n">
        <v>33</v>
      </c>
      <c r="U173" s="50" t="n">
        <v>25752</v>
      </c>
      <c r="V173" s="51" t="n">
        <v>2</v>
      </c>
      <c r="W173" s="51" t="n">
        <v>2</v>
      </c>
      <c r="X173" s="51" t="n">
        <v>2</v>
      </c>
      <c r="Y173" s="51" t="n">
        <v>2</v>
      </c>
      <c r="Z173" s="3" t="str">
        <f aca="false">VLOOKUP(A173,'Data Prep'!$A$5:$B$44,2,FALSE())</f>
        <v>El Pollo Loco</v>
      </c>
      <c r="AA173" s="4" t="n">
        <f aca="false">COUNTBLANK(A173:Y173)</f>
        <v>0</v>
      </c>
    </row>
    <row r="174" customFormat="false" ht="12.75" hidden="false" customHeight="true" outlineLevel="0" collapsed="false">
      <c r="A174" s="45" t="s">
        <v>31</v>
      </c>
      <c r="B174" s="46" t="n">
        <v>0</v>
      </c>
      <c r="C174" s="46" t="n">
        <v>1</v>
      </c>
      <c r="D174" s="46" t="n">
        <v>0</v>
      </c>
      <c r="E174" s="46" t="n">
        <v>0</v>
      </c>
      <c r="F174" s="47" t="n">
        <v>0</v>
      </c>
      <c r="G174" s="48" t="n">
        <v>4</v>
      </c>
      <c r="H174" s="48" t="n">
        <v>4</v>
      </c>
      <c r="I174" s="48" t="n">
        <v>5</v>
      </c>
      <c r="J174" s="48" t="n">
        <v>5</v>
      </c>
      <c r="K174" s="48" t="n">
        <v>5</v>
      </c>
      <c r="L174" s="48" t="n">
        <v>4</v>
      </c>
      <c r="M174" s="49" t="n">
        <v>3</v>
      </c>
      <c r="N174" s="49" t="n">
        <v>5</v>
      </c>
      <c r="O174" s="49" t="n">
        <v>5</v>
      </c>
      <c r="P174" s="49" t="n">
        <v>5</v>
      </c>
      <c r="Q174" s="49" t="n">
        <v>5</v>
      </c>
      <c r="R174" s="49" t="n">
        <v>5</v>
      </c>
      <c r="S174" s="50" t="n">
        <v>0</v>
      </c>
      <c r="T174" s="50" t="n">
        <v>73</v>
      </c>
      <c r="U174" s="50" t="n">
        <v>24393</v>
      </c>
      <c r="V174" s="51" t="n">
        <v>3</v>
      </c>
      <c r="W174" s="51" t="n">
        <v>4</v>
      </c>
      <c r="X174" s="51" t="n">
        <v>2</v>
      </c>
      <c r="Y174" s="51" t="n">
        <v>1</v>
      </c>
      <c r="Z174" s="3" t="str">
        <f aca="false">VLOOKUP(A174,'Data Prep'!$A$5:$B$44,2,FALSE())</f>
        <v>El Pollo Loco</v>
      </c>
      <c r="AA174" s="4" t="n">
        <f aca="false">COUNTBLANK(A174:Y174)</f>
        <v>0</v>
      </c>
    </row>
    <row r="175" customFormat="false" ht="12.75" hidden="false" customHeight="true" outlineLevel="0" collapsed="false">
      <c r="A175" s="45" t="s">
        <v>30</v>
      </c>
      <c r="B175" s="46" t="n">
        <v>1</v>
      </c>
      <c r="C175" s="46" t="n">
        <v>0</v>
      </c>
      <c r="D175" s="46" t="n">
        <v>0</v>
      </c>
      <c r="E175" s="46" t="n">
        <v>0</v>
      </c>
      <c r="F175" s="47" t="n">
        <v>0</v>
      </c>
      <c r="G175" s="48" t="n">
        <v>4</v>
      </c>
      <c r="H175" s="48" t="n">
        <v>5</v>
      </c>
      <c r="I175" s="48" t="n">
        <v>4</v>
      </c>
      <c r="J175" s="48" t="n">
        <v>5</v>
      </c>
      <c r="K175" s="48" t="n">
        <v>5</v>
      </c>
      <c r="L175" s="48" t="n">
        <v>4</v>
      </c>
      <c r="M175" s="49" t="n">
        <v>2</v>
      </c>
      <c r="N175" s="49" t="n">
        <v>4</v>
      </c>
      <c r="O175" s="49" t="n">
        <v>3</v>
      </c>
      <c r="P175" s="49" t="n">
        <v>3</v>
      </c>
      <c r="Q175" s="49" t="n">
        <v>4</v>
      </c>
      <c r="R175" s="49" t="n">
        <v>3</v>
      </c>
      <c r="S175" s="50" t="n">
        <v>0</v>
      </c>
      <c r="T175" s="50" t="n">
        <v>18</v>
      </c>
      <c r="U175" s="50" t="n">
        <v>26939</v>
      </c>
      <c r="V175" s="51" t="n">
        <v>2</v>
      </c>
      <c r="W175" s="51" t="n">
        <v>3</v>
      </c>
      <c r="X175" s="51" t="n">
        <v>2</v>
      </c>
      <c r="Y175" s="51" t="n">
        <v>2</v>
      </c>
      <c r="Z175" s="3" t="str">
        <f aca="false">VLOOKUP(A175,'Data Prep'!$A$5:$B$44,2,FALSE())</f>
        <v>Chipotle</v>
      </c>
      <c r="AA175" s="4" t="n">
        <f aca="false">COUNTBLANK(A175:Y175)</f>
        <v>0</v>
      </c>
    </row>
    <row r="176" customFormat="false" ht="12.75" hidden="false" customHeight="true" outlineLevel="0" collapsed="false">
      <c r="A176" s="45" t="s">
        <v>33</v>
      </c>
      <c r="B176" s="46" t="n">
        <v>1</v>
      </c>
      <c r="C176" s="46" t="n">
        <v>0</v>
      </c>
      <c r="D176" s="46" t="n">
        <v>0</v>
      </c>
      <c r="E176" s="46" t="n">
        <v>0</v>
      </c>
      <c r="F176" s="47" t="n">
        <v>0</v>
      </c>
      <c r="G176" s="48" t="n">
        <v>4</v>
      </c>
      <c r="H176" s="48" t="n">
        <v>4</v>
      </c>
      <c r="I176" s="48" t="n">
        <v>4</v>
      </c>
      <c r="J176" s="48" t="n">
        <v>5</v>
      </c>
      <c r="K176" s="48" t="n">
        <v>5</v>
      </c>
      <c r="L176" s="48"/>
      <c r="M176" s="49" t="n">
        <v>4</v>
      </c>
      <c r="N176" s="49" t="n">
        <v>5</v>
      </c>
      <c r="O176" s="49" t="n">
        <v>4</v>
      </c>
      <c r="P176" s="49" t="n">
        <v>5</v>
      </c>
      <c r="Q176" s="49" t="n">
        <v>5</v>
      </c>
      <c r="R176" s="49" t="n">
        <v>4</v>
      </c>
      <c r="S176" s="50" t="n">
        <v>0</v>
      </c>
      <c r="T176" s="50" t="n">
        <v>19</v>
      </c>
      <c r="U176" s="50" t="n">
        <v>18342</v>
      </c>
      <c r="V176" s="51" t="n">
        <v>1</v>
      </c>
      <c r="W176" s="51" t="n">
        <v>3</v>
      </c>
      <c r="X176" s="51" t="n">
        <v>2</v>
      </c>
      <c r="Y176" s="51" t="n">
        <v>1</v>
      </c>
      <c r="Z176" s="3" t="str">
        <f aca="false">VLOOKUP(A176,'Data Prep'!$A$5:$B$44,2,FALSE())</f>
        <v>In-n-out</v>
      </c>
      <c r="AA176" s="4" t="n">
        <f aca="false">COUNTBLANK(A176:Y176)</f>
        <v>1</v>
      </c>
    </row>
    <row r="177" customFormat="false" ht="12.75" hidden="false" customHeight="true" outlineLevel="0" collapsed="false">
      <c r="A177" s="45" t="s">
        <v>33</v>
      </c>
      <c r="B177" s="46" t="n">
        <v>1</v>
      </c>
      <c r="C177" s="46" t="n">
        <v>0</v>
      </c>
      <c r="D177" s="46" t="n">
        <v>0</v>
      </c>
      <c r="E177" s="46" t="n">
        <v>0</v>
      </c>
      <c r="F177" s="47" t="n">
        <v>0</v>
      </c>
      <c r="G177" s="48" t="n">
        <v>5</v>
      </c>
      <c r="H177" s="48" t="n">
        <v>5</v>
      </c>
      <c r="I177" s="48" t="n">
        <v>5</v>
      </c>
      <c r="J177" s="48" t="n">
        <v>5</v>
      </c>
      <c r="K177" s="48" t="n">
        <v>5</v>
      </c>
      <c r="L177" s="48" t="n">
        <v>4</v>
      </c>
      <c r="M177" s="49" t="n">
        <v>5</v>
      </c>
      <c r="N177" s="49" t="n">
        <v>5</v>
      </c>
      <c r="O177" s="49" t="n">
        <v>4</v>
      </c>
      <c r="P177" s="49" t="n">
        <v>5</v>
      </c>
      <c r="Q177" s="49" t="n">
        <v>5</v>
      </c>
      <c r="R177" s="49" t="n">
        <v>4</v>
      </c>
      <c r="S177" s="50" t="n">
        <v>0</v>
      </c>
      <c r="T177" s="50" t="n">
        <v>37</v>
      </c>
      <c r="U177" s="50" t="n">
        <v>50830</v>
      </c>
      <c r="V177" s="51" t="n">
        <v>1</v>
      </c>
      <c r="W177" s="51" t="n">
        <v>2</v>
      </c>
      <c r="X177" s="51" t="n">
        <v>2</v>
      </c>
      <c r="Y177" s="51" t="n">
        <v>1</v>
      </c>
      <c r="Z177" s="3" t="str">
        <f aca="false">VLOOKUP(A177,'Data Prep'!$A$5:$B$44,2,FALSE())</f>
        <v>In-n-out</v>
      </c>
      <c r="AA177" s="4" t="n">
        <f aca="false">COUNTBLANK(A177:Y177)</f>
        <v>0</v>
      </c>
    </row>
    <row r="178" customFormat="false" ht="12.75" hidden="false" customHeight="true" outlineLevel="0" collapsed="false">
      <c r="A178" s="45" t="s">
        <v>166</v>
      </c>
      <c r="B178" s="46" t="n">
        <v>0</v>
      </c>
      <c r="C178" s="46" t="n">
        <v>0</v>
      </c>
      <c r="D178" s="46" t="n">
        <v>1</v>
      </c>
      <c r="E178" s="46" t="n">
        <v>0</v>
      </c>
      <c r="F178" s="47" t="n">
        <v>0</v>
      </c>
      <c r="G178" s="48" t="n">
        <v>4</v>
      </c>
      <c r="H178" s="48" t="n">
        <v>3</v>
      </c>
      <c r="I178" s="48" t="n">
        <v>5</v>
      </c>
      <c r="J178" s="48" t="n">
        <v>4</v>
      </c>
      <c r="K178" s="48" t="n">
        <v>5</v>
      </c>
      <c r="L178" s="48" t="n">
        <v>4</v>
      </c>
      <c r="M178" s="49" t="n">
        <v>4</v>
      </c>
      <c r="N178" s="49" t="n">
        <v>3</v>
      </c>
      <c r="O178" s="49" t="n">
        <v>6</v>
      </c>
      <c r="P178" s="49" t="n">
        <v>5</v>
      </c>
      <c r="Q178" s="49" t="n">
        <v>3</v>
      </c>
      <c r="R178" s="49" t="n">
        <v>3</v>
      </c>
      <c r="S178" s="50" t="n">
        <v>0</v>
      </c>
      <c r="T178" s="50" t="n">
        <v>49</v>
      </c>
      <c r="U178" s="50" t="n">
        <v>38988</v>
      </c>
      <c r="V178" s="51" t="n">
        <v>1</v>
      </c>
      <c r="W178" s="51" t="n">
        <v>4</v>
      </c>
      <c r="X178" s="51" t="n">
        <v>2</v>
      </c>
      <c r="Y178" s="51" t="n">
        <v>2</v>
      </c>
      <c r="Z178" s="3" t="str">
        <f aca="false">VLOOKUP(A178,'Data Prep'!$A$5:$B$44,2,FALSE())</f>
        <v>Chipotle</v>
      </c>
      <c r="AA178" s="4" t="n">
        <f aca="false">COUNTBLANK(A178:Y178)</f>
        <v>0</v>
      </c>
    </row>
    <row r="179" customFormat="false" ht="12.75" hidden="false" customHeight="true" outlineLevel="0" collapsed="false">
      <c r="A179" s="45" t="s">
        <v>33</v>
      </c>
      <c r="B179" s="46" t="n">
        <v>1</v>
      </c>
      <c r="C179" s="46" t="n">
        <v>0</v>
      </c>
      <c r="D179" s="46" t="n">
        <v>0</v>
      </c>
      <c r="E179" s="46" t="n">
        <v>0</v>
      </c>
      <c r="F179" s="47" t="n">
        <v>0</v>
      </c>
      <c r="G179" s="48" t="n">
        <v>5</v>
      </c>
      <c r="H179" s="48" t="n">
        <v>5</v>
      </c>
      <c r="I179" s="48" t="n">
        <v>5</v>
      </c>
      <c r="J179" s="48" t="n">
        <v>4</v>
      </c>
      <c r="K179" s="48" t="n">
        <v>5</v>
      </c>
      <c r="L179" s="48" t="n">
        <v>5</v>
      </c>
      <c r="M179" s="49" t="n">
        <v>3</v>
      </c>
      <c r="N179" s="49" t="n">
        <v>3</v>
      </c>
      <c r="O179" s="49" t="n">
        <v>3</v>
      </c>
      <c r="P179" s="49" t="n">
        <v>3</v>
      </c>
      <c r="Q179" s="49" t="n">
        <v>3</v>
      </c>
      <c r="R179" s="49" t="n">
        <v>3</v>
      </c>
      <c r="S179" s="50" t="n">
        <v>0</v>
      </c>
      <c r="T179" s="50" t="n">
        <v>47</v>
      </c>
      <c r="U179" s="50" t="n">
        <v>23266</v>
      </c>
      <c r="V179" s="51" t="n">
        <v>2</v>
      </c>
      <c r="W179" s="51" t="n">
        <v>3</v>
      </c>
      <c r="X179" s="51" t="n">
        <v>2</v>
      </c>
      <c r="Y179" s="51" t="n">
        <v>2</v>
      </c>
      <c r="Z179" s="3" t="str">
        <f aca="false">VLOOKUP(A179,'Data Prep'!$A$5:$B$44,2,FALSE())</f>
        <v>In-n-out</v>
      </c>
      <c r="AA179" s="4" t="n">
        <f aca="false">COUNTBLANK(A179:Y179)</f>
        <v>0</v>
      </c>
    </row>
    <row r="180" customFormat="false" ht="12.75" hidden="false" customHeight="true" outlineLevel="0" collapsed="false">
      <c r="A180" s="45" t="s">
        <v>173</v>
      </c>
      <c r="B180" s="46" t="n">
        <v>1</v>
      </c>
      <c r="C180" s="46" t="n">
        <v>0</v>
      </c>
      <c r="D180" s="46" t="n">
        <v>0</v>
      </c>
      <c r="E180" s="46" t="n">
        <v>0</v>
      </c>
      <c r="F180" s="47" t="n">
        <v>0</v>
      </c>
      <c r="G180" s="48" t="n">
        <v>4</v>
      </c>
      <c r="H180" s="48" t="n">
        <v>3</v>
      </c>
      <c r="I180" s="48" t="n">
        <v>4</v>
      </c>
      <c r="J180" s="48" t="n">
        <v>5</v>
      </c>
      <c r="K180" s="48" t="n">
        <v>5</v>
      </c>
      <c r="L180" s="48" t="n">
        <v>4</v>
      </c>
      <c r="M180" s="49" t="n">
        <v>1</v>
      </c>
      <c r="N180" s="49" t="n">
        <v>3</v>
      </c>
      <c r="O180" s="49" t="n">
        <v>3</v>
      </c>
      <c r="P180" s="49" t="n">
        <v>4</v>
      </c>
      <c r="Q180" s="49" t="n">
        <v>5</v>
      </c>
      <c r="R180" s="49" t="n">
        <v>3</v>
      </c>
      <c r="S180" s="50" t="n">
        <v>0</v>
      </c>
      <c r="T180" s="50" t="n">
        <v>28</v>
      </c>
      <c r="U180" s="50" t="n">
        <v>35328</v>
      </c>
      <c r="V180" s="51" t="n">
        <v>1</v>
      </c>
      <c r="W180" s="51" t="n">
        <v>4</v>
      </c>
      <c r="X180" s="51" t="n">
        <v>2</v>
      </c>
      <c r="Y180" s="51" t="n">
        <v>1</v>
      </c>
      <c r="Z180" s="3" t="str">
        <f aca="false">VLOOKUP(A180,'Data Prep'!$A$5:$B$44,2,FALSE())</f>
        <v>McDonalds</v>
      </c>
      <c r="AA180" s="4" t="n">
        <f aca="false">COUNTBLANK(A180:Y180)</f>
        <v>0</v>
      </c>
    </row>
    <row r="181" customFormat="false" ht="12.75" hidden="false" customHeight="true" outlineLevel="0" collapsed="false">
      <c r="A181" s="45" t="s">
        <v>33</v>
      </c>
      <c r="B181" s="46" t="n">
        <v>1</v>
      </c>
      <c r="C181" s="46" t="n">
        <v>0</v>
      </c>
      <c r="D181" s="46" t="n">
        <v>0</v>
      </c>
      <c r="E181" s="46" t="n">
        <v>0</v>
      </c>
      <c r="F181" s="47" t="n">
        <v>0</v>
      </c>
      <c r="G181" s="48" t="n">
        <v>5</v>
      </c>
      <c r="H181" s="48"/>
      <c r="I181" s="48" t="n">
        <v>5</v>
      </c>
      <c r="J181" s="48"/>
      <c r="K181" s="48" t="n">
        <v>5</v>
      </c>
      <c r="L181" s="48" t="n">
        <v>5</v>
      </c>
      <c r="M181" s="49" t="n">
        <v>4</v>
      </c>
      <c r="N181" s="49" t="n">
        <v>3</v>
      </c>
      <c r="O181" s="49" t="n">
        <v>5</v>
      </c>
      <c r="P181" s="49" t="n">
        <v>3</v>
      </c>
      <c r="Q181" s="49" t="n">
        <v>5</v>
      </c>
      <c r="R181" s="49" t="n">
        <v>5</v>
      </c>
      <c r="S181" s="50" t="n">
        <v>1</v>
      </c>
      <c r="T181" s="50" t="n">
        <v>77</v>
      </c>
      <c r="U181" s="50" t="n">
        <v>37546</v>
      </c>
      <c r="V181" s="51" t="n">
        <v>2</v>
      </c>
      <c r="W181" s="51" t="n">
        <v>4</v>
      </c>
      <c r="X181" s="51" t="n">
        <v>2</v>
      </c>
      <c r="Y181" s="51" t="n">
        <v>1</v>
      </c>
      <c r="Z181" s="3" t="str">
        <f aca="false">VLOOKUP(A181,'Data Prep'!$A$5:$B$44,2,FALSE())</f>
        <v>In-n-out</v>
      </c>
      <c r="AA181" s="4" t="n">
        <f aca="false">COUNTBLANK(A181:Y181)</f>
        <v>2</v>
      </c>
    </row>
    <row r="182" customFormat="false" ht="12.75" hidden="false" customHeight="true" outlineLevel="0" collapsed="false">
      <c r="A182" s="45" t="s">
        <v>186</v>
      </c>
      <c r="B182" s="46" t="n">
        <v>0</v>
      </c>
      <c r="C182" s="46" t="n">
        <v>0</v>
      </c>
      <c r="D182" s="46" t="n">
        <v>0</v>
      </c>
      <c r="E182" s="46" t="n">
        <v>0</v>
      </c>
      <c r="F182" s="47" t="n">
        <v>2</v>
      </c>
      <c r="G182" s="48"/>
      <c r="H182" s="48"/>
      <c r="I182" s="48"/>
      <c r="J182" s="48"/>
      <c r="K182" s="48"/>
      <c r="L182" s="48"/>
      <c r="M182" s="49"/>
      <c r="N182" s="49"/>
      <c r="O182" s="49"/>
      <c r="P182" s="49"/>
      <c r="Q182" s="49"/>
      <c r="R182" s="49"/>
      <c r="S182" s="50" t="n">
        <v>0</v>
      </c>
      <c r="T182" s="50" t="n">
        <v>23</v>
      </c>
      <c r="U182" s="50" t="n">
        <v>18254</v>
      </c>
      <c r="V182" s="51" t="n">
        <v>2</v>
      </c>
      <c r="W182" s="51" t="n">
        <v>2</v>
      </c>
      <c r="X182" s="51" t="n">
        <v>1</v>
      </c>
      <c r="Y182" s="51" t="n">
        <v>1</v>
      </c>
      <c r="Z182" s="3" t="str">
        <f aca="false">VLOOKUP(A182,'Data Prep'!$A$5:$B$44,2,FALSE())</f>
        <v>Panera Bread</v>
      </c>
      <c r="AA182" s="4" t="n">
        <f aca="false">COUNTBLANK(A182:Y182)</f>
        <v>12</v>
      </c>
    </row>
    <row r="183" customFormat="false" ht="12.75" hidden="false" customHeight="true" outlineLevel="0" collapsed="false">
      <c r="A183" s="45" t="s">
        <v>35</v>
      </c>
      <c r="B183" s="46" t="n">
        <v>0</v>
      </c>
      <c r="C183" s="46" t="n">
        <v>0</v>
      </c>
      <c r="D183" s="46" t="n">
        <v>0</v>
      </c>
      <c r="E183" s="46" t="n">
        <v>0</v>
      </c>
      <c r="F183" s="47" t="n">
        <v>2</v>
      </c>
      <c r="G183" s="48"/>
      <c r="H183" s="48"/>
      <c r="I183" s="48"/>
      <c r="J183" s="48"/>
      <c r="K183" s="48"/>
      <c r="L183" s="48"/>
      <c r="M183" s="49"/>
      <c r="N183" s="49"/>
      <c r="O183" s="49"/>
      <c r="P183" s="49"/>
      <c r="Q183" s="49"/>
      <c r="R183" s="49"/>
      <c r="S183" s="50" t="n">
        <v>0</v>
      </c>
      <c r="T183" s="50" t="n">
        <v>22</v>
      </c>
      <c r="U183" s="50" t="n">
        <v>20510</v>
      </c>
      <c r="V183" s="51" t="n">
        <v>3</v>
      </c>
      <c r="W183" s="51" t="n">
        <v>2</v>
      </c>
      <c r="X183" s="51" t="n">
        <v>1</v>
      </c>
      <c r="Y183" s="51" t="n">
        <v>2</v>
      </c>
      <c r="Z183" s="3" t="str">
        <f aca="false">VLOOKUP(A183,'Data Prep'!$A$5:$B$44,2,FALSE())</f>
        <v>KFC</v>
      </c>
      <c r="AA183" s="4" t="n">
        <f aca="false">COUNTBLANK(A183:Y183)</f>
        <v>12</v>
      </c>
    </row>
    <row r="184" customFormat="false" ht="12.75" hidden="false" customHeight="true" outlineLevel="0" collapsed="false">
      <c r="A184" s="45" t="s">
        <v>33</v>
      </c>
      <c r="B184" s="46" t="n">
        <v>0</v>
      </c>
      <c r="C184" s="46" t="n">
        <v>0</v>
      </c>
      <c r="D184" s="46" t="n">
        <v>0</v>
      </c>
      <c r="E184" s="46" t="n">
        <v>0</v>
      </c>
      <c r="F184" s="47" t="n">
        <v>1</v>
      </c>
      <c r="G184" s="48"/>
      <c r="H184" s="48"/>
      <c r="I184" s="48"/>
      <c r="J184" s="48"/>
      <c r="K184" s="48"/>
      <c r="L184" s="48"/>
      <c r="M184" s="49"/>
      <c r="N184" s="49"/>
      <c r="O184" s="49"/>
      <c r="P184" s="49"/>
      <c r="Q184" s="49"/>
      <c r="R184" s="49"/>
      <c r="S184" s="50" t="n">
        <v>0</v>
      </c>
      <c r="T184" s="50" t="n">
        <v>21</v>
      </c>
      <c r="U184" s="50" t="n">
        <v>13752</v>
      </c>
      <c r="V184" s="51" t="n">
        <v>2</v>
      </c>
      <c r="W184" s="51" t="n">
        <v>2</v>
      </c>
      <c r="X184" s="51" t="n">
        <v>2</v>
      </c>
      <c r="Y184" s="51" t="n">
        <v>2</v>
      </c>
      <c r="Z184" s="3" t="str">
        <f aca="false">VLOOKUP(A184,'Data Prep'!$A$5:$B$44,2,FALSE())</f>
        <v>In-n-out</v>
      </c>
      <c r="AA184" s="4" t="n">
        <f aca="false">COUNTBLANK(A184:Y184)</f>
        <v>12</v>
      </c>
    </row>
    <row r="185" customFormat="false" ht="12.75" hidden="false" customHeight="true" outlineLevel="0" collapsed="false">
      <c r="A185" s="45" t="s">
        <v>33</v>
      </c>
      <c r="B185" s="46" t="n">
        <v>1</v>
      </c>
      <c r="C185" s="46" t="n">
        <v>0</v>
      </c>
      <c r="D185" s="46" t="n">
        <v>0</v>
      </c>
      <c r="E185" s="46" t="n">
        <v>0</v>
      </c>
      <c r="F185" s="47" t="n">
        <v>2</v>
      </c>
      <c r="G185" s="48" t="n">
        <v>3</v>
      </c>
      <c r="H185" s="48" t="n">
        <v>4</v>
      </c>
      <c r="I185" s="48" t="n">
        <v>3</v>
      </c>
      <c r="J185" s="48" t="n">
        <v>5</v>
      </c>
      <c r="K185" s="48" t="n">
        <v>5</v>
      </c>
      <c r="L185" s="48" t="n">
        <v>4</v>
      </c>
      <c r="M185" s="49" t="n">
        <v>4</v>
      </c>
      <c r="N185" s="49" t="n">
        <v>4</v>
      </c>
      <c r="O185" s="49" t="n">
        <v>4</v>
      </c>
      <c r="P185" s="49" t="n">
        <v>4</v>
      </c>
      <c r="Q185" s="49" t="n">
        <v>5</v>
      </c>
      <c r="R185" s="49" t="n">
        <v>4</v>
      </c>
      <c r="S185" s="50" t="n">
        <v>0</v>
      </c>
      <c r="T185" s="50" t="n">
        <v>34</v>
      </c>
      <c r="U185" s="50" t="n">
        <v>13921</v>
      </c>
      <c r="V185" s="51" t="n">
        <v>2</v>
      </c>
      <c r="W185" s="51" t="n">
        <v>3</v>
      </c>
      <c r="X185" s="51" t="n">
        <v>2</v>
      </c>
      <c r="Y185" s="51" t="n">
        <v>2</v>
      </c>
      <c r="Z185" s="3" t="str">
        <f aca="false">VLOOKUP(A185,'Data Prep'!$A$5:$B$44,2,FALSE())</f>
        <v>In-n-out</v>
      </c>
      <c r="AA185" s="4" t="n">
        <f aca="false">COUNTBLANK(A185:Y185)</f>
        <v>0</v>
      </c>
    </row>
    <row r="186" customFormat="false" ht="12.75" hidden="false" customHeight="true" outlineLevel="0" collapsed="false">
      <c r="A186" s="45" t="s">
        <v>174</v>
      </c>
      <c r="B186" s="46" t="n">
        <v>1</v>
      </c>
      <c r="C186" s="46" t="n">
        <v>0</v>
      </c>
      <c r="D186" s="46" t="n">
        <v>0</v>
      </c>
      <c r="E186" s="46" t="n">
        <v>0</v>
      </c>
      <c r="F186" s="47" t="n">
        <v>0</v>
      </c>
      <c r="G186" s="48" t="n">
        <v>4</v>
      </c>
      <c r="H186" s="48" t="n">
        <v>5</v>
      </c>
      <c r="I186" s="48" t="n">
        <v>5</v>
      </c>
      <c r="J186" s="48" t="n">
        <v>5</v>
      </c>
      <c r="K186" s="48" t="n">
        <v>5</v>
      </c>
      <c r="L186" s="48" t="n">
        <v>4</v>
      </c>
      <c r="M186" s="49" t="n">
        <v>4</v>
      </c>
      <c r="N186" s="49" t="n">
        <v>4</v>
      </c>
      <c r="O186" s="49" t="n">
        <v>5</v>
      </c>
      <c r="P186" s="49" t="n">
        <v>5</v>
      </c>
      <c r="Q186" s="49" t="n">
        <v>5</v>
      </c>
      <c r="R186" s="49" t="n">
        <v>5</v>
      </c>
      <c r="S186" s="50" t="n">
        <v>0</v>
      </c>
      <c r="T186" s="50" t="n">
        <v>24</v>
      </c>
      <c r="U186" s="50" t="n">
        <v>53880</v>
      </c>
      <c r="V186" s="51" t="n">
        <v>2</v>
      </c>
      <c r="W186" s="51" t="n">
        <v>2</v>
      </c>
      <c r="X186" s="51" t="n">
        <v>2</v>
      </c>
      <c r="Y186" s="51" t="n">
        <v>1</v>
      </c>
      <c r="Z186" s="3" t="str">
        <f aca="false">VLOOKUP(A186,'Data Prep'!$A$5:$B$44,2,FALSE())</f>
        <v>McDonalds</v>
      </c>
      <c r="AA186" s="4" t="n">
        <f aca="false">COUNTBLANK(A186:Y186)</f>
        <v>0</v>
      </c>
    </row>
    <row r="187" customFormat="false" ht="12.75" hidden="false" customHeight="true" outlineLevel="0" collapsed="false">
      <c r="A187" s="45" t="s">
        <v>30</v>
      </c>
      <c r="B187" s="46" t="n">
        <v>1</v>
      </c>
      <c r="C187" s="46" t="n">
        <v>0</v>
      </c>
      <c r="D187" s="46" t="n">
        <v>0</v>
      </c>
      <c r="E187" s="46" t="n">
        <v>0</v>
      </c>
      <c r="F187" s="47" t="n">
        <v>3</v>
      </c>
      <c r="G187" s="48" t="n">
        <v>4</v>
      </c>
      <c r="H187" s="48" t="n">
        <v>4</v>
      </c>
      <c r="I187" s="48" t="n">
        <v>4</v>
      </c>
      <c r="J187" s="48" t="n">
        <v>2</v>
      </c>
      <c r="K187" s="48" t="n">
        <v>5</v>
      </c>
      <c r="L187" s="48" t="n">
        <v>4</v>
      </c>
      <c r="M187" s="49" t="n">
        <v>4</v>
      </c>
      <c r="N187" s="49" t="n">
        <v>2</v>
      </c>
      <c r="O187" s="49" t="n">
        <v>3</v>
      </c>
      <c r="P187" s="49" t="n">
        <v>5</v>
      </c>
      <c r="Q187" s="49" t="n">
        <v>3</v>
      </c>
      <c r="R187" s="49" t="n">
        <v>2</v>
      </c>
      <c r="S187" s="50" t="n">
        <v>0</v>
      </c>
      <c r="T187" s="50" t="n">
        <v>33</v>
      </c>
      <c r="U187" s="50" t="n">
        <v>36126</v>
      </c>
      <c r="V187" s="51" t="n">
        <v>3</v>
      </c>
      <c r="W187" s="51" t="n">
        <v>2</v>
      </c>
      <c r="X187" s="51" t="n">
        <v>1</v>
      </c>
      <c r="Y187" s="51" t="n">
        <v>2</v>
      </c>
      <c r="Z187" s="3" t="str">
        <f aca="false">VLOOKUP(A187,'Data Prep'!$A$5:$B$44,2,FALSE())</f>
        <v>Chipotle</v>
      </c>
      <c r="AA187" s="4" t="n">
        <f aca="false">COUNTBLANK(A187:Y187)</f>
        <v>0</v>
      </c>
    </row>
    <row r="188" customFormat="false" ht="12.75" hidden="false" customHeight="true" outlineLevel="0" collapsed="false">
      <c r="A188" s="45" t="s">
        <v>180</v>
      </c>
      <c r="B188" s="46" t="n">
        <v>1</v>
      </c>
      <c r="C188" s="46" t="n">
        <v>0</v>
      </c>
      <c r="D188" s="46" t="n">
        <v>0</v>
      </c>
      <c r="E188" s="46" t="n">
        <v>0</v>
      </c>
      <c r="F188" s="47" t="n">
        <v>0</v>
      </c>
      <c r="G188" s="48" t="n">
        <v>5</v>
      </c>
      <c r="H188" s="48" t="n">
        <v>5</v>
      </c>
      <c r="I188" s="48" t="n">
        <v>5</v>
      </c>
      <c r="J188" s="48" t="n">
        <v>5</v>
      </c>
      <c r="K188" s="48" t="n">
        <v>5</v>
      </c>
      <c r="L188" s="48" t="n">
        <v>5</v>
      </c>
      <c r="M188" s="49" t="n">
        <v>5</v>
      </c>
      <c r="N188" s="49" t="n">
        <v>5</v>
      </c>
      <c r="O188" s="49" t="n">
        <v>5</v>
      </c>
      <c r="P188" s="49" t="n">
        <v>5</v>
      </c>
      <c r="Q188" s="49" t="n">
        <v>5</v>
      </c>
      <c r="R188" s="49" t="n">
        <v>5</v>
      </c>
      <c r="S188" s="50" t="n">
        <v>0</v>
      </c>
      <c r="T188" s="50" t="n">
        <v>19</v>
      </c>
      <c r="U188" s="50" t="n">
        <v>24587</v>
      </c>
      <c r="V188" s="51" t="n">
        <v>1</v>
      </c>
      <c r="W188" s="51" t="n">
        <v>3</v>
      </c>
      <c r="X188" s="51" t="n">
        <v>2</v>
      </c>
      <c r="Y188" s="51" t="n">
        <v>2</v>
      </c>
      <c r="Z188" s="3" t="str">
        <f aca="false">VLOOKUP(A188,'Data Prep'!$A$5:$B$44,2,FALSE())</f>
        <v>Panera Bread</v>
      </c>
      <c r="AA188" s="4" t="n">
        <f aca="false">COUNTBLANK(A188:Y188)</f>
        <v>0</v>
      </c>
    </row>
    <row r="189" customFormat="false" ht="12.75" hidden="false" customHeight="true" outlineLevel="0" collapsed="false">
      <c r="A189" s="45" t="s">
        <v>180</v>
      </c>
      <c r="B189" s="46" t="n">
        <v>1</v>
      </c>
      <c r="C189" s="46" t="n">
        <v>0</v>
      </c>
      <c r="D189" s="46" t="n">
        <v>0</v>
      </c>
      <c r="E189" s="46" t="n">
        <v>0</v>
      </c>
      <c r="F189" s="47" t="n">
        <v>0</v>
      </c>
      <c r="G189" s="48" t="n">
        <v>5</v>
      </c>
      <c r="H189" s="48" t="n">
        <v>5</v>
      </c>
      <c r="I189" s="48" t="n">
        <v>5</v>
      </c>
      <c r="J189" s="48" t="n">
        <v>4</v>
      </c>
      <c r="K189" s="48" t="n">
        <v>5</v>
      </c>
      <c r="L189" s="48" t="n">
        <v>4</v>
      </c>
      <c r="M189" s="49" t="n">
        <v>2</v>
      </c>
      <c r="N189" s="49" t="n">
        <v>3</v>
      </c>
      <c r="O189" s="49" t="n">
        <v>3</v>
      </c>
      <c r="P189" s="49" t="n">
        <v>5</v>
      </c>
      <c r="Q189" s="49" t="n">
        <v>4</v>
      </c>
      <c r="R189" s="49"/>
      <c r="S189" s="50" t="n">
        <v>0</v>
      </c>
      <c r="T189" s="50" t="n">
        <v>64</v>
      </c>
      <c r="U189" s="50" t="n">
        <v>57562</v>
      </c>
      <c r="V189" s="51" t="n">
        <v>2</v>
      </c>
      <c r="W189" s="51" t="n">
        <v>2</v>
      </c>
      <c r="X189" s="51" t="n">
        <v>1</v>
      </c>
      <c r="Y189" s="51" t="n">
        <v>2</v>
      </c>
      <c r="Z189" s="3" t="str">
        <f aca="false">VLOOKUP(A189,'Data Prep'!$A$5:$B$44,2,FALSE())</f>
        <v>Panera Bread</v>
      </c>
      <c r="AA189" s="4" t="n">
        <f aca="false">COUNTBLANK(A189:Y189)</f>
        <v>1</v>
      </c>
    </row>
    <row r="190" customFormat="false" ht="12.75" hidden="false" customHeight="true" outlineLevel="0" collapsed="false">
      <c r="A190" s="45" t="s">
        <v>180</v>
      </c>
      <c r="B190" s="46" t="n">
        <v>0</v>
      </c>
      <c r="C190" s="46" t="n">
        <v>0</v>
      </c>
      <c r="D190" s="46" t="n">
        <v>1</v>
      </c>
      <c r="E190" s="46" t="n">
        <v>0</v>
      </c>
      <c r="F190" s="47" t="n">
        <v>0</v>
      </c>
      <c r="G190" s="48" t="n">
        <v>5</v>
      </c>
      <c r="H190" s="48" t="n">
        <v>5</v>
      </c>
      <c r="I190" s="48" t="n">
        <v>5</v>
      </c>
      <c r="J190" s="48" t="n">
        <v>5</v>
      </c>
      <c r="K190" s="48" t="n">
        <v>5</v>
      </c>
      <c r="L190" s="48" t="n">
        <v>5</v>
      </c>
      <c r="M190" s="49" t="n">
        <v>5</v>
      </c>
      <c r="N190" s="49" t="n">
        <v>3</v>
      </c>
      <c r="O190" s="49" t="n">
        <v>3</v>
      </c>
      <c r="P190" s="49" t="n">
        <v>3</v>
      </c>
      <c r="Q190" s="49" t="n">
        <v>4</v>
      </c>
      <c r="R190" s="49" t="n">
        <v>5</v>
      </c>
      <c r="S190" s="50" t="n">
        <v>0</v>
      </c>
      <c r="T190" s="50" t="n">
        <v>64</v>
      </c>
      <c r="U190" s="50" t="n">
        <v>20472</v>
      </c>
      <c r="V190" s="51" t="n">
        <v>2</v>
      </c>
      <c r="W190" s="51" t="n">
        <v>2</v>
      </c>
      <c r="X190" s="51" t="n">
        <v>2</v>
      </c>
      <c r="Y190" s="51" t="n">
        <v>2</v>
      </c>
      <c r="Z190" s="3" t="str">
        <f aca="false">VLOOKUP(A190,'Data Prep'!$A$5:$B$44,2,FALSE())</f>
        <v>Panera Bread</v>
      </c>
      <c r="AA190" s="4" t="n">
        <f aca="false">COUNTBLANK(A190:Y190)</f>
        <v>0</v>
      </c>
    </row>
    <row r="191" customFormat="false" ht="12.75" hidden="false" customHeight="true" outlineLevel="0" collapsed="false">
      <c r="A191" s="45" t="s">
        <v>30</v>
      </c>
      <c r="B191" s="46" t="n">
        <v>1</v>
      </c>
      <c r="C191" s="46" t="n">
        <v>0</v>
      </c>
      <c r="D191" s="46" t="n">
        <v>0</v>
      </c>
      <c r="E191" s="46" t="n">
        <v>0</v>
      </c>
      <c r="F191" s="47" t="n">
        <v>0</v>
      </c>
      <c r="G191" s="48" t="n">
        <v>4</v>
      </c>
      <c r="H191" s="48" t="n">
        <v>4</v>
      </c>
      <c r="I191" s="48" t="n">
        <v>5</v>
      </c>
      <c r="J191" s="48" t="n">
        <v>5</v>
      </c>
      <c r="K191" s="48" t="n">
        <v>5</v>
      </c>
      <c r="L191" s="48" t="n">
        <v>4</v>
      </c>
      <c r="M191" s="49" t="n">
        <v>3</v>
      </c>
      <c r="N191" s="49" t="n">
        <v>5</v>
      </c>
      <c r="O191" s="49" t="n">
        <v>3</v>
      </c>
      <c r="P191" s="49" t="n">
        <v>5</v>
      </c>
      <c r="Q191" s="49" t="n">
        <v>5</v>
      </c>
      <c r="R191" s="49" t="n">
        <v>3</v>
      </c>
      <c r="S191" s="50" t="n">
        <v>0</v>
      </c>
      <c r="T191" s="50" t="n">
        <v>66</v>
      </c>
      <c r="U191" s="50" t="n">
        <v>58516</v>
      </c>
      <c r="V191" s="51" t="n">
        <v>1</v>
      </c>
      <c r="W191" s="51" t="n">
        <v>4</v>
      </c>
      <c r="X191" s="51" t="n">
        <v>2</v>
      </c>
      <c r="Y191" s="51" t="n">
        <v>2</v>
      </c>
      <c r="Z191" s="3" t="str">
        <f aca="false">VLOOKUP(A191,'Data Prep'!$A$5:$B$44,2,FALSE())</f>
        <v>Chipotle</v>
      </c>
      <c r="AA191" s="4" t="n">
        <f aca="false">COUNTBLANK(A191:Y191)</f>
        <v>0</v>
      </c>
    </row>
    <row r="192" customFormat="false" ht="12.75" hidden="false" customHeight="true" outlineLevel="0" collapsed="false">
      <c r="A192" s="45" t="s">
        <v>30</v>
      </c>
      <c r="B192" s="46" t="n">
        <v>0</v>
      </c>
      <c r="C192" s="46" t="n">
        <v>0</v>
      </c>
      <c r="D192" s="46" t="n">
        <v>1</v>
      </c>
      <c r="E192" s="46" t="n">
        <v>0</v>
      </c>
      <c r="F192" s="47" t="n">
        <v>0</v>
      </c>
      <c r="G192" s="48" t="n">
        <v>4</v>
      </c>
      <c r="H192" s="48" t="n">
        <v>4</v>
      </c>
      <c r="I192" s="48" t="n">
        <v>4</v>
      </c>
      <c r="J192" s="48" t="n">
        <v>4</v>
      </c>
      <c r="K192" s="48" t="n">
        <v>5</v>
      </c>
      <c r="L192" s="48" t="n">
        <v>5</v>
      </c>
      <c r="M192" s="49" t="n">
        <v>4</v>
      </c>
      <c r="N192" s="49" t="n">
        <v>3</v>
      </c>
      <c r="O192" s="49" t="n">
        <v>2</v>
      </c>
      <c r="P192" s="49" t="n">
        <v>4</v>
      </c>
      <c r="Q192" s="49" t="n">
        <v>4</v>
      </c>
      <c r="R192" s="49" t="n">
        <v>4</v>
      </c>
      <c r="S192" s="50" t="n">
        <v>0</v>
      </c>
      <c r="T192" s="50" t="n">
        <v>54</v>
      </c>
      <c r="U192" s="50" t="n">
        <v>26830</v>
      </c>
      <c r="V192" s="51" t="n">
        <v>3</v>
      </c>
      <c r="W192" s="51" t="n">
        <v>2</v>
      </c>
      <c r="X192" s="51" t="n">
        <v>2</v>
      </c>
      <c r="Y192" s="51" t="n">
        <v>2</v>
      </c>
      <c r="Z192" s="3" t="str">
        <f aca="false">VLOOKUP(A192,'Data Prep'!$A$5:$B$44,2,FALSE())</f>
        <v>Chipotle</v>
      </c>
      <c r="AA192" s="4" t="n">
        <f aca="false">COUNTBLANK(A192:Y192)</f>
        <v>0</v>
      </c>
    </row>
    <row r="193" customFormat="false" ht="12.75" hidden="false" customHeight="true" outlineLevel="0" collapsed="false">
      <c r="A193" s="45" t="s">
        <v>33</v>
      </c>
      <c r="B193" s="46" t="n">
        <v>1</v>
      </c>
      <c r="C193" s="46" t="n">
        <v>0</v>
      </c>
      <c r="D193" s="46" t="n">
        <v>0</v>
      </c>
      <c r="E193" s="46" t="n">
        <v>0</v>
      </c>
      <c r="F193" s="47" t="n">
        <v>2</v>
      </c>
      <c r="G193" s="48" t="n">
        <v>4</v>
      </c>
      <c r="H193" s="48" t="n">
        <v>4</v>
      </c>
      <c r="I193" s="48" t="n">
        <v>4</v>
      </c>
      <c r="J193" s="48" t="n">
        <v>4</v>
      </c>
      <c r="K193" s="48" t="n">
        <v>5</v>
      </c>
      <c r="L193" s="48" t="n">
        <v>4</v>
      </c>
      <c r="M193" s="49" t="n">
        <v>5</v>
      </c>
      <c r="N193" s="49" t="n">
        <v>5</v>
      </c>
      <c r="O193" s="49" t="n">
        <v>5</v>
      </c>
      <c r="P193" s="49" t="n">
        <v>5</v>
      </c>
      <c r="Q193" s="49" t="n">
        <v>5</v>
      </c>
      <c r="R193" s="49" t="n">
        <v>5</v>
      </c>
      <c r="S193" s="50" t="n">
        <v>0</v>
      </c>
      <c r="T193" s="50" t="n">
        <v>45</v>
      </c>
      <c r="U193" s="50" t="n">
        <v>53888</v>
      </c>
      <c r="V193" s="51" t="n">
        <v>2</v>
      </c>
      <c r="W193" s="51" t="n">
        <v>2</v>
      </c>
      <c r="X193" s="51" t="n">
        <v>3</v>
      </c>
      <c r="Y193" s="51" t="n">
        <v>2</v>
      </c>
      <c r="Z193" s="3" t="str">
        <f aca="false">VLOOKUP(A193,'Data Prep'!$A$5:$B$44,2,FALSE())</f>
        <v>In-n-out</v>
      </c>
      <c r="AA193" s="4" t="n">
        <f aca="false">COUNTBLANK(A193:Y193)</f>
        <v>0</v>
      </c>
    </row>
    <row r="194" customFormat="false" ht="12.75" hidden="false" customHeight="true" outlineLevel="0" collapsed="false">
      <c r="A194" s="45" t="s">
        <v>33</v>
      </c>
      <c r="B194" s="46" t="n">
        <v>1</v>
      </c>
      <c r="C194" s="46" t="n">
        <v>0</v>
      </c>
      <c r="D194" s="46" t="n">
        <v>0</v>
      </c>
      <c r="E194" s="46" t="n">
        <v>0</v>
      </c>
      <c r="F194" s="47" t="n">
        <v>0</v>
      </c>
      <c r="G194" s="48" t="n">
        <v>5</v>
      </c>
      <c r="H194" s="48" t="n">
        <v>5</v>
      </c>
      <c r="I194" s="48" t="n">
        <v>5</v>
      </c>
      <c r="J194" s="48" t="n">
        <v>5</v>
      </c>
      <c r="K194" s="48" t="n">
        <v>5</v>
      </c>
      <c r="L194" s="48" t="n">
        <v>5</v>
      </c>
      <c r="M194" s="49" t="n">
        <v>4</v>
      </c>
      <c r="N194" s="49"/>
      <c r="O194" s="49" t="n">
        <v>4</v>
      </c>
      <c r="P194" s="49" t="n">
        <v>5</v>
      </c>
      <c r="Q194" s="49" t="n">
        <v>4</v>
      </c>
      <c r="R194" s="49" t="n">
        <v>4</v>
      </c>
      <c r="S194" s="50" t="n">
        <v>0</v>
      </c>
      <c r="T194" s="50" t="n">
        <v>55</v>
      </c>
      <c r="U194" s="50" t="n">
        <v>50422</v>
      </c>
      <c r="V194" s="51" t="n">
        <v>2</v>
      </c>
      <c r="W194" s="51" t="n">
        <v>4</v>
      </c>
      <c r="X194" s="51" t="n">
        <v>2</v>
      </c>
      <c r="Y194" s="51" t="n">
        <v>2</v>
      </c>
      <c r="Z194" s="3" t="str">
        <f aca="false">VLOOKUP(A194,'Data Prep'!$A$5:$B$44,2,FALSE())</f>
        <v>In-n-out</v>
      </c>
      <c r="AA194" s="4" t="n">
        <f aca="false">COUNTBLANK(A194:Y194)</f>
        <v>1</v>
      </c>
    </row>
    <row r="195" customFormat="false" ht="12.75" hidden="false" customHeight="true" outlineLevel="0" collapsed="false">
      <c r="A195" s="45" t="s">
        <v>42</v>
      </c>
      <c r="B195" s="46" t="n">
        <v>0</v>
      </c>
      <c r="C195" s="46" t="n">
        <v>0</v>
      </c>
      <c r="D195" s="46" t="n">
        <v>1</v>
      </c>
      <c r="E195" s="46" t="n">
        <v>0</v>
      </c>
      <c r="F195" s="47" t="n">
        <v>0</v>
      </c>
      <c r="G195" s="48" t="n">
        <v>5</v>
      </c>
      <c r="H195" s="48" t="n">
        <v>5</v>
      </c>
      <c r="I195" s="48" t="n">
        <v>5</v>
      </c>
      <c r="J195" s="48" t="n">
        <v>5</v>
      </c>
      <c r="K195" s="48" t="n">
        <v>5</v>
      </c>
      <c r="L195" s="48" t="n">
        <v>4</v>
      </c>
      <c r="M195" s="49" t="n">
        <v>3</v>
      </c>
      <c r="N195" s="49" t="n">
        <v>3</v>
      </c>
      <c r="O195" s="49" t="n">
        <v>2</v>
      </c>
      <c r="P195" s="49" t="n">
        <v>5</v>
      </c>
      <c r="Q195" s="49" t="n">
        <v>3</v>
      </c>
      <c r="R195" s="49" t="n">
        <v>4</v>
      </c>
      <c r="S195" s="50" t="n">
        <v>0</v>
      </c>
      <c r="T195" s="50" t="n">
        <v>52</v>
      </c>
      <c r="U195" s="50" t="n">
        <v>56406</v>
      </c>
      <c r="V195" s="51" t="n">
        <v>2</v>
      </c>
      <c r="W195" s="51" t="n">
        <v>1</v>
      </c>
      <c r="X195" s="51" t="n">
        <v>2</v>
      </c>
      <c r="Y195" s="51" t="n">
        <v>1</v>
      </c>
      <c r="Z195" s="3" t="str">
        <f aca="false">VLOOKUP(A195,'Data Prep'!$A$5:$B$44,2,FALSE())</f>
        <v>Subway</v>
      </c>
      <c r="AA195" s="4" t="n">
        <f aca="false">COUNTBLANK(A195:Y195)</f>
        <v>0</v>
      </c>
    </row>
    <row r="196" customFormat="false" ht="12.75" hidden="false" customHeight="true" outlineLevel="0" collapsed="false">
      <c r="A196" s="45" t="s">
        <v>35</v>
      </c>
      <c r="B196" s="46" t="n">
        <v>0</v>
      </c>
      <c r="C196" s="46" t="n">
        <v>0</v>
      </c>
      <c r="D196" s="46" t="n">
        <v>1</v>
      </c>
      <c r="E196" s="46" t="n">
        <v>0</v>
      </c>
      <c r="F196" s="47" t="n">
        <v>0</v>
      </c>
      <c r="G196" s="48" t="n">
        <v>5</v>
      </c>
      <c r="H196" s="48" t="n">
        <v>4</v>
      </c>
      <c r="I196" s="48" t="n">
        <v>5</v>
      </c>
      <c r="J196" s="48" t="n">
        <v>4</v>
      </c>
      <c r="K196" s="48" t="n">
        <v>5</v>
      </c>
      <c r="L196" s="48" t="n">
        <v>4</v>
      </c>
      <c r="M196" s="49" t="n">
        <v>3</v>
      </c>
      <c r="N196" s="49" t="n">
        <v>3</v>
      </c>
      <c r="O196" s="49" t="n">
        <v>2</v>
      </c>
      <c r="P196" s="49" t="n">
        <v>4</v>
      </c>
      <c r="Q196" s="49" t="n">
        <v>5</v>
      </c>
      <c r="R196" s="49" t="n">
        <v>4</v>
      </c>
      <c r="S196" s="50" t="n">
        <v>0</v>
      </c>
      <c r="T196" s="50" t="n">
        <v>50</v>
      </c>
      <c r="U196" s="50" t="n">
        <v>32828</v>
      </c>
      <c r="V196" s="51" t="n">
        <v>1</v>
      </c>
      <c r="W196" s="51" t="n">
        <v>4</v>
      </c>
      <c r="X196" s="51" t="n">
        <v>2</v>
      </c>
      <c r="Y196" s="51" t="n">
        <v>2</v>
      </c>
      <c r="Z196" s="3" t="str">
        <f aca="false">VLOOKUP(A196,'Data Prep'!$A$5:$B$44,2,FALSE())</f>
        <v>KFC</v>
      </c>
      <c r="AA196" s="4" t="n">
        <f aca="false">COUNTBLANK(A196:Y196)</f>
        <v>0</v>
      </c>
    </row>
    <row r="197" customFormat="false" ht="12.75" hidden="false" customHeight="true" outlineLevel="0" collapsed="false">
      <c r="A197" s="45" t="s">
        <v>33</v>
      </c>
      <c r="B197" s="46" t="n">
        <v>1</v>
      </c>
      <c r="C197" s="46" t="n">
        <v>0</v>
      </c>
      <c r="D197" s="46" t="n">
        <v>0</v>
      </c>
      <c r="E197" s="46" t="n">
        <v>0</v>
      </c>
      <c r="F197" s="47" t="n">
        <v>0</v>
      </c>
      <c r="G197" s="48" t="n">
        <v>5</v>
      </c>
      <c r="H197" s="48" t="n">
        <v>5</v>
      </c>
      <c r="I197" s="48" t="n">
        <v>5</v>
      </c>
      <c r="J197" s="48" t="n">
        <v>5</v>
      </c>
      <c r="K197" s="48" t="n">
        <v>5</v>
      </c>
      <c r="L197" s="48" t="n">
        <v>5</v>
      </c>
      <c r="M197" s="49" t="n">
        <v>3</v>
      </c>
      <c r="N197" s="49" t="n">
        <v>4</v>
      </c>
      <c r="O197" s="49" t="n">
        <v>4</v>
      </c>
      <c r="P197" s="49" t="n">
        <v>5</v>
      </c>
      <c r="Q197" s="49" t="n">
        <v>4</v>
      </c>
      <c r="R197" s="49" t="n">
        <v>3</v>
      </c>
      <c r="S197" s="50" t="n">
        <v>0</v>
      </c>
      <c r="T197" s="50" t="n">
        <v>45</v>
      </c>
      <c r="U197" s="50" t="n">
        <v>45038</v>
      </c>
      <c r="V197" s="51" t="n">
        <v>3</v>
      </c>
      <c r="W197" s="51" t="n">
        <v>2</v>
      </c>
      <c r="X197" s="51" t="n">
        <v>1</v>
      </c>
      <c r="Y197" s="51" t="n">
        <v>2</v>
      </c>
      <c r="Z197" s="3" t="str">
        <f aca="false">VLOOKUP(A197,'Data Prep'!$A$5:$B$44,2,FALSE())</f>
        <v>In-n-out</v>
      </c>
      <c r="AA197" s="4" t="n">
        <f aca="false">COUNTBLANK(A197:Y197)</f>
        <v>0</v>
      </c>
    </row>
    <row r="198" customFormat="false" ht="12.75" hidden="false" customHeight="true" outlineLevel="0" collapsed="false">
      <c r="A198" s="45" t="s">
        <v>42</v>
      </c>
      <c r="B198" s="46" t="n">
        <v>0</v>
      </c>
      <c r="C198" s="46" t="n">
        <v>0</v>
      </c>
      <c r="D198" s="46" t="n">
        <v>0</v>
      </c>
      <c r="E198" s="46" t="n">
        <v>0</v>
      </c>
      <c r="F198" s="47" t="n">
        <v>0</v>
      </c>
      <c r="G198" s="48" t="n">
        <v>1</v>
      </c>
      <c r="H198" s="48" t="n">
        <v>1</v>
      </c>
      <c r="I198" s="48" t="n">
        <v>4</v>
      </c>
      <c r="J198" s="48" t="n">
        <v>4</v>
      </c>
      <c r="K198" s="48" t="n">
        <v>5</v>
      </c>
      <c r="L198" s="48" t="n">
        <v>4</v>
      </c>
      <c r="M198" s="49" t="n">
        <v>2</v>
      </c>
      <c r="N198" s="49" t="n">
        <v>3</v>
      </c>
      <c r="O198" s="49" t="n">
        <v>3</v>
      </c>
      <c r="P198" s="49" t="n">
        <v>3</v>
      </c>
      <c r="Q198" s="49" t="n">
        <v>4</v>
      </c>
      <c r="R198" s="49" t="n">
        <v>3</v>
      </c>
      <c r="S198" s="50" t="n">
        <v>0</v>
      </c>
      <c r="T198" s="50" t="n">
        <v>41</v>
      </c>
      <c r="U198" s="50" t="n">
        <v>53955</v>
      </c>
      <c r="V198" s="51" t="n">
        <v>3</v>
      </c>
      <c r="W198" s="51" t="n">
        <v>4</v>
      </c>
      <c r="X198" s="51" t="n">
        <v>3</v>
      </c>
      <c r="Y198" s="51" t="n">
        <v>3</v>
      </c>
      <c r="Z198" s="3" t="str">
        <f aca="false">VLOOKUP(A198,'Data Prep'!$A$5:$B$44,2,FALSE())</f>
        <v>Subway</v>
      </c>
      <c r="AA198" s="4" t="n">
        <f aca="false">COUNTBLANK(A198:Y198)</f>
        <v>0</v>
      </c>
    </row>
    <row r="199" customFormat="false" ht="12.75" hidden="false" customHeight="true" outlineLevel="0" collapsed="false">
      <c r="A199" s="45" t="s">
        <v>180</v>
      </c>
      <c r="B199" s="46" t="n">
        <v>0</v>
      </c>
      <c r="C199" s="46" t="n">
        <v>0</v>
      </c>
      <c r="D199" s="46" t="n">
        <v>1</v>
      </c>
      <c r="E199" s="46" t="n">
        <v>0</v>
      </c>
      <c r="F199" s="47" t="n">
        <v>0</v>
      </c>
      <c r="G199" s="48" t="n">
        <v>5</v>
      </c>
      <c r="H199" s="48" t="n">
        <v>4</v>
      </c>
      <c r="I199" s="48" t="n">
        <v>5</v>
      </c>
      <c r="J199" s="48" t="n">
        <v>5</v>
      </c>
      <c r="K199" s="48" t="n">
        <v>5</v>
      </c>
      <c r="L199" s="48" t="n">
        <v>5</v>
      </c>
      <c r="M199" s="49" t="n">
        <v>5</v>
      </c>
      <c r="N199" s="49" t="n">
        <v>4</v>
      </c>
      <c r="O199" s="49" t="n">
        <v>4</v>
      </c>
      <c r="P199" s="49" t="n">
        <v>5</v>
      </c>
      <c r="Q199" s="49" t="n">
        <v>5</v>
      </c>
      <c r="R199" s="49" t="n">
        <v>5</v>
      </c>
      <c r="S199" s="50" t="n">
        <v>0</v>
      </c>
      <c r="T199" s="50" t="n">
        <v>30</v>
      </c>
      <c r="U199" s="50" t="n">
        <v>28178</v>
      </c>
      <c r="V199" s="51" t="n">
        <v>1</v>
      </c>
      <c r="W199" s="51" t="n">
        <v>2</v>
      </c>
      <c r="X199" s="51" t="n">
        <v>2</v>
      </c>
      <c r="Y199" s="51" t="n">
        <v>2</v>
      </c>
      <c r="Z199" s="3" t="str">
        <f aca="false">VLOOKUP(A199,'Data Prep'!$A$5:$B$44,2,FALSE())</f>
        <v>Panera Bread</v>
      </c>
      <c r="AA199" s="4" t="n">
        <f aca="false">COUNTBLANK(A199:Y199)</f>
        <v>0</v>
      </c>
    </row>
    <row r="200" customFormat="false" ht="12.75" hidden="false" customHeight="true" outlineLevel="0" collapsed="false">
      <c r="A200" s="45" t="s">
        <v>33</v>
      </c>
      <c r="B200" s="46" t="n">
        <v>1</v>
      </c>
      <c r="C200" s="46" t="n">
        <v>0</v>
      </c>
      <c r="D200" s="46" t="n">
        <v>0</v>
      </c>
      <c r="E200" s="46" t="n">
        <v>0</v>
      </c>
      <c r="F200" s="47" t="n">
        <v>4</v>
      </c>
      <c r="G200" s="48" t="n">
        <v>4</v>
      </c>
      <c r="H200" s="48" t="n">
        <v>4</v>
      </c>
      <c r="I200" s="48" t="n">
        <v>5</v>
      </c>
      <c r="J200" s="48" t="n">
        <v>4</v>
      </c>
      <c r="K200" s="48" t="n">
        <v>5</v>
      </c>
      <c r="L200" s="48" t="n">
        <v>4</v>
      </c>
      <c r="M200" s="49" t="n">
        <v>5</v>
      </c>
      <c r="N200" s="49" t="n">
        <v>5</v>
      </c>
      <c r="O200" s="49" t="n">
        <v>5</v>
      </c>
      <c r="P200" s="49" t="n">
        <v>5</v>
      </c>
      <c r="Q200" s="49" t="n">
        <v>5</v>
      </c>
      <c r="R200" s="49" t="n">
        <v>5</v>
      </c>
      <c r="S200" s="50" t="n">
        <v>0</v>
      </c>
      <c r="T200" s="50" t="n">
        <v>31</v>
      </c>
      <c r="U200" s="50" t="n">
        <v>39398</v>
      </c>
      <c r="V200" s="51" t="n">
        <v>3</v>
      </c>
      <c r="W200" s="51" t="n">
        <v>2</v>
      </c>
      <c r="X200" s="51" t="n">
        <v>1</v>
      </c>
      <c r="Y200" s="51" t="n">
        <v>2</v>
      </c>
      <c r="Z200" s="3" t="str">
        <f aca="false">VLOOKUP(A200,'Data Prep'!$A$5:$B$44,2,FALSE())</f>
        <v>In-n-out</v>
      </c>
      <c r="AA200" s="4" t="n">
        <f aca="false">COUNTBLANK(A200:Y200)</f>
        <v>0</v>
      </c>
    </row>
    <row r="201" customFormat="false" ht="12.75" hidden="false" customHeight="true" outlineLevel="0" collapsed="false">
      <c r="A201" s="45" t="s">
        <v>180</v>
      </c>
      <c r="B201" s="46" t="n">
        <v>0</v>
      </c>
      <c r="C201" s="46" t="n">
        <v>0</v>
      </c>
      <c r="D201" s="46" t="n">
        <v>1</v>
      </c>
      <c r="E201" s="46" t="n">
        <v>0</v>
      </c>
      <c r="F201" s="47" t="n">
        <v>0</v>
      </c>
      <c r="G201" s="48" t="n">
        <v>5</v>
      </c>
      <c r="H201" s="48" t="n">
        <v>4</v>
      </c>
      <c r="I201" s="48" t="n">
        <v>4</v>
      </c>
      <c r="J201" s="48" t="n">
        <v>5</v>
      </c>
      <c r="K201" s="48" t="n">
        <v>5</v>
      </c>
      <c r="L201" s="48" t="n">
        <v>3</v>
      </c>
      <c r="M201" s="49" t="n">
        <v>5</v>
      </c>
      <c r="N201" s="49" t="n">
        <v>3</v>
      </c>
      <c r="O201" s="49" t="n">
        <v>3</v>
      </c>
      <c r="P201" s="49" t="n">
        <v>4</v>
      </c>
      <c r="Q201" s="49" t="n">
        <v>4</v>
      </c>
      <c r="R201" s="49" t="n">
        <v>4</v>
      </c>
      <c r="S201" s="50" t="n">
        <v>1</v>
      </c>
      <c r="T201" s="50" t="n">
        <v>38</v>
      </c>
      <c r="U201" s="50" t="n">
        <v>18186</v>
      </c>
      <c r="V201" s="51" t="n">
        <v>1</v>
      </c>
      <c r="W201" s="51" t="n">
        <v>3</v>
      </c>
      <c r="X201" s="51" t="n">
        <v>2</v>
      </c>
      <c r="Y201" s="51" t="n">
        <v>2</v>
      </c>
      <c r="Z201" s="3" t="str">
        <f aca="false">VLOOKUP(A201,'Data Prep'!$A$5:$B$44,2,FALSE())</f>
        <v>Panera Bread</v>
      </c>
      <c r="AA201" s="4" t="n">
        <f aca="false">COUNTBLANK(A201:Y201)</f>
        <v>0</v>
      </c>
    </row>
    <row r="202" customFormat="false" ht="12.75" hidden="false" customHeight="true" outlineLevel="0" collapsed="false">
      <c r="A202" s="45" t="s">
        <v>42</v>
      </c>
      <c r="B202" s="46" t="n">
        <v>0</v>
      </c>
      <c r="C202" s="46" t="n">
        <v>0</v>
      </c>
      <c r="D202" s="46" t="n">
        <v>1</v>
      </c>
      <c r="E202" s="46" t="n">
        <v>0</v>
      </c>
      <c r="F202" s="47" t="n">
        <v>0</v>
      </c>
      <c r="G202" s="48" t="n">
        <v>5</v>
      </c>
      <c r="H202" s="48" t="n">
        <v>4</v>
      </c>
      <c r="I202" s="48" t="n">
        <v>4</v>
      </c>
      <c r="J202" s="48" t="n">
        <v>5</v>
      </c>
      <c r="K202" s="48" t="n">
        <v>5</v>
      </c>
      <c r="L202" s="48" t="n">
        <v>4</v>
      </c>
      <c r="M202" s="49" t="n">
        <v>3</v>
      </c>
      <c r="N202" s="49" t="n">
        <v>3</v>
      </c>
      <c r="O202" s="49" t="n">
        <v>3</v>
      </c>
      <c r="P202" s="49" t="n">
        <v>4</v>
      </c>
      <c r="Q202" s="49" t="n">
        <v>3</v>
      </c>
      <c r="R202" s="49" t="n">
        <v>4</v>
      </c>
      <c r="S202" s="50" t="n">
        <v>0</v>
      </c>
      <c r="T202" s="50" t="n">
        <v>35</v>
      </c>
      <c r="U202" s="50" t="n">
        <v>11046</v>
      </c>
      <c r="V202" s="51" t="n">
        <v>1</v>
      </c>
      <c r="W202" s="51" t="n">
        <v>2</v>
      </c>
      <c r="X202" s="51" t="n">
        <v>1</v>
      </c>
      <c r="Y202" s="51" t="n">
        <v>1</v>
      </c>
      <c r="Z202" s="3" t="str">
        <f aca="false">VLOOKUP(A202,'Data Prep'!$A$5:$B$44,2,FALSE())</f>
        <v>Subway</v>
      </c>
      <c r="AA202" s="4" t="n">
        <f aca="false">COUNTBLANK(A202:Y202)</f>
        <v>0</v>
      </c>
    </row>
    <row r="203" customFormat="false" ht="12.75" hidden="false" customHeight="true" outlineLevel="0" collapsed="false">
      <c r="A203" s="45" t="s">
        <v>42</v>
      </c>
      <c r="B203" s="46" t="n">
        <v>1</v>
      </c>
      <c r="C203" s="46" t="n">
        <v>0</v>
      </c>
      <c r="D203" s="46" t="n">
        <v>0</v>
      </c>
      <c r="E203" s="46" t="n">
        <v>0</v>
      </c>
      <c r="F203" s="47" t="n">
        <v>0</v>
      </c>
      <c r="G203" s="48" t="n">
        <v>5</v>
      </c>
      <c r="H203" s="48" t="n">
        <v>5</v>
      </c>
      <c r="I203" s="48" t="n">
        <v>5</v>
      </c>
      <c r="J203" s="48" t="n">
        <v>5</v>
      </c>
      <c r="K203" s="48" t="n">
        <v>5</v>
      </c>
      <c r="L203" s="48" t="n">
        <v>5</v>
      </c>
      <c r="M203" s="49" t="n">
        <v>4</v>
      </c>
      <c r="N203" s="49" t="n">
        <v>4</v>
      </c>
      <c r="O203" s="49" t="n">
        <v>2</v>
      </c>
      <c r="P203" s="49" t="n">
        <v>3</v>
      </c>
      <c r="Q203" s="49" t="n">
        <v>3</v>
      </c>
      <c r="R203" s="49" t="n">
        <v>3</v>
      </c>
      <c r="S203" s="50" t="n">
        <v>0</v>
      </c>
      <c r="T203" s="50" t="n">
        <v>34</v>
      </c>
      <c r="U203" s="50" t="n">
        <v>44454</v>
      </c>
      <c r="V203" s="51" t="n">
        <v>1</v>
      </c>
      <c r="W203" s="51" t="n">
        <v>4</v>
      </c>
      <c r="X203" s="51" t="n">
        <v>2</v>
      </c>
      <c r="Y203" s="51" t="n">
        <v>1</v>
      </c>
      <c r="Z203" s="3" t="str">
        <f aca="false">VLOOKUP(A203,'Data Prep'!$A$5:$B$44,2,FALSE())</f>
        <v>Subway</v>
      </c>
      <c r="AA203" s="4" t="n">
        <f aca="false">COUNTBLANK(A203:Y203)</f>
        <v>0</v>
      </c>
    </row>
    <row r="204" customFormat="false" ht="12.75" hidden="false" customHeight="true" outlineLevel="0" collapsed="false">
      <c r="A204" s="45" t="s">
        <v>33</v>
      </c>
      <c r="B204" s="46" t="n">
        <v>1</v>
      </c>
      <c r="C204" s="46" t="n">
        <v>0</v>
      </c>
      <c r="D204" s="46" t="n">
        <v>0</v>
      </c>
      <c r="E204" s="46" t="n">
        <v>0</v>
      </c>
      <c r="F204" s="47" t="n">
        <v>0</v>
      </c>
      <c r="G204" s="48" t="n">
        <v>5</v>
      </c>
      <c r="H204" s="48" t="n">
        <v>5</v>
      </c>
      <c r="I204" s="48" t="n">
        <v>5</v>
      </c>
      <c r="J204" s="48" t="n">
        <v>5</v>
      </c>
      <c r="K204" s="48" t="n">
        <v>5</v>
      </c>
      <c r="L204" s="48" t="n">
        <v>5</v>
      </c>
      <c r="M204" s="49" t="n">
        <v>3</v>
      </c>
      <c r="N204" s="49" t="n">
        <v>3</v>
      </c>
      <c r="O204" s="49" t="n">
        <v>3</v>
      </c>
      <c r="P204" s="49" t="n">
        <v>4</v>
      </c>
      <c r="Q204" s="49" t="n">
        <v>3</v>
      </c>
      <c r="R204" s="49" t="n">
        <v>4</v>
      </c>
      <c r="S204" s="50" t="n">
        <v>0</v>
      </c>
      <c r="T204" s="50" t="n">
        <v>37</v>
      </c>
      <c r="U204" s="50" t="n">
        <v>41052</v>
      </c>
      <c r="V204" s="51" t="n">
        <v>2</v>
      </c>
      <c r="W204" s="51" t="n">
        <v>2</v>
      </c>
      <c r="X204" s="51" t="n">
        <v>2</v>
      </c>
      <c r="Y204" s="51" t="n">
        <v>2</v>
      </c>
      <c r="Z204" s="3" t="str">
        <f aca="false">VLOOKUP(A204,'Data Prep'!$A$5:$B$44,2,FALSE())</f>
        <v>In-n-out</v>
      </c>
      <c r="AA204" s="4" t="n">
        <f aca="false">COUNTBLANK(A204:Y204)</f>
        <v>0</v>
      </c>
    </row>
    <row r="205" customFormat="false" ht="12.75" hidden="false" customHeight="true" outlineLevel="0" collapsed="false">
      <c r="A205" s="45" t="s">
        <v>42</v>
      </c>
      <c r="B205" s="46" t="n">
        <v>0</v>
      </c>
      <c r="C205" s="46" t="n">
        <v>0</v>
      </c>
      <c r="D205" s="46" t="n">
        <v>1</v>
      </c>
      <c r="E205" s="46" t="n">
        <v>0</v>
      </c>
      <c r="F205" s="47" t="n">
        <v>0</v>
      </c>
      <c r="G205" s="48" t="n">
        <v>5</v>
      </c>
      <c r="H205" s="48" t="n">
        <v>4</v>
      </c>
      <c r="I205" s="48" t="n">
        <v>5</v>
      </c>
      <c r="J205" s="48" t="n">
        <v>5</v>
      </c>
      <c r="K205" s="48" t="n">
        <v>5</v>
      </c>
      <c r="L205" s="48" t="n">
        <v>4</v>
      </c>
      <c r="M205" s="49" t="n">
        <v>4</v>
      </c>
      <c r="N205" s="49" t="n">
        <v>4</v>
      </c>
      <c r="O205" s="49" t="n">
        <v>4</v>
      </c>
      <c r="P205" s="49" t="n">
        <v>5</v>
      </c>
      <c r="Q205" s="49" t="n">
        <v>5</v>
      </c>
      <c r="R205" s="49" t="n">
        <v>5</v>
      </c>
      <c r="S205" s="50" t="n">
        <v>0</v>
      </c>
      <c r="T205" s="50" t="n">
        <v>33</v>
      </c>
      <c r="U205" s="50" t="n">
        <v>86277</v>
      </c>
      <c r="V205" s="51" t="n">
        <v>2</v>
      </c>
      <c r="W205" s="51" t="n">
        <v>3</v>
      </c>
      <c r="X205" s="51" t="n">
        <v>2</v>
      </c>
      <c r="Y205" s="51" t="n">
        <v>2</v>
      </c>
      <c r="Z205" s="3" t="str">
        <f aca="false">VLOOKUP(A205,'Data Prep'!$A$5:$B$44,2,FALSE())</f>
        <v>Subway</v>
      </c>
      <c r="AA205" s="4" t="n">
        <f aca="false">COUNTBLANK(A205:Y205)</f>
        <v>0</v>
      </c>
    </row>
    <row r="206" customFormat="false" ht="12.75" hidden="false" customHeight="true" outlineLevel="0" collapsed="false">
      <c r="A206" s="45" t="s">
        <v>186</v>
      </c>
      <c r="B206" s="46" t="n">
        <v>0</v>
      </c>
      <c r="C206" s="46" t="n">
        <v>0</v>
      </c>
      <c r="D206" s="46" t="n">
        <v>0</v>
      </c>
      <c r="E206" s="46" t="n">
        <v>0</v>
      </c>
      <c r="F206" s="47" t="n">
        <v>2</v>
      </c>
      <c r="G206" s="48" t="n">
        <v>4</v>
      </c>
      <c r="H206" s="48" t="n">
        <v>4</v>
      </c>
      <c r="I206" s="48" t="n">
        <v>5</v>
      </c>
      <c r="J206" s="48" t="n">
        <v>5</v>
      </c>
      <c r="K206" s="48" t="n">
        <v>5</v>
      </c>
      <c r="L206" s="48" t="n">
        <v>4</v>
      </c>
      <c r="M206" s="49" t="n">
        <v>3</v>
      </c>
      <c r="N206" s="49" t="n">
        <v>4</v>
      </c>
      <c r="O206" s="49" t="n">
        <v>3</v>
      </c>
      <c r="P206" s="49" t="n">
        <v>4</v>
      </c>
      <c r="Q206" s="49" t="n">
        <v>4</v>
      </c>
      <c r="R206" s="49" t="n">
        <v>3</v>
      </c>
      <c r="S206" s="50" t="n">
        <v>0</v>
      </c>
      <c r="T206" s="50" t="n">
        <v>49</v>
      </c>
      <c r="U206" s="50" t="n">
        <v>54651</v>
      </c>
      <c r="V206" s="51" t="n">
        <v>1</v>
      </c>
      <c r="W206" s="51" t="n">
        <v>4</v>
      </c>
      <c r="X206" s="51" t="n">
        <v>2</v>
      </c>
      <c r="Y206" s="51" t="n">
        <v>2</v>
      </c>
      <c r="Z206" s="3" t="str">
        <f aca="false">VLOOKUP(A206,'Data Prep'!$A$5:$B$44,2,FALSE())</f>
        <v>Panera Bread</v>
      </c>
      <c r="AA206" s="4" t="n">
        <f aca="false">COUNTBLANK(A206:Y206)</f>
        <v>0</v>
      </c>
    </row>
    <row r="207" customFormat="false" ht="12.75" hidden="false" customHeight="true" outlineLevel="0" collapsed="false">
      <c r="A207" s="45" t="s">
        <v>35</v>
      </c>
      <c r="B207" s="46" t="n">
        <v>1</v>
      </c>
      <c r="C207" s="46" t="n">
        <v>0</v>
      </c>
      <c r="D207" s="46" t="n">
        <v>0</v>
      </c>
      <c r="E207" s="46" t="n">
        <v>0</v>
      </c>
      <c r="F207" s="47" t="n">
        <v>0</v>
      </c>
      <c r="G207" s="48" t="n">
        <v>5</v>
      </c>
      <c r="H207" s="48" t="n">
        <v>4</v>
      </c>
      <c r="I207" s="48" t="n">
        <v>4</v>
      </c>
      <c r="J207" s="48" t="n">
        <v>4</v>
      </c>
      <c r="K207" s="48" t="n">
        <v>5</v>
      </c>
      <c r="L207" s="48" t="n">
        <v>4</v>
      </c>
      <c r="M207" s="49" t="n">
        <v>5</v>
      </c>
      <c r="N207" s="49" t="n">
        <v>5</v>
      </c>
      <c r="O207" s="49" t="n">
        <v>4</v>
      </c>
      <c r="P207" s="49" t="n">
        <v>4</v>
      </c>
      <c r="Q207" s="49" t="n">
        <v>4</v>
      </c>
      <c r="R207" s="49" t="n">
        <v>4</v>
      </c>
      <c r="S207" s="50" t="n">
        <v>0</v>
      </c>
      <c r="T207" s="50" t="n">
        <v>21</v>
      </c>
      <c r="U207" s="50" t="n">
        <v>58742</v>
      </c>
      <c r="V207" s="51" t="n">
        <v>2</v>
      </c>
      <c r="W207" s="51" t="n">
        <v>4</v>
      </c>
      <c r="X207" s="51" t="n">
        <v>2</v>
      </c>
      <c r="Y207" s="51" t="n">
        <v>2</v>
      </c>
      <c r="Z207" s="3" t="str">
        <f aca="false">VLOOKUP(A207,'Data Prep'!$A$5:$B$44,2,FALSE())</f>
        <v>KFC</v>
      </c>
      <c r="AA207" s="4" t="n">
        <f aca="false">COUNTBLANK(A207:Y207)</f>
        <v>0</v>
      </c>
    </row>
    <row r="208" customFormat="false" ht="12.75" hidden="false" customHeight="true" outlineLevel="0" collapsed="false">
      <c r="A208" s="45" t="s">
        <v>42</v>
      </c>
      <c r="B208" s="46" t="n">
        <v>0</v>
      </c>
      <c r="C208" s="46" t="n">
        <v>0</v>
      </c>
      <c r="D208" s="46" t="n">
        <v>0</v>
      </c>
      <c r="E208" s="46" t="n">
        <v>0</v>
      </c>
      <c r="F208" s="47" t="n">
        <v>1</v>
      </c>
      <c r="G208" s="48" t="n">
        <v>5</v>
      </c>
      <c r="H208" s="48" t="n">
        <v>4</v>
      </c>
      <c r="I208" s="48" t="n">
        <v>5</v>
      </c>
      <c r="J208" s="48" t="n">
        <v>5</v>
      </c>
      <c r="K208" s="48" t="n">
        <v>5</v>
      </c>
      <c r="L208" s="48" t="n">
        <v>4</v>
      </c>
      <c r="M208" s="49" t="n">
        <v>3</v>
      </c>
      <c r="N208" s="49" t="n">
        <v>3</v>
      </c>
      <c r="O208" s="49" t="n">
        <v>4</v>
      </c>
      <c r="P208" s="49" t="n">
        <v>5</v>
      </c>
      <c r="Q208" s="49" t="n">
        <v>5</v>
      </c>
      <c r="R208" s="49" t="n">
        <v>4</v>
      </c>
      <c r="S208" s="50" t="n">
        <v>0</v>
      </c>
      <c r="T208" s="50" t="n">
        <v>24</v>
      </c>
      <c r="U208" s="50" t="n">
        <v>58416</v>
      </c>
      <c r="V208" s="51" t="n">
        <v>1</v>
      </c>
      <c r="W208" s="51" t="n">
        <v>4</v>
      </c>
      <c r="X208" s="51" t="n">
        <v>2</v>
      </c>
      <c r="Y208" s="51" t="n">
        <v>1</v>
      </c>
      <c r="Z208" s="3" t="str">
        <f aca="false">VLOOKUP(A208,'Data Prep'!$A$5:$B$44,2,FALSE())</f>
        <v>Subway</v>
      </c>
      <c r="AA208" s="4" t="n">
        <f aca="false">COUNTBLANK(A208:Y208)</f>
        <v>0</v>
      </c>
    </row>
    <row r="209" customFormat="false" ht="12.75" hidden="false" customHeight="true" outlineLevel="0" collapsed="false">
      <c r="A209" s="45" t="s">
        <v>180</v>
      </c>
      <c r="B209" s="46" t="n">
        <v>1</v>
      </c>
      <c r="C209" s="46" t="n">
        <v>0</v>
      </c>
      <c r="D209" s="46" t="n">
        <v>0</v>
      </c>
      <c r="E209" s="46" t="n">
        <v>0</v>
      </c>
      <c r="F209" s="47" t="n">
        <v>0</v>
      </c>
      <c r="G209" s="48" t="n">
        <v>4</v>
      </c>
      <c r="H209" s="48" t="n">
        <v>5</v>
      </c>
      <c r="I209" s="48" t="n">
        <v>5</v>
      </c>
      <c r="J209" s="48" t="n">
        <v>5</v>
      </c>
      <c r="K209" s="48" t="n">
        <v>5</v>
      </c>
      <c r="L209" s="48" t="n">
        <v>5</v>
      </c>
      <c r="M209" s="49" t="n">
        <v>5</v>
      </c>
      <c r="N209" s="49" t="n">
        <v>5</v>
      </c>
      <c r="O209" s="49" t="n">
        <v>5</v>
      </c>
      <c r="P209" s="49" t="n">
        <v>5</v>
      </c>
      <c r="Q209" s="49" t="n">
        <v>5</v>
      </c>
      <c r="R209" s="49" t="n">
        <v>5</v>
      </c>
      <c r="S209" s="50" t="n">
        <v>0</v>
      </c>
      <c r="T209" s="50" t="n">
        <v>25</v>
      </c>
      <c r="U209" s="50" t="n">
        <v>29001</v>
      </c>
      <c r="V209" s="51" t="n">
        <v>1</v>
      </c>
      <c r="W209" s="51" t="n">
        <v>2</v>
      </c>
      <c r="X209" s="51" t="n">
        <v>1</v>
      </c>
      <c r="Y209" s="51" t="n">
        <v>1</v>
      </c>
      <c r="Z209" s="3" t="str">
        <f aca="false">VLOOKUP(A209,'Data Prep'!$A$5:$B$44,2,FALSE())</f>
        <v>Panera Bread</v>
      </c>
      <c r="AA209" s="4" t="n">
        <f aca="false">COUNTBLANK(A209:Y209)</f>
        <v>0</v>
      </c>
    </row>
    <row r="210" customFormat="false" ht="12.75" hidden="false" customHeight="true" outlineLevel="0" collapsed="false">
      <c r="A210" s="45" t="s">
        <v>35</v>
      </c>
      <c r="B210" s="46" t="n">
        <v>1</v>
      </c>
      <c r="C210" s="46" t="n">
        <v>0</v>
      </c>
      <c r="D210" s="46" t="n">
        <v>0</v>
      </c>
      <c r="E210" s="46" t="n">
        <v>0</v>
      </c>
      <c r="F210" s="47" t="n">
        <v>0</v>
      </c>
      <c r="G210" s="48" t="n">
        <v>5</v>
      </c>
      <c r="H210" s="48" t="n">
        <v>5</v>
      </c>
      <c r="I210" s="48" t="n">
        <v>5</v>
      </c>
      <c r="J210" s="48" t="n">
        <v>5</v>
      </c>
      <c r="K210" s="48" t="n">
        <v>5</v>
      </c>
      <c r="L210" s="48" t="n">
        <v>3</v>
      </c>
      <c r="M210" s="49" t="n">
        <v>3</v>
      </c>
      <c r="N210" s="49" t="n">
        <v>5</v>
      </c>
      <c r="O210" s="49" t="n">
        <v>5</v>
      </c>
      <c r="P210" s="49" t="n">
        <v>5</v>
      </c>
      <c r="Q210" s="49" t="n">
        <v>5</v>
      </c>
      <c r="R210" s="49" t="n">
        <v>4</v>
      </c>
      <c r="S210" s="50" t="n">
        <v>0</v>
      </c>
      <c r="T210" s="50" t="n">
        <v>31</v>
      </c>
      <c r="U210" s="50" t="n">
        <v>40076</v>
      </c>
      <c r="V210" s="51" t="n">
        <v>2</v>
      </c>
      <c r="W210" s="51" t="n">
        <v>2</v>
      </c>
      <c r="X210" s="51" t="n">
        <v>2</v>
      </c>
      <c r="Y210" s="51" t="n">
        <v>2</v>
      </c>
      <c r="Z210" s="3" t="str">
        <f aca="false">VLOOKUP(A210,'Data Prep'!$A$5:$B$44,2,FALSE())</f>
        <v>KFC</v>
      </c>
      <c r="AA210" s="4" t="n">
        <f aca="false">COUNTBLANK(A210:Y210)</f>
        <v>0</v>
      </c>
    </row>
    <row r="211" customFormat="false" ht="12.75" hidden="false" customHeight="true" outlineLevel="0" collapsed="false">
      <c r="A211" s="45" t="s">
        <v>31</v>
      </c>
      <c r="B211" s="46" t="n">
        <v>0</v>
      </c>
      <c r="C211" s="46" t="n">
        <v>1</v>
      </c>
      <c r="D211" s="46" t="n">
        <v>0</v>
      </c>
      <c r="E211" s="46" t="n">
        <v>0</v>
      </c>
      <c r="F211" s="47" t="n">
        <v>0</v>
      </c>
      <c r="G211" s="48"/>
      <c r="H211" s="48"/>
      <c r="I211" s="48"/>
      <c r="J211" s="48"/>
      <c r="K211" s="48"/>
      <c r="L211" s="48"/>
      <c r="M211" s="49"/>
      <c r="N211" s="49"/>
      <c r="O211" s="49"/>
      <c r="P211" s="49"/>
      <c r="Q211" s="49"/>
      <c r="R211" s="49"/>
      <c r="S211" s="50"/>
      <c r="T211" s="50"/>
      <c r="U211" s="50"/>
      <c r="V211" s="51"/>
      <c r="W211" s="51"/>
      <c r="X211" s="51"/>
      <c r="Y211" s="51"/>
      <c r="Z211" s="3" t="str">
        <f aca="false">VLOOKUP(A211,'Data Prep'!$A$5:$B$44,2,FALSE())</f>
        <v>El Pollo Loco</v>
      </c>
      <c r="AA211" s="4" t="n">
        <f aca="false">COUNTBLANK(A211:Y211)</f>
        <v>19</v>
      </c>
    </row>
    <row r="212" customFormat="false" ht="12.75" hidden="false" customHeight="true" outlineLevel="0" collapsed="false">
      <c r="A212" s="45" t="s">
        <v>31</v>
      </c>
      <c r="B212" s="46" t="n">
        <v>1</v>
      </c>
      <c r="C212" s="46" t="n">
        <v>0</v>
      </c>
      <c r="D212" s="46" t="n">
        <v>0</v>
      </c>
      <c r="E212" s="46" t="n">
        <v>0</v>
      </c>
      <c r="F212" s="47" t="n">
        <v>3</v>
      </c>
      <c r="G212" s="48" t="n">
        <v>5</v>
      </c>
      <c r="H212" s="48" t="n">
        <v>5</v>
      </c>
      <c r="I212" s="48" t="n">
        <v>5</v>
      </c>
      <c r="J212" s="48" t="n">
        <v>4</v>
      </c>
      <c r="K212" s="48" t="n">
        <v>5</v>
      </c>
      <c r="L212" s="48" t="n">
        <v>4</v>
      </c>
      <c r="M212" s="49" t="n">
        <v>3</v>
      </c>
      <c r="N212" s="49" t="n">
        <v>3</v>
      </c>
      <c r="O212" s="49" t="n">
        <v>4</v>
      </c>
      <c r="P212" s="49" t="n">
        <v>5</v>
      </c>
      <c r="Q212" s="49" t="n">
        <v>3</v>
      </c>
      <c r="R212" s="49" t="n">
        <v>3</v>
      </c>
      <c r="S212" s="50" t="n">
        <v>0</v>
      </c>
      <c r="T212" s="50" t="n">
        <v>38</v>
      </c>
      <c r="U212" s="50" t="n">
        <v>39680</v>
      </c>
      <c r="V212" s="51" t="n">
        <v>1</v>
      </c>
      <c r="W212" s="51" t="n">
        <v>2</v>
      </c>
      <c r="X212" s="51" t="n">
        <v>2</v>
      </c>
      <c r="Y212" s="51" t="n">
        <v>2</v>
      </c>
      <c r="Z212" s="3" t="str">
        <f aca="false">VLOOKUP(A212,'Data Prep'!$A$5:$B$44,2,FALSE())</f>
        <v>El Pollo Loco</v>
      </c>
      <c r="AA212" s="4" t="n">
        <f aca="false">COUNTBLANK(A212:Y212)</f>
        <v>0</v>
      </c>
    </row>
    <row r="213" customFormat="false" ht="12.75" hidden="false" customHeight="true" outlineLevel="0" collapsed="false">
      <c r="A213" s="45" t="s">
        <v>30</v>
      </c>
      <c r="B213" s="46" t="n">
        <v>0</v>
      </c>
      <c r="C213" s="46" t="n">
        <v>0</v>
      </c>
      <c r="D213" s="46" t="n">
        <v>1</v>
      </c>
      <c r="E213" s="46" t="n">
        <v>0</v>
      </c>
      <c r="F213" s="47" t="n">
        <v>0</v>
      </c>
      <c r="G213" s="48" t="n">
        <v>5</v>
      </c>
      <c r="H213" s="48" t="n">
        <v>3</v>
      </c>
      <c r="I213" s="48" t="n">
        <v>5</v>
      </c>
      <c r="J213" s="48" t="n">
        <v>5</v>
      </c>
      <c r="K213" s="48" t="n">
        <v>5</v>
      </c>
      <c r="L213" s="48" t="n">
        <v>5</v>
      </c>
      <c r="M213" s="49" t="n">
        <v>5</v>
      </c>
      <c r="N213" s="49" t="n">
        <v>5</v>
      </c>
      <c r="O213" s="49" t="n">
        <v>5</v>
      </c>
      <c r="P213" s="49" t="n">
        <v>5</v>
      </c>
      <c r="Q213" s="49" t="n">
        <v>5</v>
      </c>
      <c r="R213" s="49" t="n">
        <v>5</v>
      </c>
      <c r="S213" s="50" t="n">
        <v>0</v>
      </c>
      <c r="T213" s="50" t="n">
        <v>45</v>
      </c>
      <c r="U213" s="50" t="n">
        <v>36810</v>
      </c>
      <c r="V213" s="51" t="n">
        <v>3</v>
      </c>
      <c r="W213" s="51" t="n">
        <v>2</v>
      </c>
      <c r="X213" s="51" t="n">
        <v>2</v>
      </c>
      <c r="Y213" s="51" t="n">
        <v>1</v>
      </c>
      <c r="Z213" s="3" t="str">
        <f aca="false">VLOOKUP(A213,'Data Prep'!$A$5:$B$44,2,FALSE())</f>
        <v>Chipotle</v>
      </c>
      <c r="AA213" s="4" t="n">
        <f aca="false">COUNTBLANK(A213:Y213)</f>
        <v>0</v>
      </c>
    </row>
    <row r="214" customFormat="false" ht="12.75" hidden="false" customHeight="true" outlineLevel="0" collapsed="false">
      <c r="A214" s="45" t="s">
        <v>31</v>
      </c>
      <c r="B214" s="46" t="n">
        <v>1</v>
      </c>
      <c r="C214" s="46" t="n">
        <v>0</v>
      </c>
      <c r="D214" s="46" t="n">
        <v>0</v>
      </c>
      <c r="E214" s="46" t="n">
        <v>0</v>
      </c>
      <c r="F214" s="47" t="n">
        <v>0</v>
      </c>
      <c r="G214" s="48" t="n">
        <v>4</v>
      </c>
      <c r="H214" s="48" t="n">
        <v>4</v>
      </c>
      <c r="I214" s="48" t="n">
        <v>4</v>
      </c>
      <c r="J214" s="48" t="n">
        <v>3</v>
      </c>
      <c r="K214" s="48" t="n">
        <v>5</v>
      </c>
      <c r="L214" s="48" t="n">
        <v>4</v>
      </c>
      <c r="M214" s="49" t="n">
        <v>3</v>
      </c>
      <c r="N214" s="49" t="n">
        <v>3</v>
      </c>
      <c r="O214" s="49" t="n">
        <v>3</v>
      </c>
      <c r="P214" s="49" t="n">
        <v>5</v>
      </c>
      <c r="Q214" s="49" t="n">
        <v>5</v>
      </c>
      <c r="R214" s="49" t="n">
        <v>4</v>
      </c>
      <c r="S214" s="50" t="n">
        <v>1</v>
      </c>
      <c r="T214" s="50" t="n">
        <v>40</v>
      </c>
      <c r="U214" s="50" t="n">
        <v>81393</v>
      </c>
      <c r="V214" s="51" t="n">
        <v>2</v>
      </c>
      <c r="W214" s="51" t="n">
        <v>4</v>
      </c>
      <c r="X214" s="51" t="n">
        <v>2</v>
      </c>
      <c r="Y214" s="51" t="n">
        <v>1</v>
      </c>
      <c r="Z214" s="3" t="str">
        <f aca="false">VLOOKUP(A214,'Data Prep'!$A$5:$B$44,2,FALSE())</f>
        <v>El Pollo Loco</v>
      </c>
      <c r="AA214" s="4" t="n">
        <f aca="false">COUNTBLANK(A214:Y214)</f>
        <v>0</v>
      </c>
    </row>
    <row r="215" customFormat="false" ht="12.75" hidden="false" customHeight="true" outlineLevel="0" collapsed="false">
      <c r="A215" s="45" t="s">
        <v>42</v>
      </c>
      <c r="B215" s="46" t="n">
        <v>1</v>
      </c>
      <c r="C215" s="46" t="n">
        <v>0</v>
      </c>
      <c r="D215" s="46" t="n">
        <v>0</v>
      </c>
      <c r="E215" s="46" t="n">
        <v>0</v>
      </c>
      <c r="F215" s="47" t="n">
        <v>1</v>
      </c>
      <c r="G215" s="48" t="n">
        <v>4</v>
      </c>
      <c r="H215" s="48" t="n">
        <v>4</v>
      </c>
      <c r="I215" s="48" t="n">
        <v>5</v>
      </c>
      <c r="J215" s="48" t="n">
        <v>5</v>
      </c>
      <c r="K215" s="48" t="n">
        <v>5</v>
      </c>
      <c r="L215" s="48" t="n">
        <v>4</v>
      </c>
      <c r="M215" s="49" t="n">
        <v>3</v>
      </c>
      <c r="N215" s="49" t="n">
        <v>3</v>
      </c>
      <c r="O215" s="49" t="n">
        <v>1</v>
      </c>
      <c r="P215" s="49" t="n">
        <v>3</v>
      </c>
      <c r="Q215" s="49" t="n">
        <v>3</v>
      </c>
      <c r="R215" s="49" t="n">
        <v>3</v>
      </c>
      <c r="S215" s="50" t="n">
        <v>0</v>
      </c>
      <c r="T215" s="50" t="n">
        <v>39</v>
      </c>
      <c r="U215" s="50" t="n">
        <v>15629</v>
      </c>
      <c r="V215" s="51" t="n">
        <v>2</v>
      </c>
      <c r="W215" s="51" t="n">
        <v>2</v>
      </c>
      <c r="X215" s="51" t="n">
        <v>1</v>
      </c>
      <c r="Y215" s="51" t="n">
        <v>1</v>
      </c>
      <c r="Z215" s="3" t="str">
        <f aca="false">VLOOKUP(A215,'Data Prep'!$A$5:$B$44,2,FALSE())</f>
        <v>Subway</v>
      </c>
      <c r="AA215" s="4" t="n">
        <f aca="false">COUNTBLANK(A215:Y215)</f>
        <v>0</v>
      </c>
    </row>
    <row r="216" customFormat="false" ht="12.75" hidden="false" customHeight="true" outlineLevel="0" collapsed="false">
      <c r="A216" s="45" t="s">
        <v>31</v>
      </c>
      <c r="B216" s="46" t="n">
        <v>1</v>
      </c>
      <c r="C216" s="46" t="n">
        <v>0</v>
      </c>
      <c r="D216" s="46" t="n">
        <v>0</v>
      </c>
      <c r="E216" s="46" t="n">
        <v>0</v>
      </c>
      <c r="F216" s="47" t="n">
        <v>0</v>
      </c>
      <c r="G216" s="48" t="n">
        <v>4</v>
      </c>
      <c r="H216" s="48" t="n">
        <v>4</v>
      </c>
      <c r="I216" s="48" t="n">
        <v>5</v>
      </c>
      <c r="J216" s="48" t="n">
        <v>5</v>
      </c>
      <c r="K216" s="48" t="n">
        <v>5</v>
      </c>
      <c r="L216" s="48" t="n">
        <v>4</v>
      </c>
      <c r="M216" s="49" t="n">
        <v>4</v>
      </c>
      <c r="N216" s="49" t="n">
        <v>5</v>
      </c>
      <c r="O216" s="49" t="n">
        <v>5</v>
      </c>
      <c r="P216" s="49" t="n">
        <v>5</v>
      </c>
      <c r="Q216" s="49" t="n">
        <v>5</v>
      </c>
      <c r="R216" s="49" t="n">
        <v>4</v>
      </c>
      <c r="S216" s="50" t="n">
        <v>1</v>
      </c>
      <c r="T216" s="50" t="n">
        <v>33</v>
      </c>
      <c r="U216" s="50" t="n">
        <v>72657</v>
      </c>
      <c r="V216" s="51" t="n">
        <v>1</v>
      </c>
      <c r="W216" s="51" t="n">
        <v>2</v>
      </c>
      <c r="X216" s="51" t="n">
        <v>1</v>
      </c>
      <c r="Y216" s="51" t="n">
        <v>1</v>
      </c>
      <c r="Z216" s="3" t="str">
        <f aca="false">VLOOKUP(A216,'Data Prep'!$A$5:$B$44,2,FALSE())</f>
        <v>El Pollo Loco</v>
      </c>
      <c r="AA216" s="4" t="n">
        <f aca="false">COUNTBLANK(A216:Y216)</f>
        <v>0</v>
      </c>
    </row>
    <row r="217" customFormat="false" ht="12.75" hidden="false" customHeight="true" outlineLevel="0" collapsed="false">
      <c r="A217" s="45" t="s">
        <v>31</v>
      </c>
      <c r="B217" s="46" t="n">
        <v>0</v>
      </c>
      <c r="C217" s="46" t="n">
        <v>0</v>
      </c>
      <c r="D217" s="46" t="n">
        <v>0</v>
      </c>
      <c r="E217" s="46" t="n">
        <v>0</v>
      </c>
      <c r="F217" s="47" t="n">
        <v>2</v>
      </c>
      <c r="G217" s="48"/>
      <c r="H217" s="48"/>
      <c r="I217" s="48"/>
      <c r="J217" s="48"/>
      <c r="K217" s="48"/>
      <c r="L217" s="48"/>
      <c r="M217" s="49"/>
      <c r="N217" s="49"/>
      <c r="O217" s="49"/>
      <c r="P217" s="49"/>
      <c r="Q217" s="49"/>
      <c r="R217" s="49"/>
      <c r="S217" s="50" t="n">
        <v>0</v>
      </c>
      <c r="T217" s="50" t="n">
        <v>56</v>
      </c>
      <c r="U217" s="50" t="n">
        <v>27994</v>
      </c>
      <c r="V217" s="51" t="n">
        <v>2</v>
      </c>
      <c r="W217" s="51" t="n">
        <v>2</v>
      </c>
      <c r="X217" s="51" t="n">
        <v>2</v>
      </c>
      <c r="Y217" s="51" t="n">
        <v>2</v>
      </c>
      <c r="Z217" s="3" t="str">
        <f aca="false">VLOOKUP(A217,'Data Prep'!$A$5:$B$44,2,FALSE())</f>
        <v>El Pollo Loco</v>
      </c>
      <c r="AA217" s="4" t="n">
        <f aca="false">COUNTBLANK(A217:Y217)</f>
        <v>12</v>
      </c>
    </row>
    <row r="218" customFormat="false" ht="12.75" hidden="false" customHeight="true" outlineLevel="0" collapsed="false">
      <c r="A218" s="45" t="s">
        <v>30</v>
      </c>
      <c r="B218" s="46" t="n">
        <v>1</v>
      </c>
      <c r="C218" s="46" t="n">
        <v>0</v>
      </c>
      <c r="D218" s="46" t="n">
        <v>0</v>
      </c>
      <c r="E218" s="46" t="n">
        <v>0</v>
      </c>
      <c r="F218" s="47" t="n">
        <v>1</v>
      </c>
      <c r="G218" s="48" t="n">
        <v>5</v>
      </c>
      <c r="H218" s="48" t="n">
        <v>4</v>
      </c>
      <c r="I218" s="48" t="n">
        <v>5</v>
      </c>
      <c r="J218" s="48" t="n">
        <v>4</v>
      </c>
      <c r="K218" s="48" t="n">
        <v>5</v>
      </c>
      <c r="L218" s="48" t="n">
        <v>4</v>
      </c>
      <c r="M218" s="49" t="n">
        <v>3</v>
      </c>
      <c r="N218" s="49" t="n">
        <v>3</v>
      </c>
      <c r="O218" s="49" t="n">
        <v>2</v>
      </c>
      <c r="P218" s="49" t="n">
        <v>5</v>
      </c>
      <c r="Q218" s="49" t="n">
        <v>5</v>
      </c>
      <c r="R218" s="49" t="n">
        <v>3</v>
      </c>
      <c r="S218" s="50" t="n">
        <v>1</v>
      </c>
      <c r="T218" s="50" t="n">
        <v>32</v>
      </c>
      <c r="U218" s="50" t="n">
        <v>24334</v>
      </c>
      <c r="V218" s="51" t="n">
        <v>2</v>
      </c>
      <c r="W218" s="51" t="n">
        <v>3</v>
      </c>
      <c r="X218" s="51" t="n">
        <v>5</v>
      </c>
      <c r="Y218" s="51" t="n">
        <v>3</v>
      </c>
      <c r="Z218" s="3" t="str">
        <f aca="false">VLOOKUP(A218,'Data Prep'!$A$5:$B$44,2,FALSE())</f>
        <v>Chipotle</v>
      </c>
      <c r="AA218" s="4" t="n">
        <f aca="false">COUNTBLANK(A218:Y218)</f>
        <v>0</v>
      </c>
    </row>
    <row r="219" customFormat="false" ht="12.75" hidden="false" customHeight="true" outlineLevel="0" collapsed="false">
      <c r="A219" s="45" t="s">
        <v>33</v>
      </c>
      <c r="B219" s="46" t="n">
        <v>0</v>
      </c>
      <c r="C219" s="46" t="n">
        <v>0</v>
      </c>
      <c r="D219" s="46" t="n">
        <v>1</v>
      </c>
      <c r="E219" s="46" t="n">
        <v>0</v>
      </c>
      <c r="F219" s="47" t="n">
        <v>0</v>
      </c>
      <c r="G219" s="48" t="n">
        <v>5</v>
      </c>
      <c r="H219" s="48" t="n">
        <v>5</v>
      </c>
      <c r="I219" s="48" t="n">
        <v>5</v>
      </c>
      <c r="J219" s="48" t="n">
        <v>4</v>
      </c>
      <c r="K219" s="48" t="n">
        <v>4</v>
      </c>
      <c r="L219" s="48" t="n">
        <v>3</v>
      </c>
      <c r="M219" s="49" t="n">
        <v>3</v>
      </c>
      <c r="N219" s="49" t="n">
        <v>3</v>
      </c>
      <c r="O219" s="49" t="n">
        <v>2</v>
      </c>
      <c r="P219" s="49"/>
      <c r="Q219" s="49" t="n">
        <v>4</v>
      </c>
      <c r="R219" s="49" t="n">
        <v>3</v>
      </c>
      <c r="S219" s="50" t="n">
        <v>0</v>
      </c>
      <c r="T219" s="50" t="n">
        <v>64</v>
      </c>
      <c r="U219" s="50" t="n">
        <v>59518</v>
      </c>
      <c r="V219" s="51" t="n">
        <v>2</v>
      </c>
      <c r="W219" s="51" t="n">
        <v>2</v>
      </c>
      <c r="X219" s="51" t="n">
        <v>2</v>
      </c>
      <c r="Y219" s="51" t="n">
        <v>3</v>
      </c>
      <c r="Z219" s="3" t="str">
        <f aca="false">VLOOKUP(A219,'Data Prep'!$A$5:$B$44,2,FALSE())</f>
        <v>In-n-out</v>
      </c>
      <c r="AA219" s="4" t="n">
        <f aca="false">COUNTBLANK(A219:Y219)</f>
        <v>1</v>
      </c>
    </row>
    <row r="220" customFormat="false" ht="12.75" hidden="false" customHeight="true" outlineLevel="0" collapsed="false">
      <c r="A220" s="45" t="s">
        <v>33</v>
      </c>
      <c r="B220" s="46" t="n">
        <v>1</v>
      </c>
      <c r="C220" s="46" t="n">
        <v>0</v>
      </c>
      <c r="D220" s="46" t="n">
        <v>0</v>
      </c>
      <c r="E220" s="46" t="n">
        <v>0</v>
      </c>
      <c r="F220" s="47" t="n">
        <v>0</v>
      </c>
      <c r="G220" s="48" t="n">
        <v>4</v>
      </c>
      <c r="H220" s="48" t="n">
        <v>4</v>
      </c>
      <c r="I220" s="48" t="n">
        <v>4</v>
      </c>
      <c r="J220" s="48" t="n">
        <v>4</v>
      </c>
      <c r="K220" s="48" t="n">
        <v>4</v>
      </c>
      <c r="L220" s="48" t="n">
        <v>3</v>
      </c>
      <c r="M220" s="49" t="n">
        <v>4</v>
      </c>
      <c r="N220" s="49" t="n">
        <v>4</v>
      </c>
      <c r="O220" s="49" t="n">
        <v>4</v>
      </c>
      <c r="P220" s="49" t="n">
        <v>5</v>
      </c>
      <c r="Q220" s="49" t="n">
        <v>5</v>
      </c>
      <c r="R220" s="49" t="n">
        <v>5</v>
      </c>
      <c r="S220" s="50" t="n">
        <v>0</v>
      </c>
      <c r="T220" s="50" t="n">
        <v>51</v>
      </c>
      <c r="U220" s="50" t="n">
        <v>14502</v>
      </c>
      <c r="V220" s="51" t="n">
        <v>2</v>
      </c>
      <c r="W220" s="51" t="n">
        <v>2</v>
      </c>
      <c r="X220" s="51" t="n">
        <v>2</v>
      </c>
      <c r="Y220" s="51" t="n">
        <v>2</v>
      </c>
      <c r="Z220" s="3" t="str">
        <f aca="false">VLOOKUP(A220,'Data Prep'!$A$5:$B$44,2,FALSE())</f>
        <v>In-n-out</v>
      </c>
      <c r="AA220" s="4" t="n">
        <f aca="false">COUNTBLANK(A220:Y220)</f>
        <v>0</v>
      </c>
    </row>
    <row r="221" customFormat="false" ht="12.75" hidden="false" customHeight="true" outlineLevel="0" collapsed="false">
      <c r="A221" s="45" t="s">
        <v>166</v>
      </c>
      <c r="B221" s="46" t="n">
        <v>1</v>
      </c>
      <c r="C221" s="46" t="n">
        <v>0</v>
      </c>
      <c r="D221" s="46" t="n">
        <v>0</v>
      </c>
      <c r="E221" s="46" t="n">
        <v>0</v>
      </c>
      <c r="F221" s="47" t="n">
        <v>0</v>
      </c>
      <c r="G221" s="48" t="n">
        <v>4</v>
      </c>
      <c r="H221" s="48" t="n">
        <v>4</v>
      </c>
      <c r="I221" s="48" t="n">
        <v>4</v>
      </c>
      <c r="J221" s="48" t="n">
        <v>5</v>
      </c>
      <c r="K221" s="48" t="n">
        <v>5</v>
      </c>
      <c r="L221" s="48" t="n">
        <v>5</v>
      </c>
      <c r="M221" s="49" t="n">
        <v>3</v>
      </c>
      <c r="N221" s="49" t="n">
        <v>3</v>
      </c>
      <c r="O221" s="49" t="n">
        <v>3</v>
      </c>
      <c r="P221" s="49" t="n">
        <v>3</v>
      </c>
      <c r="Q221" s="49" t="n">
        <v>3</v>
      </c>
      <c r="R221" s="49" t="n">
        <v>3</v>
      </c>
      <c r="S221" s="50" t="n">
        <v>1</v>
      </c>
      <c r="T221" s="50" t="n">
        <v>34</v>
      </c>
      <c r="U221" s="50" t="n">
        <v>17145</v>
      </c>
      <c r="V221" s="51" t="n">
        <v>2</v>
      </c>
      <c r="W221" s="51" t="n">
        <v>3</v>
      </c>
      <c r="X221" s="51" t="n">
        <v>1</v>
      </c>
      <c r="Y221" s="51" t="n">
        <v>1</v>
      </c>
      <c r="Z221" s="3" t="str">
        <f aca="false">VLOOKUP(A221,'Data Prep'!$A$5:$B$44,2,FALSE())</f>
        <v>Chipotle</v>
      </c>
      <c r="AA221" s="4" t="n">
        <f aca="false">COUNTBLANK(A221:Y221)</f>
        <v>0</v>
      </c>
    </row>
    <row r="222" customFormat="false" ht="12.75" hidden="false" customHeight="true" outlineLevel="0" collapsed="false">
      <c r="A222" s="45" t="s">
        <v>33</v>
      </c>
      <c r="B222" s="46" t="n">
        <v>1</v>
      </c>
      <c r="C222" s="46" t="n">
        <v>0</v>
      </c>
      <c r="D222" s="46" t="n">
        <v>0</v>
      </c>
      <c r="E222" s="46" t="n">
        <v>0</v>
      </c>
      <c r="F222" s="47" t="n">
        <v>2</v>
      </c>
      <c r="G222" s="48" t="n">
        <v>4</v>
      </c>
      <c r="H222" s="48" t="n">
        <v>4</v>
      </c>
      <c r="I222" s="48" t="n">
        <v>5</v>
      </c>
      <c r="J222" s="48" t="n">
        <v>4</v>
      </c>
      <c r="K222" s="48" t="n">
        <v>5</v>
      </c>
      <c r="L222" s="48" t="n">
        <v>4</v>
      </c>
      <c r="M222" s="49" t="n">
        <v>5</v>
      </c>
      <c r="N222" s="49" t="n">
        <v>3</v>
      </c>
      <c r="O222" s="49" t="n">
        <v>4</v>
      </c>
      <c r="P222" s="49" t="n">
        <v>4</v>
      </c>
      <c r="Q222" s="49" t="n">
        <v>4</v>
      </c>
      <c r="R222" s="49" t="n">
        <v>4</v>
      </c>
      <c r="S222" s="50" t="n">
        <v>1</v>
      </c>
      <c r="T222" s="50" t="n">
        <v>69</v>
      </c>
      <c r="U222" s="50" t="n">
        <v>34164</v>
      </c>
      <c r="V222" s="51" t="n">
        <v>3</v>
      </c>
      <c r="W222" s="51" t="n">
        <v>3</v>
      </c>
      <c r="X222" s="51" t="n">
        <v>2</v>
      </c>
      <c r="Y222" s="51" t="n">
        <v>3</v>
      </c>
      <c r="Z222" s="3" t="str">
        <f aca="false">VLOOKUP(A222,'Data Prep'!$A$5:$B$44,2,FALSE())</f>
        <v>In-n-out</v>
      </c>
      <c r="AA222" s="4" t="n">
        <f aca="false">COUNTBLANK(A222:Y222)</f>
        <v>0</v>
      </c>
    </row>
    <row r="223" customFormat="false" ht="12.75" hidden="false" customHeight="true" outlineLevel="0" collapsed="false">
      <c r="A223" s="45" t="s">
        <v>173</v>
      </c>
      <c r="B223" s="46" t="n">
        <v>0</v>
      </c>
      <c r="C223" s="46" t="n">
        <v>0</v>
      </c>
      <c r="D223" s="46" t="n">
        <v>1</v>
      </c>
      <c r="E223" s="46" t="n">
        <v>0</v>
      </c>
      <c r="F223" s="47" t="n">
        <v>0</v>
      </c>
      <c r="G223" s="48" t="n">
        <v>4</v>
      </c>
      <c r="H223" s="48" t="n">
        <v>5</v>
      </c>
      <c r="I223" s="48" t="n">
        <v>5</v>
      </c>
      <c r="J223" s="48" t="n">
        <v>5</v>
      </c>
      <c r="K223" s="48" t="n">
        <v>5</v>
      </c>
      <c r="L223" s="48" t="n">
        <v>4</v>
      </c>
      <c r="M223" s="49" t="n">
        <v>4</v>
      </c>
      <c r="N223" s="49" t="n">
        <v>5</v>
      </c>
      <c r="O223" s="49" t="n">
        <v>5</v>
      </c>
      <c r="P223" s="49" t="n">
        <v>5</v>
      </c>
      <c r="Q223" s="49" t="n">
        <v>5</v>
      </c>
      <c r="R223" s="49" t="n">
        <v>3</v>
      </c>
      <c r="S223" s="50" t="n">
        <v>0</v>
      </c>
      <c r="T223" s="50" t="n">
        <v>54</v>
      </c>
      <c r="U223" s="50" t="n">
        <v>44372</v>
      </c>
      <c r="V223" s="51" t="n">
        <v>1</v>
      </c>
      <c r="W223" s="51" t="n">
        <v>4</v>
      </c>
      <c r="X223" s="51" t="n">
        <v>1</v>
      </c>
      <c r="Y223" s="51" t="n">
        <v>1</v>
      </c>
      <c r="Z223" s="3" t="str">
        <f aca="false">VLOOKUP(A223,'Data Prep'!$A$5:$B$44,2,FALSE())</f>
        <v>McDonalds</v>
      </c>
      <c r="AA223" s="4" t="n">
        <f aca="false">COUNTBLANK(A223:Y223)</f>
        <v>0</v>
      </c>
    </row>
    <row r="224" customFormat="false" ht="12.75" hidden="false" customHeight="true" outlineLevel="0" collapsed="false">
      <c r="A224" s="45" t="s">
        <v>33</v>
      </c>
      <c r="B224" s="46" t="n">
        <v>1</v>
      </c>
      <c r="C224" s="46" t="n">
        <v>0</v>
      </c>
      <c r="D224" s="46" t="n">
        <v>0</v>
      </c>
      <c r="E224" s="46" t="n">
        <v>0</v>
      </c>
      <c r="F224" s="47" t="n">
        <v>0</v>
      </c>
      <c r="G224" s="48" t="n">
        <v>4</v>
      </c>
      <c r="H224" s="48" t="n">
        <v>4</v>
      </c>
      <c r="I224" s="48" t="n">
        <v>5</v>
      </c>
      <c r="J224" s="48" t="n">
        <v>4</v>
      </c>
      <c r="K224" s="48" t="n">
        <v>5</v>
      </c>
      <c r="L224" s="48" t="n">
        <v>5</v>
      </c>
      <c r="M224" s="49" t="n">
        <v>5</v>
      </c>
      <c r="N224" s="49" t="n">
        <v>5</v>
      </c>
      <c r="O224" s="49" t="n">
        <v>4</v>
      </c>
      <c r="P224" s="49" t="n">
        <v>5</v>
      </c>
      <c r="Q224" s="49" t="n">
        <v>5</v>
      </c>
      <c r="R224" s="49" t="n">
        <v>5</v>
      </c>
      <c r="S224" s="50" t="n">
        <v>0</v>
      </c>
      <c r="T224" s="50" t="n">
        <v>51</v>
      </c>
      <c r="U224" s="50" t="n">
        <v>23649</v>
      </c>
      <c r="V224" s="51" t="n">
        <v>2</v>
      </c>
      <c r="W224" s="51" t="n">
        <v>2</v>
      </c>
      <c r="X224" s="51" t="n">
        <v>5</v>
      </c>
      <c r="Y224" s="51" t="n">
        <v>2</v>
      </c>
      <c r="Z224" s="3" t="str">
        <f aca="false">VLOOKUP(A224,'Data Prep'!$A$5:$B$44,2,FALSE())</f>
        <v>In-n-out</v>
      </c>
      <c r="AA224" s="4" t="n">
        <f aca="false">COUNTBLANK(A224:Y224)</f>
        <v>0</v>
      </c>
    </row>
    <row r="225" customFormat="false" ht="12.75" hidden="false" customHeight="true" outlineLevel="0" collapsed="false">
      <c r="A225" s="45" t="s">
        <v>186</v>
      </c>
      <c r="B225" s="46" t="n">
        <v>1</v>
      </c>
      <c r="C225" s="46" t="n">
        <v>0</v>
      </c>
      <c r="D225" s="46" t="n">
        <v>0</v>
      </c>
      <c r="E225" s="46" t="n">
        <v>0</v>
      </c>
      <c r="F225" s="47" t="n">
        <v>0</v>
      </c>
      <c r="G225" s="48"/>
      <c r="H225" s="48"/>
      <c r="I225" s="48"/>
      <c r="J225" s="48"/>
      <c r="K225" s="48"/>
      <c r="L225" s="48"/>
      <c r="M225" s="49"/>
      <c r="N225" s="49"/>
      <c r="O225" s="49"/>
      <c r="P225" s="49"/>
      <c r="Q225" s="49"/>
      <c r="R225" s="49"/>
      <c r="S225" s="50"/>
      <c r="T225" s="50"/>
      <c r="U225" s="50"/>
      <c r="V225" s="51"/>
      <c r="W225" s="51"/>
      <c r="X225" s="51"/>
      <c r="Y225" s="51"/>
      <c r="Z225" s="3" t="str">
        <f aca="false">VLOOKUP(A225,'Data Prep'!$A$5:$B$44,2,FALSE())</f>
        <v>Panera Bread</v>
      </c>
      <c r="AA225" s="4" t="n">
        <f aca="false">COUNTBLANK(A225:Y225)</f>
        <v>19</v>
      </c>
    </row>
    <row r="226" customFormat="false" ht="12.75" hidden="false" customHeight="true" outlineLevel="0" collapsed="false">
      <c r="A226" s="45" t="s">
        <v>35</v>
      </c>
      <c r="B226" s="46" t="n">
        <v>0</v>
      </c>
      <c r="C226" s="46" t="n">
        <v>0</v>
      </c>
      <c r="D226" s="46" t="n">
        <v>0</v>
      </c>
      <c r="E226" s="46" t="n">
        <v>0</v>
      </c>
      <c r="F226" s="47" t="n">
        <v>5</v>
      </c>
      <c r="G226" s="48" t="n">
        <v>2</v>
      </c>
      <c r="H226" s="48"/>
      <c r="I226" s="48"/>
      <c r="J226" s="48"/>
      <c r="K226" s="48"/>
      <c r="L226" s="48"/>
      <c r="M226" s="49"/>
      <c r="N226" s="49"/>
      <c r="O226" s="49"/>
      <c r="P226" s="49"/>
      <c r="Q226" s="49"/>
      <c r="R226" s="49"/>
      <c r="S226" s="50"/>
      <c r="T226" s="50"/>
      <c r="U226" s="50"/>
      <c r="V226" s="51"/>
      <c r="W226" s="51"/>
      <c r="X226" s="51"/>
      <c r="Y226" s="51"/>
      <c r="Z226" s="3" t="str">
        <f aca="false">VLOOKUP(A226,'Data Prep'!$A$5:$B$44,2,FALSE())</f>
        <v>KFC</v>
      </c>
      <c r="AA226" s="4" t="n">
        <f aca="false">COUNTBLANK(A226:Y226)</f>
        <v>18</v>
      </c>
    </row>
    <row r="227" customFormat="false" ht="12.75" hidden="false" customHeight="true" outlineLevel="0" collapsed="false">
      <c r="A227" s="45" t="s">
        <v>33</v>
      </c>
      <c r="B227" s="46" t="n">
        <v>1</v>
      </c>
      <c r="C227" s="46" t="n">
        <v>0</v>
      </c>
      <c r="D227" s="46" t="n">
        <v>0</v>
      </c>
      <c r="E227" s="46" t="n">
        <v>0</v>
      </c>
      <c r="F227" s="47" t="n">
        <v>0</v>
      </c>
      <c r="G227" s="48" t="n">
        <v>5</v>
      </c>
      <c r="H227" s="48" t="n">
        <v>5</v>
      </c>
      <c r="I227" s="48" t="n">
        <v>5</v>
      </c>
      <c r="J227" s="48" t="n">
        <v>5</v>
      </c>
      <c r="K227" s="48" t="n">
        <v>5</v>
      </c>
      <c r="L227" s="48" t="n">
        <v>5</v>
      </c>
      <c r="M227" s="49" t="n">
        <v>5</v>
      </c>
      <c r="N227" s="49" t="n">
        <v>5</v>
      </c>
      <c r="O227" s="49" t="n">
        <v>2</v>
      </c>
      <c r="P227" s="49" t="n">
        <v>5</v>
      </c>
      <c r="Q227" s="49" t="n">
        <v>5</v>
      </c>
      <c r="R227" s="49" t="n">
        <v>5</v>
      </c>
      <c r="S227" s="50" t="n">
        <v>0</v>
      </c>
      <c r="T227" s="50" t="n">
        <v>35</v>
      </c>
      <c r="U227" s="50" t="n">
        <v>53772</v>
      </c>
      <c r="V227" s="51" t="n">
        <v>3</v>
      </c>
      <c r="W227" s="51" t="n">
        <v>2</v>
      </c>
      <c r="X227" s="51" t="n">
        <v>2</v>
      </c>
      <c r="Y227" s="51" t="n">
        <v>2</v>
      </c>
      <c r="Z227" s="3" t="str">
        <f aca="false">VLOOKUP(A227,'Data Prep'!$A$5:$B$44,2,FALSE())</f>
        <v>In-n-out</v>
      </c>
      <c r="AA227" s="4" t="n">
        <f aca="false">COUNTBLANK(A227:Y227)</f>
        <v>0</v>
      </c>
    </row>
    <row r="228" customFormat="false" ht="12.75" hidden="false" customHeight="true" outlineLevel="0" collapsed="false">
      <c r="A228" s="45" t="s">
        <v>33</v>
      </c>
      <c r="B228" s="46" t="n">
        <v>1</v>
      </c>
      <c r="C228" s="46" t="n">
        <v>0</v>
      </c>
      <c r="D228" s="46" t="n">
        <v>0</v>
      </c>
      <c r="E228" s="46" t="n">
        <v>0</v>
      </c>
      <c r="F228" s="47" t="n">
        <v>0</v>
      </c>
      <c r="G228" s="48" t="n">
        <v>5</v>
      </c>
      <c r="H228" s="48" t="n">
        <v>5</v>
      </c>
      <c r="I228" s="48" t="n">
        <v>5</v>
      </c>
      <c r="J228" s="48" t="n">
        <v>5</v>
      </c>
      <c r="K228" s="48" t="n">
        <v>5</v>
      </c>
      <c r="L228" s="48" t="n">
        <v>5</v>
      </c>
      <c r="M228" s="49" t="n">
        <v>3</v>
      </c>
      <c r="N228" s="49" t="n">
        <v>3</v>
      </c>
      <c r="O228" s="49" t="n">
        <v>3</v>
      </c>
      <c r="P228" s="49" t="n">
        <v>4</v>
      </c>
      <c r="Q228" s="49" t="n">
        <v>4</v>
      </c>
      <c r="R228" s="49" t="n">
        <v>3</v>
      </c>
      <c r="S228" s="50" t="n">
        <v>0</v>
      </c>
      <c r="T228" s="50" t="n">
        <v>45</v>
      </c>
      <c r="U228" s="50" t="n">
        <v>16333</v>
      </c>
      <c r="V228" s="51" t="n">
        <v>2</v>
      </c>
      <c r="W228" s="51" t="n">
        <v>2</v>
      </c>
      <c r="X228" s="51" t="n">
        <v>2</v>
      </c>
      <c r="Y228" s="51" t="n">
        <v>2</v>
      </c>
      <c r="Z228" s="3" t="str">
        <f aca="false">VLOOKUP(A228,'Data Prep'!$A$5:$B$44,2,FALSE())</f>
        <v>In-n-out</v>
      </c>
      <c r="AA228" s="4" t="n">
        <f aca="false">COUNTBLANK(A228:Y228)</f>
        <v>0</v>
      </c>
    </row>
    <row r="229" customFormat="false" ht="12.75" hidden="false" customHeight="true" outlineLevel="0" collapsed="false">
      <c r="A229" s="45" t="s">
        <v>174</v>
      </c>
      <c r="B229" s="46" t="n">
        <v>1</v>
      </c>
      <c r="C229" s="46" t="n">
        <v>0</v>
      </c>
      <c r="D229" s="46" t="n">
        <v>0</v>
      </c>
      <c r="E229" s="46" t="n">
        <v>0</v>
      </c>
      <c r="F229" s="47" t="n">
        <v>0</v>
      </c>
      <c r="G229" s="48" t="n">
        <v>5</v>
      </c>
      <c r="H229" s="48" t="n">
        <v>5</v>
      </c>
      <c r="I229" s="48" t="n">
        <v>5</v>
      </c>
      <c r="J229" s="48" t="n">
        <v>5</v>
      </c>
      <c r="K229" s="48" t="n">
        <v>5</v>
      </c>
      <c r="L229" s="48" t="n">
        <v>4</v>
      </c>
      <c r="M229" s="49" t="n">
        <v>5</v>
      </c>
      <c r="N229" s="49" t="n">
        <v>5</v>
      </c>
      <c r="O229" s="49" t="n">
        <v>2</v>
      </c>
      <c r="P229" s="49" t="n">
        <v>5</v>
      </c>
      <c r="Q229" s="49" t="n">
        <v>5</v>
      </c>
      <c r="R229" s="49" t="n">
        <v>5</v>
      </c>
      <c r="S229" s="50" t="n">
        <v>1</v>
      </c>
      <c r="T229" s="50" t="n">
        <v>45</v>
      </c>
      <c r="U229" s="50" t="n">
        <v>42612</v>
      </c>
      <c r="V229" s="51" t="n">
        <v>3</v>
      </c>
      <c r="W229" s="51" t="n">
        <v>3</v>
      </c>
      <c r="X229" s="51" t="n">
        <v>1</v>
      </c>
      <c r="Y229" s="51" t="n">
        <v>1</v>
      </c>
      <c r="Z229" s="3" t="str">
        <f aca="false">VLOOKUP(A229,'Data Prep'!$A$5:$B$44,2,FALSE())</f>
        <v>McDonalds</v>
      </c>
      <c r="AA229" s="4" t="n">
        <f aca="false">COUNTBLANK(A229:Y229)</f>
        <v>0</v>
      </c>
    </row>
    <row r="230" customFormat="false" ht="12.75" hidden="false" customHeight="true" outlineLevel="0" collapsed="false">
      <c r="A230" s="45" t="s">
        <v>30</v>
      </c>
      <c r="B230" s="46" t="n">
        <v>1</v>
      </c>
      <c r="C230" s="46" t="n">
        <v>0</v>
      </c>
      <c r="D230" s="46" t="n">
        <v>0</v>
      </c>
      <c r="E230" s="46" t="n">
        <v>0</v>
      </c>
      <c r="F230" s="47" t="n">
        <v>0</v>
      </c>
      <c r="G230" s="48" t="n">
        <v>5</v>
      </c>
      <c r="H230" s="48" t="n">
        <v>4</v>
      </c>
      <c r="I230" s="48" t="n">
        <v>4</v>
      </c>
      <c r="J230" s="48" t="n">
        <v>5</v>
      </c>
      <c r="K230" s="48" t="n">
        <v>5</v>
      </c>
      <c r="L230" s="48" t="n">
        <v>4</v>
      </c>
      <c r="M230" s="49" t="n">
        <v>5</v>
      </c>
      <c r="N230" s="49" t="n">
        <v>5</v>
      </c>
      <c r="O230" s="49" t="n">
        <v>4</v>
      </c>
      <c r="P230" s="49" t="n">
        <v>5</v>
      </c>
      <c r="Q230" s="49" t="n">
        <v>5</v>
      </c>
      <c r="R230" s="49" t="n">
        <v>3</v>
      </c>
      <c r="S230" s="50" t="n">
        <v>0</v>
      </c>
      <c r="T230" s="50" t="n">
        <v>48</v>
      </c>
      <c r="U230" s="50" t="n">
        <v>23232</v>
      </c>
      <c r="V230" s="51" t="n">
        <v>2</v>
      </c>
      <c r="W230" s="51" t="n">
        <v>3</v>
      </c>
      <c r="X230" s="51" t="n">
        <v>2</v>
      </c>
      <c r="Y230" s="51" t="n">
        <v>1</v>
      </c>
      <c r="Z230" s="3" t="str">
        <f aca="false">VLOOKUP(A230,'Data Prep'!$A$5:$B$44,2,FALSE())</f>
        <v>Chipotle</v>
      </c>
      <c r="AA230" s="4" t="n">
        <f aca="false">COUNTBLANK(A230:Y230)</f>
        <v>0</v>
      </c>
    </row>
    <row r="231" customFormat="false" ht="12.75" hidden="false" customHeight="true" outlineLevel="0" collapsed="false">
      <c r="A231" s="45" t="s">
        <v>180</v>
      </c>
      <c r="B231" s="46" t="n">
        <v>0</v>
      </c>
      <c r="C231" s="46" t="n">
        <v>0</v>
      </c>
      <c r="D231" s="46" t="n">
        <v>0</v>
      </c>
      <c r="E231" s="46" t="n">
        <v>0</v>
      </c>
      <c r="F231" s="47" t="n">
        <v>2</v>
      </c>
      <c r="G231" s="48"/>
      <c r="H231" s="48"/>
      <c r="I231" s="48"/>
      <c r="J231" s="48"/>
      <c r="K231" s="48"/>
      <c r="L231" s="48"/>
      <c r="M231" s="49"/>
      <c r="N231" s="49"/>
      <c r="O231" s="49"/>
      <c r="P231" s="49"/>
      <c r="Q231" s="49"/>
      <c r="R231" s="49"/>
      <c r="S231" s="50" t="n">
        <v>0</v>
      </c>
      <c r="T231" s="50" t="n">
        <v>32</v>
      </c>
      <c r="U231" s="50" t="n">
        <v>14108</v>
      </c>
      <c r="V231" s="51" t="n">
        <v>2</v>
      </c>
      <c r="W231" s="51" t="n">
        <v>1</v>
      </c>
      <c r="X231" s="51" t="n">
        <v>1</v>
      </c>
      <c r="Y231" s="51" t="n">
        <v>1</v>
      </c>
      <c r="Z231" s="3" t="str">
        <f aca="false">VLOOKUP(A231,'Data Prep'!$A$5:$B$44,2,FALSE())</f>
        <v>Panera Bread</v>
      </c>
      <c r="AA231" s="4" t="n">
        <f aca="false">COUNTBLANK(A231:Y231)</f>
        <v>12</v>
      </c>
    </row>
    <row r="232" customFormat="false" ht="12.75" hidden="false" customHeight="true" outlineLevel="0" collapsed="false">
      <c r="A232" s="45" t="s">
        <v>180</v>
      </c>
      <c r="B232" s="46" t="n">
        <v>1</v>
      </c>
      <c r="C232" s="46" t="n">
        <v>0</v>
      </c>
      <c r="D232" s="46" t="n">
        <v>0</v>
      </c>
      <c r="E232" s="46" t="n">
        <v>0</v>
      </c>
      <c r="F232" s="47" t="n">
        <v>1</v>
      </c>
      <c r="G232" s="48" t="n">
        <v>4</v>
      </c>
      <c r="H232" s="48" t="n">
        <v>4</v>
      </c>
      <c r="I232" s="48" t="n">
        <v>5</v>
      </c>
      <c r="J232" s="48" t="n">
        <v>5</v>
      </c>
      <c r="K232" s="48" t="n">
        <v>5</v>
      </c>
      <c r="L232" s="48" t="n">
        <v>4</v>
      </c>
      <c r="M232" s="49" t="n">
        <v>5</v>
      </c>
      <c r="N232" s="49" t="n">
        <v>5</v>
      </c>
      <c r="O232" s="49" t="n">
        <v>5</v>
      </c>
      <c r="P232" s="49" t="n">
        <v>5</v>
      </c>
      <c r="Q232" s="49" t="n">
        <v>5</v>
      </c>
      <c r="R232" s="49" t="n">
        <v>5</v>
      </c>
      <c r="S232" s="50" t="n">
        <v>0</v>
      </c>
      <c r="T232" s="50" t="n">
        <v>36</v>
      </c>
      <c r="U232" s="50" t="n">
        <v>38296</v>
      </c>
      <c r="V232" s="51" t="n">
        <v>1</v>
      </c>
      <c r="W232" s="51" t="n">
        <v>3</v>
      </c>
      <c r="X232" s="51" t="n">
        <v>2</v>
      </c>
      <c r="Y232" s="51" t="n">
        <v>1</v>
      </c>
      <c r="Z232" s="3" t="str">
        <f aca="false">VLOOKUP(A232,'Data Prep'!$A$5:$B$44,2,FALSE())</f>
        <v>Panera Bread</v>
      </c>
      <c r="AA232" s="4" t="n">
        <f aca="false">COUNTBLANK(A232:Y232)</f>
        <v>0</v>
      </c>
    </row>
    <row r="233" customFormat="false" ht="12.75" hidden="false" customHeight="true" outlineLevel="0" collapsed="false">
      <c r="A233" s="45" t="s">
        <v>180</v>
      </c>
      <c r="B233" s="46" t="n">
        <v>0</v>
      </c>
      <c r="C233" s="46" t="n">
        <v>0</v>
      </c>
      <c r="D233" s="46" t="n">
        <v>1</v>
      </c>
      <c r="E233" s="46" t="n">
        <v>0</v>
      </c>
      <c r="F233" s="47" t="n">
        <v>0</v>
      </c>
      <c r="G233" s="48" t="n">
        <v>5</v>
      </c>
      <c r="H233" s="48" t="n">
        <v>4</v>
      </c>
      <c r="I233" s="48" t="n">
        <v>5</v>
      </c>
      <c r="J233" s="48" t="n">
        <v>5</v>
      </c>
      <c r="K233" s="48" t="n">
        <v>5</v>
      </c>
      <c r="L233" s="48" t="n">
        <v>5</v>
      </c>
      <c r="M233" s="49" t="n">
        <v>4</v>
      </c>
      <c r="N233" s="49" t="n">
        <v>3</v>
      </c>
      <c r="O233" s="49" t="n">
        <v>4</v>
      </c>
      <c r="P233" s="49" t="n">
        <v>4</v>
      </c>
      <c r="Q233" s="49" t="n">
        <v>4</v>
      </c>
      <c r="R233" s="49" t="n">
        <v>3</v>
      </c>
      <c r="S233" s="50" t="n">
        <v>1</v>
      </c>
      <c r="T233" s="50" t="n">
        <v>33</v>
      </c>
      <c r="U233" s="50" t="n">
        <v>13572</v>
      </c>
      <c r="V233" s="51" t="n">
        <v>1</v>
      </c>
      <c r="W233" s="51" t="n">
        <v>1</v>
      </c>
      <c r="X233" s="51" t="n">
        <v>2</v>
      </c>
      <c r="Y233" s="51" t="n">
        <v>2</v>
      </c>
      <c r="Z233" s="3" t="str">
        <f aca="false">VLOOKUP(A233,'Data Prep'!$A$5:$B$44,2,FALSE())</f>
        <v>Panera Bread</v>
      </c>
      <c r="AA233" s="4" t="n">
        <f aca="false">COUNTBLANK(A233:Y233)</f>
        <v>0</v>
      </c>
    </row>
    <row r="234" customFormat="false" ht="12.75" hidden="false" customHeight="true" outlineLevel="0" collapsed="false">
      <c r="A234" s="45" t="s">
        <v>30</v>
      </c>
      <c r="B234" s="46" t="n">
        <v>1</v>
      </c>
      <c r="C234" s="46" t="n">
        <v>0</v>
      </c>
      <c r="D234" s="46" t="n">
        <v>0</v>
      </c>
      <c r="E234" s="46" t="n">
        <v>0</v>
      </c>
      <c r="F234" s="47" t="n">
        <v>0</v>
      </c>
      <c r="G234" s="48" t="n">
        <v>5</v>
      </c>
      <c r="H234" s="48" t="n">
        <v>5</v>
      </c>
      <c r="I234" s="48" t="n">
        <v>5</v>
      </c>
      <c r="J234" s="48" t="n">
        <v>5</v>
      </c>
      <c r="K234" s="48" t="n">
        <v>5</v>
      </c>
      <c r="L234" s="48" t="n">
        <v>4</v>
      </c>
      <c r="M234" s="49" t="n">
        <v>4</v>
      </c>
      <c r="N234" s="49" t="n">
        <v>3</v>
      </c>
      <c r="O234" s="49" t="n">
        <v>3</v>
      </c>
      <c r="P234" s="49" t="n">
        <v>4</v>
      </c>
      <c r="Q234" s="49" t="n">
        <v>4</v>
      </c>
      <c r="R234" s="49" t="n">
        <v>4</v>
      </c>
      <c r="S234" s="50" t="n">
        <v>1</v>
      </c>
      <c r="T234" s="50" t="n">
        <v>32</v>
      </c>
      <c r="U234" s="50" t="n">
        <v>47226</v>
      </c>
      <c r="V234" s="51" t="n">
        <v>2</v>
      </c>
      <c r="W234" s="51" t="n">
        <v>4</v>
      </c>
      <c r="X234" s="51" t="n">
        <v>2</v>
      </c>
      <c r="Y234" s="51" t="n">
        <v>2</v>
      </c>
      <c r="Z234" s="3" t="str">
        <f aca="false">VLOOKUP(A234,'Data Prep'!$A$5:$B$44,2,FALSE())</f>
        <v>Chipotle</v>
      </c>
      <c r="AA234" s="4" t="n">
        <f aca="false">COUNTBLANK(A234:Y234)</f>
        <v>0</v>
      </c>
    </row>
    <row r="235" customFormat="false" ht="12.75" hidden="false" customHeight="true" outlineLevel="0" collapsed="false">
      <c r="A235" s="45" t="s">
        <v>30</v>
      </c>
      <c r="B235" s="46" t="n">
        <v>1</v>
      </c>
      <c r="C235" s="46" t="n">
        <v>0</v>
      </c>
      <c r="D235" s="46" t="n">
        <v>0</v>
      </c>
      <c r="E235" s="46" t="n">
        <v>0</v>
      </c>
      <c r="F235" s="47" t="n">
        <v>0</v>
      </c>
      <c r="G235" s="48" t="n">
        <v>5</v>
      </c>
      <c r="H235" s="48" t="n">
        <v>4</v>
      </c>
      <c r="I235" s="48" t="n">
        <v>5</v>
      </c>
      <c r="J235" s="48" t="n">
        <v>4</v>
      </c>
      <c r="K235" s="48" t="n">
        <v>5</v>
      </c>
      <c r="L235" s="48" t="n">
        <v>4</v>
      </c>
      <c r="M235" s="49" t="n">
        <v>5</v>
      </c>
      <c r="N235" s="49" t="n">
        <v>3</v>
      </c>
      <c r="O235" s="49" t="n">
        <v>2</v>
      </c>
      <c r="P235" s="49" t="n">
        <v>4</v>
      </c>
      <c r="Q235" s="49" t="n">
        <v>3</v>
      </c>
      <c r="R235" s="49" t="n">
        <v>3</v>
      </c>
      <c r="S235" s="50" t="n">
        <v>0</v>
      </c>
      <c r="T235" s="50" t="n">
        <v>38</v>
      </c>
      <c r="U235" s="50" t="n">
        <v>50294</v>
      </c>
      <c r="V235" s="51" t="n">
        <v>1</v>
      </c>
      <c r="W235" s="51" t="n">
        <v>4</v>
      </c>
      <c r="X235" s="51" t="n">
        <v>2</v>
      </c>
      <c r="Y235" s="51" t="n">
        <v>1</v>
      </c>
      <c r="Z235" s="3" t="str">
        <f aca="false">VLOOKUP(A235,'Data Prep'!$A$5:$B$44,2,FALSE())</f>
        <v>Chipotle</v>
      </c>
      <c r="AA235" s="4" t="n">
        <f aca="false">COUNTBLANK(A235:Y235)</f>
        <v>0</v>
      </c>
    </row>
    <row r="236" customFormat="false" ht="12.75" hidden="false" customHeight="true" outlineLevel="0" collapsed="false">
      <c r="A236" s="45" t="s">
        <v>33</v>
      </c>
      <c r="B236" s="46" t="n">
        <v>1</v>
      </c>
      <c r="C236" s="46" t="n">
        <v>0</v>
      </c>
      <c r="D236" s="46" t="n">
        <v>0</v>
      </c>
      <c r="E236" s="46" t="n">
        <v>0</v>
      </c>
      <c r="F236" s="47" t="n">
        <v>0</v>
      </c>
      <c r="G236" s="48" t="n">
        <v>5</v>
      </c>
      <c r="H236" s="48" t="n">
        <v>5</v>
      </c>
      <c r="I236" s="48" t="n">
        <v>5</v>
      </c>
      <c r="J236" s="48" t="n">
        <v>5</v>
      </c>
      <c r="K236" s="48" t="n">
        <v>5</v>
      </c>
      <c r="L236" s="48" t="n">
        <v>5</v>
      </c>
      <c r="M236" s="49" t="n">
        <v>2</v>
      </c>
      <c r="N236" s="49" t="n">
        <v>3</v>
      </c>
      <c r="O236" s="49" t="n">
        <v>3</v>
      </c>
      <c r="P236" s="49" t="n">
        <v>4</v>
      </c>
      <c r="Q236" s="49" t="n">
        <v>4</v>
      </c>
      <c r="R236" s="49" t="n">
        <v>3</v>
      </c>
      <c r="S236" s="50" t="n">
        <v>0</v>
      </c>
      <c r="T236" s="50" t="n">
        <v>35</v>
      </c>
      <c r="U236" s="50" t="n">
        <v>69465</v>
      </c>
      <c r="V236" s="51" t="n">
        <v>1</v>
      </c>
      <c r="W236" s="51" t="n">
        <v>2</v>
      </c>
      <c r="X236" s="51" t="n">
        <v>2</v>
      </c>
      <c r="Y236" s="51" t="n">
        <v>2</v>
      </c>
      <c r="Z236" s="3" t="str">
        <f aca="false">VLOOKUP(A236,'Data Prep'!$A$5:$B$44,2,FALSE())</f>
        <v>In-n-out</v>
      </c>
      <c r="AA236" s="4" t="n">
        <f aca="false">COUNTBLANK(A236:Y236)</f>
        <v>0</v>
      </c>
    </row>
    <row r="237" customFormat="false" ht="12.75" hidden="false" customHeight="true" outlineLevel="0" collapsed="false">
      <c r="A237" s="45" t="s">
        <v>33</v>
      </c>
      <c r="B237" s="46" t="n">
        <v>1</v>
      </c>
      <c r="C237" s="46" t="n">
        <v>0</v>
      </c>
      <c r="D237" s="46" t="n">
        <v>0</v>
      </c>
      <c r="E237" s="46" t="n">
        <v>0</v>
      </c>
      <c r="F237" s="47" t="n">
        <v>3</v>
      </c>
      <c r="G237" s="48" t="n">
        <v>5</v>
      </c>
      <c r="H237" s="48" t="n">
        <v>5</v>
      </c>
      <c r="I237" s="48" t="n">
        <v>5</v>
      </c>
      <c r="J237" s="48" t="n">
        <v>5</v>
      </c>
      <c r="K237" s="48" t="n">
        <v>5</v>
      </c>
      <c r="L237" s="48" t="n">
        <v>5</v>
      </c>
      <c r="M237" s="49" t="n">
        <v>4</v>
      </c>
      <c r="N237" s="49" t="n">
        <v>4</v>
      </c>
      <c r="O237" s="49" t="n">
        <v>4</v>
      </c>
      <c r="P237" s="49" t="n">
        <v>4</v>
      </c>
      <c r="Q237" s="49" t="n">
        <v>4</v>
      </c>
      <c r="R237" s="49" t="n">
        <v>4</v>
      </c>
      <c r="S237" s="50" t="n">
        <v>0</v>
      </c>
      <c r="T237" s="50" t="n">
        <v>46</v>
      </c>
      <c r="U237" s="50" t="n">
        <v>36060</v>
      </c>
      <c r="V237" s="51" t="n">
        <v>1</v>
      </c>
      <c r="W237" s="51" t="n">
        <v>4</v>
      </c>
      <c r="X237" s="51" t="n">
        <v>2</v>
      </c>
      <c r="Y237" s="51" t="n">
        <v>2</v>
      </c>
      <c r="Z237" s="3" t="str">
        <f aca="false">VLOOKUP(A237,'Data Prep'!$A$5:$B$44,2,FALSE())</f>
        <v>In-n-out</v>
      </c>
      <c r="AA237" s="4" t="n">
        <f aca="false">COUNTBLANK(A237:Y237)</f>
        <v>0</v>
      </c>
    </row>
    <row r="238" customFormat="false" ht="12.75" hidden="false" customHeight="true" outlineLevel="0" collapsed="false">
      <c r="A238" s="45" t="s">
        <v>42</v>
      </c>
      <c r="B238" s="46" t="n">
        <v>0</v>
      </c>
      <c r="C238" s="46" t="n">
        <v>0</v>
      </c>
      <c r="D238" s="46" t="n">
        <v>1</v>
      </c>
      <c r="E238" s="46" t="n">
        <v>0</v>
      </c>
      <c r="F238" s="47" t="n">
        <v>0</v>
      </c>
      <c r="G238" s="48" t="n">
        <v>5</v>
      </c>
      <c r="H238" s="48" t="n">
        <v>4</v>
      </c>
      <c r="I238" s="48" t="n">
        <v>5</v>
      </c>
      <c r="J238" s="48" t="n">
        <v>4</v>
      </c>
      <c r="K238" s="48"/>
      <c r="L238" s="48" t="n">
        <v>4</v>
      </c>
      <c r="M238" s="49" t="n">
        <v>4</v>
      </c>
      <c r="N238" s="49" t="n">
        <v>3</v>
      </c>
      <c r="O238" s="49" t="n">
        <v>4</v>
      </c>
      <c r="P238" s="49" t="n">
        <v>4</v>
      </c>
      <c r="Q238" s="49" t="n">
        <v>5</v>
      </c>
      <c r="R238" s="49" t="n">
        <v>4</v>
      </c>
      <c r="S238" s="50" t="n">
        <v>0</v>
      </c>
      <c r="T238" s="50" t="n">
        <v>52</v>
      </c>
      <c r="U238" s="50" t="n">
        <v>85353</v>
      </c>
      <c r="V238" s="51" t="n">
        <v>1</v>
      </c>
      <c r="W238" s="51" t="n">
        <v>3</v>
      </c>
      <c r="X238" s="51" t="n">
        <v>2</v>
      </c>
      <c r="Y238" s="51" t="n">
        <v>2</v>
      </c>
      <c r="Z238" s="3" t="str">
        <f aca="false">VLOOKUP(A238,'Data Prep'!$A$5:$B$44,2,FALSE())</f>
        <v>Subway</v>
      </c>
      <c r="AA238" s="4" t="n">
        <f aca="false">COUNTBLANK(A238:Y238)</f>
        <v>1</v>
      </c>
    </row>
    <row r="239" customFormat="false" ht="12.75" hidden="false" customHeight="true" outlineLevel="0" collapsed="false">
      <c r="A239" s="45" t="s">
        <v>35</v>
      </c>
      <c r="B239" s="46" t="n">
        <v>0</v>
      </c>
      <c r="C239" s="46" t="n">
        <v>0</v>
      </c>
      <c r="D239" s="46" t="n">
        <v>1</v>
      </c>
      <c r="E239" s="46" t="n">
        <v>0</v>
      </c>
      <c r="F239" s="47" t="n">
        <v>0</v>
      </c>
      <c r="G239" s="48" t="n">
        <v>4</v>
      </c>
      <c r="H239" s="48" t="n">
        <v>4</v>
      </c>
      <c r="I239" s="48" t="n">
        <v>5</v>
      </c>
      <c r="J239" s="48" t="n">
        <v>5</v>
      </c>
      <c r="K239" s="48" t="n">
        <v>5</v>
      </c>
      <c r="L239" s="48" t="n">
        <v>4</v>
      </c>
      <c r="M239" s="49" t="n">
        <v>4</v>
      </c>
      <c r="N239" s="49" t="n">
        <v>4</v>
      </c>
      <c r="O239" s="49" t="n">
        <v>2</v>
      </c>
      <c r="P239" s="49" t="n">
        <v>4</v>
      </c>
      <c r="Q239" s="49" t="n">
        <v>4</v>
      </c>
      <c r="R239" s="49" t="n">
        <v>3</v>
      </c>
      <c r="S239" s="50" t="n">
        <v>0</v>
      </c>
      <c r="T239" s="50" t="n">
        <v>54</v>
      </c>
      <c r="U239" s="50" t="n">
        <v>19970</v>
      </c>
      <c r="V239" s="51" t="n">
        <v>2</v>
      </c>
      <c r="W239" s="51" t="n">
        <v>3</v>
      </c>
      <c r="X239" s="51" t="n">
        <v>2</v>
      </c>
      <c r="Y239" s="51" t="n">
        <v>1</v>
      </c>
      <c r="Z239" s="3" t="str">
        <f aca="false">VLOOKUP(A239,'Data Prep'!$A$5:$B$44,2,FALSE())</f>
        <v>KFC</v>
      </c>
      <c r="AA239" s="4" t="n">
        <f aca="false">COUNTBLANK(A239:Y239)</f>
        <v>0</v>
      </c>
    </row>
    <row r="240" customFormat="false" ht="12.75" hidden="false" customHeight="true" outlineLevel="0" collapsed="false">
      <c r="A240" s="45" t="s">
        <v>33</v>
      </c>
      <c r="B240" s="46" t="n">
        <v>1</v>
      </c>
      <c r="C240" s="46" t="n">
        <v>0</v>
      </c>
      <c r="D240" s="46" t="n">
        <v>0</v>
      </c>
      <c r="E240" s="46" t="n">
        <v>0</v>
      </c>
      <c r="F240" s="47" t="n">
        <v>3</v>
      </c>
      <c r="G240" s="48" t="n">
        <v>5</v>
      </c>
      <c r="H240" s="48" t="n">
        <v>3</v>
      </c>
      <c r="I240" s="48" t="n">
        <v>4</v>
      </c>
      <c r="J240" s="48" t="n">
        <v>5</v>
      </c>
      <c r="K240" s="48" t="n">
        <v>5</v>
      </c>
      <c r="L240" s="48" t="n">
        <v>4</v>
      </c>
      <c r="M240" s="49" t="n">
        <v>3</v>
      </c>
      <c r="N240" s="49" t="n">
        <v>3</v>
      </c>
      <c r="O240" s="49" t="n">
        <v>4</v>
      </c>
      <c r="P240" s="49" t="n">
        <v>5</v>
      </c>
      <c r="Q240" s="49" t="n">
        <v>5</v>
      </c>
      <c r="R240" s="49" t="n">
        <v>3</v>
      </c>
      <c r="S240" s="50" t="n">
        <v>0</v>
      </c>
      <c r="T240" s="50" t="n">
        <v>58</v>
      </c>
      <c r="U240" s="50" t="n">
        <v>51927</v>
      </c>
      <c r="V240" s="51" t="n">
        <v>2</v>
      </c>
      <c r="W240" s="51" t="n">
        <v>4</v>
      </c>
      <c r="X240" s="51" t="n">
        <v>1</v>
      </c>
      <c r="Y240" s="51" t="n">
        <v>1</v>
      </c>
      <c r="Z240" s="3" t="str">
        <f aca="false">VLOOKUP(A240,'Data Prep'!$A$5:$B$44,2,FALSE())</f>
        <v>In-n-out</v>
      </c>
      <c r="AA240" s="4" t="n">
        <f aca="false">COUNTBLANK(A240:Y240)</f>
        <v>0</v>
      </c>
    </row>
    <row r="241" customFormat="false" ht="12.75" hidden="false" customHeight="true" outlineLevel="0" collapsed="false">
      <c r="A241" s="45" t="s">
        <v>42</v>
      </c>
      <c r="B241" s="46" t="n">
        <v>1</v>
      </c>
      <c r="C241" s="46" t="n">
        <v>0</v>
      </c>
      <c r="D241" s="46" t="n">
        <v>0</v>
      </c>
      <c r="E241" s="46" t="n">
        <v>0</v>
      </c>
      <c r="F241" s="47" t="n">
        <v>0</v>
      </c>
      <c r="G241" s="48" t="n">
        <v>5</v>
      </c>
      <c r="H241" s="48" t="n">
        <v>4</v>
      </c>
      <c r="I241" s="48" t="n">
        <v>4</v>
      </c>
      <c r="J241" s="48" t="n">
        <v>3</v>
      </c>
      <c r="K241" s="48" t="n">
        <v>4</v>
      </c>
      <c r="L241" s="48" t="n">
        <v>2</v>
      </c>
      <c r="M241" s="49" t="n">
        <v>5</v>
      </c>
      <c r="N241" s="49" t="n">
        <v>3</v>
      </c>
      <c r="O241" s="49" t="n">
        <v>4</v>
      </c>
      <c r="P241" s="49" t="n">
        <v>4</v>
      </c>
      <c r="Q241" s="49" t="n">
        <v>4</v>
      </c>
      <c r="R241" s="49" t="n">
        <v>3</v>
      </c>
      <c r="S241" s="50" t="n">
        <v>0</v>
      </c>
      <c r="T241" s="50" t="n">
        <v>69</v>
      </c>
      <c r="U241" s="50" t="n">
        <v>83778</v>
      </c>
      <c r="V241" s="51" t="n">
        <v>3</v>
      </c>
      <c r="W241" s="51" t="n">
        <v>4</v>
      </c>
      <c r="X241" s="51" t="n">
        <v>2</v>
      </c>
      <c r="Y241" s="51" t="n">
        <v>2</v>
      </c>
      <c r="Z241" s="3" t="str">
        <f aca="false">VLOOKUP(A241,'Data Prep'!$A$5:$B$44,2,FALSE())</f>
        <v>Subway</v>
      </c>
      <c r="AA241" s="4" t="n">
        <f aca="false">COUNTBLANK(A241:Y241)</f>
        <v>0</v>
      </c>
    </row>
    <row r="242" customFormat="false" ht="12.75" hidden="false" customHeight="true" outlineLevel="0" collapsed="false">
      <c r="A242" s="45" t="s">
        <v>180</v>
      </c>
      <c r="B242" s="46" t="n">
        <v>0</v>
      </c>
      <c r="C242" s="46" t="n">
        <v>0</v>
      </c>
      <c r="D242" s="46" t="n">
        <v>0</v>
      </c>
      <c r="E242" s="46" t="n">
        <v>0</v>
      </c>
      <c r="F242" s="47" t="n">
        <v>6</v>
      </c>
      <c r="G242" s="48" t="n">
        <v>4</v>
      </c>
      <c r="H242" s="48" t="n">
        <v>4</v>
      </c>
      <c r="I242" s="48" t="n">
        <v>5</v>
      </c>
      <c r="J242" s="48" t="n">
        <v>4</v>
      </c>
      <c r="K242" s="48" t="n">
        <v>5</v>
      </c>
      <c r="L242" s="48" t="n">
        <v>4</v>
      </c>
      <c r="M242" s="49" t="n">
        <v>3</v>
      </c>
      <c r="N242" s="49" t="n">
        <v>4</v>
      </c>
      <c r="O242" s="49" t="n">
        <v>3</v>
      </c>
      <c r="P242" s="49" t="n">
        <v>4</v>
      </c>
      <c r="Q242" s="49" t="n">
        <v>4</v>
      </c>
      <c r="R242" s="49" t="n">
        <v>3</v>
      </c>
      <c r="S242" s="50" t="n">
        <v>0</v>
      </c>
      <c r="T242" s="50" t="n">
        <v>47</v>
      </c>
      <c r="U242" s="50" t="n">
        <v>62550</v>
      </c>
      <c r="V242" s="51" t="n">
        <v>1</v>
      </c>
      <c r="W242" s="51" t="n">
        <v>4</v>
      </c>
      <c r="X242" s="51" t="n">
        <v>2</v>
      </c>
      <c r="Y242" s="51" t="n">
        <v>2</v>
      </c>
      <c r="Z242" s="3" t="str">
        <f aca="false">VLOOKUP(A242,'Data Prep'!$A$5:$B$44,2,FALSE())</f>
        <v>Panera Bread</v>
      </c>
      <c r="AA242" s="4" t="n">
        <f aca="false">COUNTBLANK(A242:Y242)</f>
        <v>0</v>
      </c>
    </row>
    <row r="243" customFormat="false" ht="12.75" hidden="false" customHeight="true" outlineLevel="0" collapsed="false">
      <c r="A243" s="45" t="s">
        <v>33</v>
      </c>
      <c r="B243" s="46" t="n">
        <v>1</v>
      </c>
      <c r="C243" s="46" t="n">
        <v>0</v>
      </c>
      <c r="D243" s="46" t="n">
        <v>0</v>
      </c>
      <c r="E243" s="46" t="n">
        <v>0</v>
      </c>
      <c r="F243" s="47" t="n">
        <v>0</v>
      </c>
      <c r="G243" s="48" t="n">
        <v>5</v>
      </c>
      <c r="H243" s="48" t="n">
        <v>4</v>
      </c>
      <c r="I243" s="48" t="n">
        <v>5</v>
      </c>
      <c r="J243" s="48" t="n">
        <v>3</v>
      </c>
      <c r="K243" s="48" t="n">
        <v>5</v>
      </c>
      <c r="L243" s="48" t="n">
        <v>4</v>
      </c>
      <c r="M243" s="49" t="n">
        <v>3</v>
      </c>
      <c r="N243" s="49" t="n">
        <v>3</v>
      </c>
      <c r="O243" s="49" t="n">
        <v>3</v>
      </c>
      <c r="P243" s="49" t="n">
        <v>6</v>
      </c>
      <c r="Q243" s="49" t="n">
        <v>4</v>
      </c>
      <c r="R243" s="49" t="n">
        <v>3</v>
      </c>
      <c r="S243" s="50" t="n">
        <v>0</v>
      </c>
      <c r="T243" s="50" t="n">
        <v>21</v>
      </c>
      <c r="U243" s="50" t="n">
        <v>25375</v>
      </c>
      <c r="V243" s="51" t="n">
        <v>2</v>
      </c>
      <c r="W243" s="51" t="n">
        <v>3</v>
      </c>
      <c r="X243" s="51" t="n">
        <v>2</v>
      </c>
      <c r="Y243" s="51" t="n">
        <v>3</v>
      </c>
      <c r="Z243" s="3" t="str">
        <f aca="false">VLOOKUP(A243,'Data Prep'!$A$5:$B$44,2,FALSE())</f>
        <v>In-n-out</v>
      </c>
      <c r="AA243" s="4" t="n">
        <f aca="false">COUNTBLANK(A243:Y243)</f>
        <v>0</v>
      </c>
    </row>
    <row r="244" customFormat="false" ht="12.75" hidden="false" customHeight="true" outlineLevel="0" collapsed="false">
      <c r="A244" s="45" t="s">
        <v>180</v>
      </c>
      <c r="B244" s="46" t="n">
        <v>0</v>
      </c>
      <c r="C244" s="46" t="n">
        <v>0</v>
      </c>
      <c r="D244" s="46" t="n">
        <v>1</v>
      </c>
      <c r="E244" s="46" t="n">
        <v>0</v>
      </c>
      <c r="F244" s="47" t="n">
        <v>0</v>
      </c>
      <c r="G244" s="48" t="n">
        <v>5</v>
      </c>
      <c r="H244" s="48" t="n">
        <v>2</v>
      </c>
      <c r="I244" s="48" t="n">
        <v>5</v>
      </c>
      <c r="J244" s="48" t="n">
        <v>5</v>
      </c>
      <c r="K244" s="48" t="n">
        <v>5</v>
      </c>
      <c r="L244" s="48" t="n">
        <v>1</v>
      </c>
      <c r="M244" s="49" t="n">
        <v>5</v>
      </c>
      <c r="N244" s="49" t="n">
        <v>2</v>
      </c>
      <c r="O244" s="49" t="n">
        <v>1</v>
      </c>
      <c r="P244" s="49" t="n">
        <v>5</v>
      </c>
      <c r="Q244" s="49" t="n">
        <v>5</v>
      </c>
      <c r="R244" s="49" t="n">
        <v>3</v>
      </c>
      <c r="S244" s="50" t="n">
        <v>0</v>
      </c>
      <c r="T244" s="50" t="n">
        <v>30</v>
      </c>
      <c r="U244" s="50" t="n">
        <v>41362</v>
      </c>
      <c r="V244" s="51" t="n">
        <v>1</v>
      </c>
      <c r="W244" s="51" t="n">
        <v>4</v>
      </c>
      <c r="X244" s="51" t="n">
        <v>4</v>
      </c>
      <c r="Y244" s="51" t="n">
        <v>1</v>
      </c>
      <c r="Z244" s="3" t="str">
        <f aca="false">VLOOKUP(A244,'Data Prep'!$A$5:$B$44,2,FALSE())</f>
        <v>Panera Bread</v>
      </c>
      <c r="AA244" s="4" t="n">
        <f aca="false">COUNTBLANK(A244:Y244)</f>
        <v>0</v>
      </c>
    </row>
    <row r="245" customFormat="false" ht="12.75" hidden="false" customHeight="true" outlineLevel="0" collapsed="false">
      <c r="A245" s="45" t="s">
        <v>42</v>
      </c>
      <c r="B245" s="46" t="n">
        <v>0</v>
      </c>
      <c r="C245" s="46" t="n">
        <v>0</v>
      </c>
      <c r="D245" s="46" t="n">
        <v>1</v>
      </c>
      <c r="E245" s="46" t="n">
        <v>0</v>
      </c>
      <c r="F245" s="47" t="n">
        <v>0</v>
      </c>
      <c r="G245" s="48" t="n">
        <v>5</v>
      </c>
      <c r="H245" s="48" t="n">
        <v>5</v>
      </c>
      <c r="I245" s="48" t="n">
        <v>5</v>
      </c>
      <c r="J245" s="48" t="n">
        <v>5</v>
      </c>
      <c r="K245" s="48" t="n">
        <v>5</v>
      </c>
      <c r="L245" s="48" t="n">
        <v>5</v>
      </c>
      <c r="M245" s="49" t="n">
        <v>5</v>
      </c>
      <c r="N245" s="49" t="n">
        <v>5</v>
      </c>
      <c r="O245" s="49" t="n">
        <v>5</v>
      </c>
      <c r="P245" s="49" t="n">
        <v>5</v>
      </c>
      <c r="Q245" s="49" t="n">
        <v>5</v>
      </c>
      <c r="R245" s="49" t="n">
        <v>5</v>
      </c>
      <c r="S245" s="50" t="n">
        <v>0</v>
      </c>
      <c r="T245" s="50" t="n">
        <v>48</v>
      </c>
      <c r="U245" s="50" t="n">
        <v>27646</v>
      </c>
      <c r="V245" s="51" t="n">
        <v>1</v>
      </c>
      <c r="W245" s="51" t="n">
        <v>4</v>
      </c>
      <c r="X245" s="51" t="n">
        <v>1</v>
      </c>
      <c r="Y245" s="51" t="n">
        <v>1</v>
      </c>
      <c r="Z245" s="3" t="str">
        <f aca="false">VLOOKUP(A245,'Data Prep'!$A$5:$B$44,2,FALSE())</f>
        <v>Subway</v>
      </c>
      <c r="AA245" s="4" t="n">
        <f aca="false">COUNTBLANK(A245:Y245)</f>
        <v>0</v>
      </c>
    </row>
    <row r="246" customFormat="false" ht="12.75" hidden="false" customHeight="true" outlineLevel="0" collapsed="false">
      <c r="A246" s="45" t="s">
        <v>42</v>
      </c>
      <c r="B246" s="46" t="n">
        <v>1</v>
      </c>
      <c r="C246" s="46" t="n">
        <v>0</v>
      </c>
      <c r="D246" s="46" t="n">
        <v>0</v>
      </c>
      <c r="E246" s="46" t="n">
        <v>0</v>
      </c>
      <c r="F246" s="47" t="n">
        <v>0</v>
      </c>
      <c r="G246" s="48" t="n">
        <v>4</v>
      </c>
      <c r="H246" s="48" t="n">
        <v>4</v>
      </c>
      <c r="I246" s="48" t="n">
        <v>4</v>
      </c>
      <c r="J246" s="48" t="n">
        <v>4</v>
      </c>
      <c r="K246" s="48" t="n">
        <v>5</v>
      </c>
      <c r="L246" s="48" t="n">
        <v>4</v>
      </c>
      <c r="M246" s="49" t="n">
        <v>4</v>
      </c>
      <c r="N246" s="49" t="n">
        <v>3</v>
      </c>
      <c r="O246" s="49" t="n">
        <v>3</v>
      </c>
      <c r="P246" s="49" t="n">
        <v>4</v>
      </c>
      <c r="Q246" s="49" t="n">
        <v>4</v>
      </c>
      <c r="R246" s="49" t="n">
        <v>3</v>
      </c>
      <c r="S246" s="50" t="n">
        <v>0</v>
      </c>
      <c r="T246" s="50" t="n">
        <v>32</v>
      </c>
      <c r="U246" s="50" t="n">
        <v>86649</v>
      </c>
      <c r="V246" s="51" t="n">
        <v>2</v>
      </c>
      <c r="W246" s="51" t="n">
        <v>3</v>
      </c>
      <c r="X246" s="51" t="n">
        <v>3</v>
      </c>
      <c r="Y246" s="51" t="n">
        <v>3</v>
      </c>
      <c r="Z246" s="3" t="str">
        <f aca="false">VLOOKUP(A246,'Data Prep'!$A$5:$B$44,2,FALSE())</f>
        <v>Subway</v>
      </c>
      <c r="AA246" s="4" t="n">
        <f aca="false">COUNTBLANK(A246:Y246)</f>
        <v>0</v>
      </c>
    </row>
    <row r="247" customFormat="false" ht="12.75" hidden="false" customHeight="true" outlineLevel="0" collapsed="false">
      <c r="A247" s="45" t="s">
        <v>33</v>
      </c>
      <c r="B247" s="46" t="n">
        <v>0</v>
      </c>
      <c r="C247" s="46" t="n">
        <v>0</v>
      </c>
      <c r="D247" s="46" t="n">
        <v>1</v>
      </c>
      <c r="E247" s="46" t="n">
        <v>0</v>
      </c>
      <c r="F247" s="47" t="n">
        <v>0</v>
      </c>
      <c r="G247" s="48" t="n">
        <v>5</v>
      </c>
      <c r="H247" s="48" t="n">
        <v>5</v>
      </c>
      <c r="I247" s="48" t="n">
        <v>5</v>
      </c>
      <c r="J247" s="48" t="n">
        <v>5</v>
      </c>
      <c r="K247" s="48" t="n">
        <v>5</v>
      </c>
      <c r="L247" s="48" t="n">
        <v>5</v>
      </c>
      <c r="M247" s="49" t="n">
        <v>5</v>
      </c>
      <c r="N247" s="49" t="n">
        <v>5</v>
      </c>
      <c r="O247" s="49" t="n">
        <v>4</v>
      </c>
      <c r="P247" s="49" t="n">
        <v>4</v>
      </c>
      <c r="Q247" s="49" t="n">
        <v>5</v>
      </c>
      <c r="R247" s="49" t="n">
        <v>3</v>
      </c>
      <c r="S247" s="50" t="n">
        <v>0</v>
      </c>
      <c r="T247" s="50" t="n">
        <v>49</v>
      </c>
      <c r="U247" s="50" t="n">
        <v>89022</v>
      </c>
      <c r="V247" s="51" t="n">
        <v>1</v>
      </c>
      <c r="W247" s="51" t="n">
        <v>4</v>
      </c>
      <c r="X247" s="51" t="n">
        <v>1</v>
      </c>
      <c r="Y247" s="51" t="n">
        <v>1</v>
      </c>
      <c r="Z247" s="3" t="str">
        <f aca="false">VLOOKUP(A247,'Data Prep'!$A$5:$B$44,2,FALSE())</f>
        <v>In-n-out</v>
      </c>
      <c r="AA247" s="4" t="n">
        <f aca="false">COUNTBLANK(A247:Y247)</f>
        <v>0</v>
      </c>
    </row>
    <row r="248" customFormat="false" ht="12.75" hidden="false" customHeight="true" outlineLevel="0" collapsed="false">
      <c r="A248" s="45" t="s">
        <v>42</v>
      </c>
      <c r="B248" s="46" t="n">
        <v>0</v>
      </c>
      <c r="C248" s="46" t="n">
        <v>1</v>
      </c>
      <c r="D248" s="46" t="n">
        <v>0</v>
      </c>
      <c r="E248" s="46" t="n">
        <v>0</v>
      </c>
      <c r="F248" s="47" t="n">
        <v>4</v>
      </c>
      <c r="G248" s="48" t="n">
        <v>4</v>
      </c>
      <c r="H248" s="48" t="n">
        <v>5</v>
      </c>
      <c r="I248" s="48" t="n">
        <v>4</v>
      </c>
      <c r="J248" s="48" t="n">
        <v>5</v>
      </c>
      <c r="K248" s="48" t="n">
        <v>4</v>
      </c>
      <c r="L248" s="48" t="n">
        <v>3</v>
      </c>
      <c r="M248" s="49" t="n">
        <v>3</v>
      </c>
      <c r="N248" s="49" t="n">
        <v>4</v>
      </c>
      <c r="O248" s="49" t="n">
        <v>2</v>
      </c>
      <c r="P248" s="49" t="n">
        <v>4</v>
      </c>
      <c r="Q248" s="49" t="n">
        <v>4</v>
      </c>
      <c r="R248" s="49" t="n">
        <v>3</v>
      </c>
      <c r="S248" s="50" t="n">
        <v>0</v>
      </c>
      <c r="T248" s="50" t="n">
        <v>50</v>
      </c>
      <c r="U248" s="50" t="n">
        <v>26040</v>
      </c>
      <c r="V248" s="51" t="n">
        <v>1</v>
      </c>
      <c r="W248" s="51" t="n">
        <v>2</v>
      </c>
      <c r="X248" s="51" t="n">
        <v>1</v>
      </c>
      <c r="Y248" s="51" t="n">
        <v>1</v>
      </c>
      <c r="Z248" s="3" t="str">
        <f aca="false">VLOOKUP(A248,'Data Prep'!$A$5:$B$44,2,FALSE())</f>
        <v>Subway</v>
      </c>
      <c r="AA248" s="4" t="n">
        <f aca="false">COUNTBLANK(A248:Y248)</f>
        <v>0</v>
      </c>
    </row>
    <row r="249" customFormat="false" ht="12.75" hidden="false" customHeight="true" outlineLevel="0" collapsed="false">
      <c r="A249" s="45" t="s">
        <v>186</v>
      </c>
      <c r="B249" s="46" t="n">
        <v>0</v>
      </c>
      <c r="C249" s="46" t="n">
        <v>0</v>
      </c>
      <c r="D249" s="46" t="n">
        <v>1</v>
      </c>
      <c r="E249" s="46" t="n">
        <v>0</v>
      </c>
      <c r="F249" s="47" t="n">
        <v>0</v>
      </c>
      <c r="G249" s="48" t="n">
        <v>4</v>
      </c>
      <c r="H249" s="48" t="n">
        <v>4</v>
      </c>
      <c r="I249" s="48" t="n">
        <v>4</v>
      </c>
      <c r="J249" s="48" t="n">
        <v>3</v>
      </c>
      <c r="K249" s="48" t="n">
        <v>5</v>
      </c>
      <c r="L249" s="48" t="n">
        <v>4</v>
      </c>
      <c r="M249" s="49" t="n">
        <v>3</v>
      </c>
      <c r="N249" s="49" t="n">
        <v>3</v>
      </c>
      <c r="O249" s="49" t="n">
        <v>4</v>
      </c>
      <c r="P249" s="49" t="n">
        <v>4</v>
      </c>
      <c r="Q249" s="49" t="n">
        <v>4</v>
      </c>
      <c r="R249" s="49" t="n">
        <v>3</v>
      </c>
      <c r="S249" s="50" t="n">
        <v>1</v>
      </c>
      <c r="T249" s="50" t="n">
        <v>50</v>
      </c>
      <c r="U249" s="50" t="n">
        <v>42254</v>
      </c>
      <c r="V249" s="51" t="n">
        <v>3</v>
      </c>
      <c r="W249" s="51" t="n">
        <v>2</v>
      </c>
      <c r="X249" s="51" t="n">
        <v>4</v>
      </c>
      <c r="Y249" s="51" t="n">
        <v>3</v>
      </c>
      <c r="Z249" s="3" t="str">
        <f aca="false">VLOOKUP(A249,'Data Prep'!$A$5:$B$44,2,FALSE())</f>
        <v>Panera Bread</v>
      </c>
      <c r="AA249" s="4" t="n">
        <f aca="false">COUNTBLANK(A249:Y249)</f>
        <v>0</v>
      </c>
    </row>
    <row r="250" customFormat="false" ht="12.75" hidden="false" customHeight="true" outlineLevel="0" collapsed="false">
      <c r="A250" s="45" t="s">
        <v>35</v>
      </c>
      <c r="B250" s="46" t="n">
        <v>0</v>
      </c>
      <c r="C250" s="46" t="n">
        <v>0</v>
      </c>
      <c r="D250" s="46" t="n">
        <v>1</v>
      </c>
      <c r="E250" s="46" t="n">
        <v>0</v>
      </c>
      <c r="F250" s="47" t="n">
        <v>0</v>
      </c>
      <c r="G250" s="48" t="n">
        <v>5</v>
      </c>
      <c r="H250" s="48" t="n">
        <v>5</v>
      </c>
      <c r="I250" s="48" t="n">
        <v>5</v>
      </c>
      <c r="J250" s="48" t="n">
        <v>5</v>
      </c>
      <c r="K250" s="48" t="n">
        <v>5</v>
      </c>
      <c r="L250" s="48" t="n">
        <v>5</v>
      </c>
      <c r="M250" s="49" t="n">
        <v>5</v>
      </c>
      <c r="N250" s="49" t="n">
        <v>4</v>
      </c>
      <c r="O250" s="49" t="n">
        <v>5</v>
      </c>
      <c r="P250" s="49" t="n">
        <v>5</v>
      </c>
      <c r="Q250" s="49" t="n">
        <v>5</v>
      </c>
      <c r="R250" s="49" t="n">
        <v>5</v>
      </c>
      <c r="S250" s="50" t="n">
        <v>0</v>
      </c>
      <c r="T250" s="50" t="n">
        <v>29</v>
      </c>
      <c r="U250" s="50" t="n">
        <v>43869</v>
      </c>
      <c r="V250" s="51" t="n">
        <v>1</v>
      </c>
      <c r="W250" s="51" t="n">
        <v>3</v>
      </c>
      <c r="X250" s="51" t="n">
        <v>2</v>
      </c>
      <c r="Y250" s="51" t="n">
        <v>1</v>
      </c>
      <c r="Z250" s="3" t="str">
        <f aca="false">VLOOKUP(A250,'Data Prep'!$A$5:$B$44,2,FALSE())</f>
        <v>KFC</v>
      </c>
      <c r="AA250" s="4" t="n">
        <f aca="false">COUNTBLANK(A250:Y250)</f>
        <v>0</v>
      </c>
    </row>
    <row r="251" customFormat="false" ht="12.75" hidden="false" customHeight="true" outlineLevel="0" collapsed="false">
      <c r="A251" s="45" t="s">
        <v>42</v>
      </c>
      <c r="B251" s="46" t="n">
        <v>0</v>
      </c>
      <c r="C251" s="46" t="n">
        <v>0</v>
      </c>
      <c r="D251" s="46" t="n">
        <v>1</v>
      </c>
      <c r="E251" s="46" t="n">
        <v>0</v>
      </c>
      <c r="F251" s="47" t="n">
        <v>0</v>
      </c>
      <c r="G251" s="48" t="n">
        <v>4</v>
      </c>
      <c r="H251" s="48" t="n">
        <v>5</v>
      </c>
      <c r="I251" s="48" t="n">
        <v>5</v>
      </c>
      <c r="J251" s="48" t="n">
        <v>5</v>
      </c>
      <c r="K251" s="48" t="n">
        <v>5</v>
      </c>
      <c r="L251" s="48" t="n">
        <v>4</v>
      </c>
      <c r="M251" s="49" t="n">
        <v>4</v>
      </c>
      <c r="N251" s="49" t="n">
        <v>4</v>
      </c>
      <c r="O251" s="49" t="n">
        <v>3</v>
      </c>
      <c r="P251" s="49" t="n">
        <v>4</v>
      </c>
      <c r="Q251" s="49" t="n">
        <v>4</v>
      </c>
      <c r="R251" s="49" t="n">
        <v>3</v>
      </c>
      <c r="S251" s="50" t="n">
        <v>0</v>
      </c>
      <c r="T251" s="50" t="n">
        <v>49</v>
      </c>
      <c r="U251" s="50" t="n">
        <v>49774</v>
      </c>
      <c r="V251" s="51" t="n">
        <v>3</v>
      </c>
      <c r="W251" s="51" t="n">
        <v>2</v>
      </c>
      <c r="X251" s="51" t="n">
        <v>2</v>
      </c>
      <c r="Y251" s="51" t="n">
        <v>1</v>
      </c>
      <c r="Z251" s="3" t="str">
        <f aca="false">VLOOKUP(A251,'Data Prep'!$A$5:$B$44,2,FALSE())</f>
        <v>Subway</v>
      </c>
      <c r="AA251" s="4" t="n">
        <f aca="false">COUNTBLANK(A251:Y251)</f>
        <v>0</v>
      </c>
    </row>
    <row r="252" customFormat="false" ht="12.75" hidden="false" customHeight="true" outlineLevel="0" collapsed="false">
      <c r="A252" s="45" t="s">
        <v>180</v>
      </c>
      <c r="B252" s="46" t="n">
        <v>1</v>
      </c>
      <c r="C252" s="46" t="n">
        <v>0</v>
      </c>
      <c r="D252" s="46" t="n">
        <v>0</v>
      </c>
      <c r="E252" s="46" t="n">
        <v>0</v>
      </c>
      <c r="F252" s="47" t="n">
        <v>0</v>
      </c>
      <c r="G252" s="48" t="n">
        <v>4</v>
      </c>
      <c r="H252" s="48" t="n">
        <v>4</v>
      </c>
      <c r="I252" s="48" t="n">
        <v>5</v>
      </c>
      <c r="J252" s="48" t="n">
        <v>5</v>
      </c>
      <c r="K252" s="48" t="n">
        <v>5</v>
      </c>
      <c r="L252" s="48" t="n">
        <v>4</v>
      </c>
      <c r="M252" s="49" t="n">
        <v>4</v>
      </c>
      <c r="N252" s="49" t="n">
        <v>4</v>
      </c>
      <c r="O252" s="49" t="n">
        <v>4</v>
      </c>
      <c r="P252" s="49" t="n">
        <v>5</v>
      </c>
      <c r="Q252" s="49" t="n">
        <v>5</v>
      </c>
      <c r="R252" s="49" t="n">
        <v>4</v>
      </c>
      <c r="S252" s="50" t="n">
        <v>0</v>
      </c>
      <c r="T252" s="50" t="n">
        <v>48</v>
      </c>
      <c r="U252" s="50" t="n">
        <v>40464</v>
      </c>
      <c r="V252" s="51" t="n">
        <v>2</v>
      </c>
      <c r="W252" s="51" t="n">
        <v>3</v>
      </c>
      <c r="X252" s="51" t="n">
        <v>1</v>
      </c>
      <c r="Y252" s="51" t="n">
        <v>1</v>
      </c>
      <c r="Z252" s="3" t="str">
        <f aca="false">VLOOKUP(A252,'Data Prep'!$A$5:$B$44,2,FALSE())</f>
        <v>Panera Bread</v>
      </c>
      <c r="AA252" s="4" t="n">
        <f aca="false">COUNTBLANK(A252:Y252)</f>
        <v>0</v>
      </c>
    </row>
    <row r="253" customFormat="false" ht="12.75" hidden="false" customHeight="true" outlineLevel="0" collapsed="false">
      <c r="A253" s="45" t="s">
        <v>35</v>
      </c>
      <c r="B253" s="46" t="n">
        <v>1</v>
      </c>
      <c r="C253" s="46" t="n">
        <v>0</v>
      </c>
      <c r="D253" s="46" t="n">
        <v>0</v>
      </c>
      <c r="E253" s="46" t="n">
        <v>0</v>
      </c>
      <c r="F253" s="47" t="n">
        <v>0</v>
      </c>
      <c r="G253" s="48" t="n">
        <v>5</v>
      </c>
      <c r="H253" s="48" t="n">
        <v>5</v>
      </c>
      <c r="I253" s="48" t="n">
        <v>5</v>
      </c>
      <c r="J253" s="48" t="n">
        <v>5</v>
      </c>
      <c r="K253" s="48" t="n">
        <v>5</v>
      </c>
      <c r="L253" s="48" t="n">
        <v>4</v>
      </c>
      <c r="M253" s="49" t="n">
        <v>2</v>
      </c>
      <c r="N253" s="49" t="n">
        <v>2</v>
      </c>
      <c r="O253" s="49" t="n">
        <v>3</v>
      </c>
      <c r="P253" s="49" t="n">
        <v>5</v>
      </c>
      <c r="Q253" s="49" t="n">
        <v>4</v>
      </c>
      <c r="R253" s="49" t="n">
        <v>3</v>
      </c>
      <c r="S253" s="50" t="n">
        <v>0</v>
      </c>
      <c r="T253" s="50" t="n">
        <v>49</v>
      </c>
      <c r="U253" s="50" t="n">
        <v>39729</v>
      </c>
      <c r="V253" s="51" t="n">
        <v>2</v>
      </c>
      <c r="W253" s="51" t="n">
        <v>3</v>
      </c>
      <c r="X253" s="51" t="n">
        <v>1</v>
      </c>
      <c r="Y253" s="51" t="n">
        <v>2</v>
      </c>
      <c r="Z253" s="3" t="str">
        <f aca="false">VLOOKUP(A253,'Data Prep'!$A$5:$B$44,2,FALSE())</f>
        <v>KFC</v>
      </c>
      <c r="AA253" s="4" t="n">
        <f aca="false">COUNTBLANK(A253:Y253)</f>
        <v>0</v>
      </c>
    </row>
    <row r="254" customFormat="false" ht="12.75" hidden="false" customHeight="true" outlineLevel="0" collapsed="false">
      <c r="A254" s="45" t="s">
        <v>31</v>
      </c>
      <c r="B254" s="46" t="n">
        <v>1</v>
      </c>
      <c r="C254" s="46" t="n">
        <v>0</v>
      </c>
      <c r="D254" s="46" t="n">
        <v>0</v>
      </c>
      <c r="E254" s="46" t="n">
        <v>0</v>
      </c>
      <c r="F254" s="47" t="n">
        <v>1</v>
      </c>
      <c r="G254" s="48" t="n">
        <v>5</v>
      </c>
      <c r="H254" s="48" t="n">
        <v>4</v>
      </c>
      <c r="I254" s="48" t="n">
        <v>5</v>
      </c>
      <c r="J254" s="48" t="n">
        <v>5</v>
      </c>
      <c r="K254" s="48" t="n">
        <v>5</v>
      </c>
      <c r="L254" s="48" t="n">
        <v>4</v>
      </c>
      <c r="M254" s="49" t="n">
        <v>3</v>
      </c>
      <c r="N254" s="49" t="n">
        <v>3</v>
      </c>
      <c r="O254" s="49" t="n">
        <v>3</v>
      </c>
      <c r="P254" s="49" t="n">
        <v>4</v>
      </c>
      <c r="Q254" s="49" t="n">
        <v>4</v>
      </c>
      <c r="R254" s="49" t="n">
        <v>4</v>
      </c>
      <c r="S254" s="50" t="n">
        <v>0</v>
      </c>
      <c r="T254" s="50" t="n">
        <v>22</v>
      </c>
      <c r="U254" s="50" t="n">
        <v>11102</v>
      </c>
      <c r="V254" s="51" t="n">
        <v>2</v>
      </c>
      <c r="W254" s="51" t="n">
        <v>2</v>
      </c>
      <c r="X254" s="51" t="n">
        <v>2</v>
      </c>
      <c r="Y254" s="51" t="n">
        <v>2</v>
      </c>
      <c r="Z254" s="3" t="str">
        <f aca="false">VLOOKUP(A254,'Data Prep'!$A$5:$B$44,2,FALSE())</f>
        <v>El Pollo Loco</v>
      </c>
      <c r="AA254" s="4" t="n">
        <f aca="false">COUNTBLANK(A254:Y254)</f>
        <v>0</v>
      </c>
    </row>
    <row r="255" customFormat="false" ht="12.75" hidden="false" customHeight="true" outlineLevel="0" collapsed="false">
      <c r="A255" s="45" t="s">
        <v>31</v>
      </c>
      <c r="B255" s="46" t="n">
        <v>1</v>
      </c>
      <c r="C255" s="46" t="n">
        <v>0</v>
      </c>
      <c r="D255" s="46" t="n">
        <v>0</v>
      </c>
      <c r="E255" s="46" t="n">
        <v>0</v>
      </c>
      <c r="F255" s="47" t="n">
        <v>0</v>
      </c>
      <c r="G255" s="48" t="n">
        <v>4</v>
      </c>
      <c r="H255" s="48" t="n">
        <v>5</v>
      </c>
      <c r="I255" s="48" t="n">
        <v>5</v>
      </c>
      <c r="J255" s="48" t="n">
        <v>4</v>
      </c>
      <c r="K255" s="48" t="n">
        <v>5</v>
      </c>
      <c r="L255" s="48" t="n">
        <v>5</v>
      </c>
      <c r="M255" s="49" t="n">
        <v>3</v>
      </c>
      <c r="N255" s="49" t="n">
        <v>4</v>
      </c>
      <c r="O255" s="49" t="n">
        <v>4</v>
      </c>
      <c r="P255" s="49" t="n">
        <v>5</v>
      </c>
      <c r="Q255" s="49" t="n">
        <v>3</v>
      </c>
      <c r="R255" s="49" t="n">
        <v>2</v>
      </c>
      <c r="S255" s="50" t="n">
        <v>0</v>
      </c>
      <c r="T255" s="50" t="n">
        <v>35</v>
      </c>
      <c r="U255" s="50" t="n">
        <v>48537</v>
      </c>
      <c r="V255" s="51" t="n">
        <v>3</v>
      </c>
      <c r="W255" s="51" t="n">
        <v>4</v>
      </c>
      <c r="X255" s="51" t="n">
        <v>2</v>
      </c>
      <c r="Y255" s="51" t="n">
        <v>2</v>
      </c>
      <c r="Z255" s="3" t="str">
        <f aca="false">VLOOKUP(A255,'Data Prep'!$A$5:$B$44,2,FALSE())</f>
        <v>El Pollo Loco</v>
      </c>
      <c r="AA255" s="4" t="n">
        <f aca="false">COUNTBLANK(A255:Y255)</f>
        <v>0</v>
      </c>
    </row>
    <row r="256" customFormat="false" ht="12.75" hidden="false" customHeight="true" outlineLevel="0" collapsed="false">
      <c r="A256" s="45" t="s">
        <v>30</v>
      </c>
      <c r="B256" s="46" t="n">
        <v>0</v>
      </c>
      <c r="C256" s="46" t="n">
        <v>0</v>
      </c>
      <c r="D256" s="46" t="n">
        <v>1</v>
      </c>
      <c r="E256" s="46" t="n">
        <v>0</v>
      </c>
      <c r="F256" s="47" t="n">
        <v>0</v>
      </c>
      <c r="G256" s="48" t="n">
        <v>5</v>
      </c>
      <c r="H256" s="48" t="n">
        <v>5</v>
      </c>
      <c r="I256" s="48" t="n">
        <v>4</v>
      </c>
      <c r="J256" s="48" t="n">
        <v>5</v>
      </c>
      <c r="K256" s="48" t="n">
        <v>5</v>
      </c>
      <c r="L256" s="48" t="n">
        <v>5</v>
      </c>
      <c r="M256" s="49" t="n">
        <v>3</v>
      </c>
      <c r="N256" s="49" t="n">
        <v>4</v>
      </c>
      <c r="O256" s="49" t="n">
        <v>3</v>
      </c>
      <c r="P256" s="49" t="n">
        <v>5</v>
      </c>
      <c r="Q256" s="49" t="n">
        <v>4</v>
      </c>
      <c r="R256" s="49" t="n">
        <v>3</v>
      </c>
      <c r="S256" s="50" t="n">
        <v>0</v>
      </c>
      <c r="T256" s="50" t="n">
        <v>56</v>
      </c>
      <c r="U256" s="50" t="n">
        <v>67113</v>
      </c>
      <c r="V256" s="51" t="n">
        <v>2</v>
      </c>
      <c r="W256" s="51" t="n">
        <v>4</v>
      </c>
      <c r="X256" s="51" t="n">
        <v>2</v>
      </c>
      <c r="Y256" s="51" t="n">
        <v>2</v>
      </c>
      <c r="Z256" s="3" t="str">
        <f aca="false">VLOOKUP(A256,'Data Prep'!$A$5:$B$44,2,FALSE())</f>
        <v>Chipotle</v>
      </c>
      <c r="AA256" s="4" t="n">
        <f aca="false">COUNTBLANK(A256:Y256)</f>
        <v>0</v>
      </c>
    </row>
    <row r="257" customFormat="false" ht="12.75" hidden="false" customHeight="true" outlineLevel="0" collapsed="false">
      <c r="A257" s="45" t="s">
        <v>31</v>
      </c>
      <c r="B257" s="46" t="n">
        <v>0</v>
      </c>
      <c r="C257" s="46" t="n">
        <v>0</v>
      </c>
      <c r="D257" s="46" t="n">
        <v>1</v>
      </c>
      <c r="E257" s="46" t="n">
        <v>0</v>
      </c>
      <c r="F257" s="47" t="n">
        <v>0</v>
      </c>
      <c r="G257" s="48" t="n">
        <v>5</v>
      </c>
      <c r="H257" s="48" t="n">
        <v>5</v>
      </c>
      <c r="I257" s="48" t="n">
        <v>5</v>
      </c>
      <c r="J257" s="48" t="n">
        <v>5</v>
      </c>
      <c r="K257" s="48" t="n">
        <v>5</v>
      </c>
      <c r="L257" s="48" t="n">
        <v>5</v>
      </c>
      <c r="M257" s="49" t="n">
        <v>5</v>
      </c>
      <c r="N257" s="49" t="n">
        <v>5</v>
      </c>
      <c r="O257" s="49" t="n">
        <v>5</v>
      </c>
      <c r="P257" s="49" t="n">
        <v>5</v>
      </c>
      <c r="Q257" s="49" t="n">
        <v>5</v>
      </c>
      <c r="R257" s="49" t="n">
        <v>5</v>
      </c>
      <c r="S257" s="50" t="n">
        <v>0</v>
      </c>
      <c r="T257" s="50" t="n">
        <v>34</v>
      </c>
      <c r="U257" s="50" t="n">
        <v>15315</v>
      </c>
      <c r="V257" s="51" t="n">
        <v>3</v>
      </c>
      <c r="W257" s="51" t="n">
        <v>4</v>
      </c>
      <c r="X257" s="51" t="n">
        <v>1</v>
      </c>
      <c r="Y257" s="51" t="n">
        <v>1</v>
      </c>
      <c r="Z257" s="3" t="str">
        <f aca="false">VLOOKUP(A257,'Data Prep'!$A$5:$B$44,2,FALSE())</f>
        <v>El Pollo Loco</v>
      </c>
      <c r="AA257" s="4" t="n">
        <f aca="false">COUNTBLANK(A257:Y257)</f>
        <v>0</v>
      </c>
    </row>
    <row r="258" customFormat="false" ht="12.75" hidden="false" customHeight="true" outlineLevel="0" collapsed="false">
      <c r="A258" s="45" t="s">
        <v>42</v>
      </c>
      <c r="B258" s="46" t="n">
        <v>0</v>
      </c>
      <c r="C258" s="46" t="n">
        <v>0</v>
      </c>
      <c r="D258" s="46" t="n">
        <v>1</v>
      </c>
      <c r="E258" s="46" t="n">
        <v>0</v>
      </c>
      <c r="F258" s="47" t="n">
        <v>0</v>
      </c>
      <c r="G258" s="48" t="n">
        <v>5</v>
      </c>
      <c r="H258" s="48" t="n">
        <v>5</v>
      </c>
      <c r="I258" s="48" t="n">
        <v>5</v>
      </c>
      <c r="J258" s="48" t="n">
        <v>5</v>
      </c>
      <c r="K258" s="48" t="n">
        <v>5</v>
      </c>
      <c r="L258" s="48" t="n">
        <v>4</v>
      </c>
      <c r="M258" s="49" t="n">
        <v>3</v>
      </c>
      <c r="N258" s="49" t="n">
        <v>3</v>
      </c>
      <c r="O258" s="49" t="n">
        <v>3</v>
      </c>
      <c r="P258" s="49" t="n">
        <v>4</v>
      </c>
      <c r="Q258" s="49" t="n">
        <v>4</v>
      </c>
      <c r="R258" s="49" t="n">
        <v>4</v>
      </c>
      <c r="S258" s="50"/>
      <c r="T258" s="50"/>
      <c r="U258" s="50"/>
      <c r="V258" s="51"/>
      <c r="W258" s="51"/>
      <c r="X258" s="51"/>
      <c r="Y258" s="51"/>
      <c r="Z258" s="3" t="str">
        <f aca="false">VLOOKUP(A258,'Data Prep'!$A$5:$B$44,2,FALSE())</f>
        <v>Subway</v>
      </c>
      <c r="AA258" s="4" t="n">
        <f aca="false">COUNTBLANK(A258:Y258)</f>
        <v>7</v>
      </c>
    </row>
    <row r="259" customFormat="false" ht="12.75" hidden="false" customHeight="true" outlineLevel="0" collapsed="false">
      <c r="A259" s="45" t="s">
        <v>31</v>
      </c>
      <c r="B259" s="46" t="n">
        <v>0</v>
      </c>
      <c r="C259" s="46" t="n">
        <v>0</v>
      </c>
      <c r="D259" s="46" t="n">
        <v>1</v>
      </c>
      <c r="E259" s="46" t="n">
        <v>0</v>
      </c>
      <c r="F259" s="47" t="n">
        <v>0</v>
      </c>
      <c r="G259" s="48" t="n">
        <v>5</v>
      </c>
      <c r="H259" s="48" t="n">
        <v>5</v>
      </c>
      <c r="I259" s="48" t="n">
        <v>5</v>
      </c>
      <c r="J259" s="48" t="n">
        <v>5</v>
      </c>
      <c r="K259" s="48" t="n">
        <v>5</v>
      </c>
      <c r="L259" s="48" t="n">
        <v>5</v>
      </c>
      <c r="M259" s="49" t="n">
        <v>3</v>
      </c>
      <c r="N259" s="49" t="n">
        <v>5</v>
      </c>
      <c r="O259" s="49" t="n">
        <v>5</v>
      </c>
      <c r="P259" s="49" t="n">
        <v>5</v>
      </c>
      <c r="Q259" s="49" t="n">
        <v>5</v>
      </c>
      <c r="R259" s="49" t="n">
        <v>3</v>
      </c>
      <c r="S259" s="50" t="n">
        <v>1</v>
      </c>
      <c r="T259" s="50" t="n">
        <v>53</v>
      </c>
      <c r="U259" s="50" t="n">
        <v>50400</v>
      </c>
      <c r="V259" s="51" t="n">
        <v>3</v>
      </c>
      <c r="W259" s="51" t="n">
        <v>2</v>
      </c>
      <c r="X259" s="51" t="n">
        <v>1</v>
      </c>
      <c r="Y259" s="51" t="n">
        <v>1</v>
      </c>
      <c r="Z259" s="3" t="str">
        <f aca="false">VLOOKUP(A259,'Data Prep'!$A$5:$B$44,2,FALSE())</f>
        <v>El Pollo Loco</v>
      </c>
      <c r="AA259" s="4" t="n">
        <f aca="false">COUNTBLANK(A259:Y259)</f>
        <v>0</v>
      </c>
    </row>
    <row r="260" customFormat="false" ht="12.75" hidden="false" customHeight="true" outlineLevel="0" collapsed="false">
      <c r="A260" s="45" t="s">
        <v>31</v>
      </c>
      <c r="B260" s="46" t="n">
        <v>1</v>
      </c>
      <c r="C260" s="46" t="n">
        <v>0</v>
      </c>
      <c r="D260" s="46" t="n">
        <v>0</v>
      </c>
      <c r="E260" s="46" t="n">
        <v>0</v>
      </c>
      <c r="F260" s="47" t="n">
        <v>2</v>
      </c>
      <c r="G260" s="48" t="n">
        <v>4</v>
      </c>
      <c r="H260" s="48" t="n">
        <v>3</v>
      </c>
      <c r="I260" s="48" t="n">
        <v>5</v>
      </c>
      <c r="J260" s="48" t="n">
        <v>4</v>
      </c>
      <c r="K260" s="48" t="n">
        <v>5</v>
      </c>
      <c r="L260" s="48" t="n">
        <v>4</v>
      </c>
      <c r="M260" s="49" t="n">
        <v>3</v>
      </c>
      <c r="N260" s="49" t="n">
        <v>3</v>
      </c>
      <c r="O260" s="49" t="n">
        <v>2</v>
      </c>
      <c r="P260" s="49" t="n">
        <v>4</v>
      </c>
      <c r="Q260" s="49" t="n">
        <v>3</v>
      </c>
      <c r="R260" s="49" t="n">
        <v>3</v>
      </c>
      <c r="S260" s="50" t="n">
        <v>0</v>
      </c>
      <c r="T260" s="50" t="n">
        <v>52</v>
      </c>
      <c r="U260" s="50" t="n">
        <v>33460</v>
      </c>
      <c r="V260" s="51" t="n">
        <v>2</v>
      </c>
      <c r="W260" s="51" t="n">
        <v>4</v>
      </c>
      <c r="X260" s="51" t="n">
        <v>2</v>
      </c>
      <c r="Y260" s="51" t="n">
        <v>1</v>
      </c>
      <c r="Z260" s="3" t="str">
        <f aca="false">VLOOKUP(A260,'Data Prep'!$A$5:$B$44,2,FALSE())</f>
        <v>El Pollo Loco</v>
      </c>
      <c r="AA260" s="4" t="n">
        <f aca="false">COUNTBLANK(A260:Y260)</f>
        <v>0</v>
      </c>
    </row>
    <row r="261" customFormat="false" ht="12.75" hidden="false" customHeight="true" outlineLevel="0" collapsed="false">
      <c r="A261" s="45" t="s">
        <v>30</v>
      </c>
      <c r="B261" s="46" t="n">
        <v>0</v>
      </c>
      <c r="C261" s="46" t="n">
        <v>0</v>
      </c>
      <c r="D261" s="46" t="n">
        <v>0</v>
      </c>
      <c r="E261" s="46" t="n">
        <v>0</v>
      </c>
      <c r="F261" s="47" t="n">
        <v>0</v>
      </c>
      <c r="G261" s="48" t="n">
        <v>4</v>
      </c>
      <c r="H261" s="48" t="n">
        <v>4</v>
      </c>
      <c r="I261" s="48" t="n">
        <v>5</v>
      </c>
      <c r="J261" s="48" t="n">
        <v>5</v>
      </c>
      <c r="K261" s="48" t="n">
        <v>5</v>
      </c>
      <c r="L261" s="48" t="n">
        <v>4</v>
      </c>
      <c r="M261" s="49" t="n">
        <v>3</v>
      </c>
      <c r="N261" s="49" t="n">
        <v>2</v>
      </c>
      <c r="O261" s="49" t="n">
        <v>4</v>
      </c>
      <c r="P261" s="49" t="n">
        <v>5</v>
      </c>
      <c r="Q261" s="49" t="n">
        <v>4</v>
      </c>
      <c r="R261" s="49" t="n">
        <v>3</v>
      </c>
      <c r="S261" s="50" t="n">
        <v>1</v>
      </c>
      <c r="T261" s="50" t="n">
        <v>51</v>
      </c>
      <c r="U261" s="50" t="n">
        <v>58698</v>
      </c>
      <c r="V261" s="51" t="n">
        <v>1</v>
      </c>
      <c r="W261" s="51" t="n">
        <v>3</v>
      </c>
      <c r="X261" s="51" t="n">
        <v>2</v>
      </c>
      <c r="Y261" s="51" t="n">
        <v>2</v>
      </c>
      <c r="Z261" s="3" t="str">
        <f aca="false">VLOOKUP(A261,'Data Prep'!$A$5:$B$44,2,FALSE())</f>
        <v>Chipotle</v>
      </c>
      <c r="AA261" s="4" t="n">
        <f aca="false">COUNTBLANK(A261:Y261)</f>
        <v>0</v>
      </c>
    </row>
    <row r="262" customFormat="false" ht="12.75" hidden="false" customHeight="true" outlineLevel="0" collapsed="false">
      <c r="A262" s="45" t="s">
        <v>33</v>
      </c>
      <c r="B262" s="46" t="n">
        <v>1</v>
      </c>
      <c r="C262" s="46" t="n">
        <v>0</v>
      </c>
      <c r="D262" s="46" t="n">
        <v>0</v>
      </c>
      <c r="E262" s="46" t="n">
        <v>0</v>
      </c>
      <c r="F262" s="47" t="n">
        <v>0</v>
      </c>
      <c r="G262" s="48" t="n">
        <v>5</v>
      </c>
      <c r="H262" s="48" t="n">
        <v>5</v>
      </c>
      <c r="I262" s="48" t="n">
        <v>5</v>
      </c>
      <c r="J262" s="48" t="n">
        <v>5</v>
      </c>
      <c r="K262" s="48" t="n">
        <v>5</v>
      </c>
      <c r="L262" s="48" t="n">
        <v>5</v>
      </c>
      <c r="M262" s="49" t="n">
        <v>5</v>
      </c>
      <c r="N262" s="49" t="n">
        <v>5</v>
      </c>
      <c r="O262" s="49" t="n">
        <v>5</v>
      </c>
      <c r="P262" s="49" t="n">
        <v>5</v>
      </c>
      <c r="Q262" s="49" t="n">
        <v>5</v>
      </c>
      <c r="R262" s="49" t="n">
        <v>5</v>
      </c>
      <c r="S262" s="50" t="n">
        <v>0</v>
      </c>
      <c r="T262" s="50" t="n">
        <v>33</v>
      </c>
      <c r="U262" s="50" t="n">
        <v>27951</v>
      </c>
      <c r="V262" s="51" t="n">
        <v>1</v>
      </c>
      <c r="W262" s="51" t="n">
        <v>1</v>
      </c>
      <c r="X262" s="51" t="n">
        <v>1</v>
      </c>
      <c r="Y262" s="51" t="n">
        <v>1</v>
      </c>
      <c r="Z262" s="3" t="str">
        <f aca="false">VLOOKUP(A262,'Data Prep'!$A$5:$B$44,2,FALSE())</f>
        <v>In-n-out</v>
      </c>
      <c r="AA262" s="4" t="n">
        <f aca="false">COUNTBLANK(A262:Y262)</f>
        <v>0</v>
      </c>
    </row>
    <row r="263" customFormat="false" ht="12.75" hidden="false" customHeight="true" outlineLevel="0" collapsed="false">
      <c r="A263" s="45" t="s">
        <v>33</v>
      </c>
      <c r="B263" s="46" t="n">
        <v>0</v>
      </c>
      <c r="C263" s="46" t="n">
        <v>0</v>
      </c>
      <c r="D263" s="46" t="n">
        <v>1</v>
      </c>
      <c r="E263" s="46" t="n">
        <v>0</v>
      </c>
      <c r="F263" s="47" t="n">
        <v>0</v>
      </c>
      <c r="G263" s="48" t="n">
        <v>3</v>
      </c>
      <c r="H263" s="48" t="n">
        <v>3</v>
      </c>
      <c r="I263" s="48" t="n">
        <v>4</v>
      </c>
      <c r="J263" s="48" t="n">
        <v>4</v>
      </c>
      <c r="K263" s="48" t="n">
        <v>4</v>
      </c>
      <c r="L263" s="48" t="n">
        <v>4</v>
      </c>
      <c r="M263" s="49" t="n">
        <v>2</v>
      </c>
      <c r="N263" s="49" t="n">
        <v>3</v>
      </c>
      <c r="O263" s="49" t="n">
        <v>3</v>
      </c>
      <c r="P263" s="49" t="n">
        <v>3</v>
      </c>
      <c r="Q263" s="49" t="n">
        <v>4</v>
      </c>
      <c r="R263" s="49" t="n">
        <v>3</v>
      </c>
      <c r="S263" s="50" t="n">
        <v>1</v>
      </c>
      <c r="T263" s="50" t="n">
        <v>69</v>
      </c>
      <c r="U263" s="50" t="n">
        <v>51750</v>
      </c>
      <c r="V263" s="51" t="n">
        <v>2</v>
      </c>
      <c r="W263" s="51" t="n">
        <v>4</v>
      </c>
      <c r="X263" s="51" t="n">
        <v>2</v>
      </c>
      <c r="Y263" s="51" t="n">
        <v>2</v>
      </c>
      <c r="Z263" s="3" t="str">
        <f aca="false">VLOOKUP(A263,'Data Prep'!$A$5:$B$44,2,FALSE())</f>
        <v>In-n-out</v>
      </c>
      <c r="AA263" s="4" t="n">
        <f aca="false">COUNTBLANK(A263:Y263)</f>
        <v>0</v>
      </c>
    </row>
    <row r="264" customFormat="false" ht="12.75" hidden="false" customHeight="true" outlineLevel="0" collapsed="false">
      <c r="A264" s="45" t="s">
        <v>166</v>
      </c>
      <c r="B264" s="46" t="n">
        <v>1</v>
      </c>
      <c r="C264" s="46" t="n">
        <v>0</v>
      </c>
      <c r="D264" s="46" t="n">
        <v>0</v>
      </c>
      <c r="E264" s="46" t="n">
        <v>0</v>
      </c>
      <c r="F264" s="47" t="n">
        <v>0</v>
      </c>
      <c r="G264" s="48" t="n">
        <v>5</v>
      </c>
      <c r="H264" s="48" t="n">
        <v>4</v>
      </c>
      <c r="I264" s="48" t="n">
        <v>5</v>
      </c>
      <c r="J264" s="48" t="n">
        <v>5</v>
      </c>
      <c r="K264" s="48" t="n">
        <v>5</v>
      </c>
      <c r="L264" s="48" t="n">
        <v>5</v>
      </c>
      <c r="M264" s="49" t="n">
        <v>5</v>
      </c>
      <c r="N264" s="49" t="n">
        <v>3</v>
      </c>
      <c r="O264" s="49" t="n">
        <v>5</v>
      </c>
      <c r="P264" s="49" t="n">
        <v>5</v>
      </c>
      <c r="Q264" s="49" t="n">
        <v>4</v>
      </c>
      <c r="R264" s="49" t="n">
        <v>4</v>
      </c>
      <c r="S264" s="50" t="n">
        <v>0</v>
      </c>
      <c r="T264" s="50" t="n">
        <v>52</v>
      </c>
      <c r="U264" s="50" t="n">
        <v>32170</v>
      </c>
      <c r="V264" s="51" t="n">
        <v>3</v>
      </c>
      <c r="W264" s="51" t="n">
        <v>3</v>
      </c>
      <c r="X264" s="51" t="n">
        <v>2</v>
      </c>
      <c r="Y264" s="51" t="n">
        <v>2</v>
      </c>
      <c r="Z264" s="3" t="str">
        <f aca="false">VLOOKUP(A264,'Data Prep'!$A$5:$B$44,2,FALSE())</f>
        <v>Chipotle</v>
      </c>
      <c r="AA264" s="4" t="n">
        <f aca="false">COUNTBLANK(A264:Y264)</f>
        <v>0</v>
      </c>
    </row>
    <row r="265" customFormat="false" ht="12.75" hidden="false" customHeight="true" outlineLevel="0" collapsed="false">
      <c r="A265" s="45" t="s">
        <v>33</v>
      </c>
      <c r="B265" s="46" t="n">
        <v>0</v>
      </c>
      <c r="C265" s="46" t="n">
        <v>1</v>
      </c>
      <c r="D265" s="46" t="n">
        <v>0</v>
      </c>
      <c r="E265" s="46" t="n">
        <v>0</v>
      </c>
      <c r="F265" s="47" t="n">
        <v>0</v>
      </c>
      <c r="G265" s="48" t="n">
        <v>5</v>
      </c>
      <c r="H265" s="48" t="n">
        <v>4</v>
      </c>
      <c r="I265" s="48" t="n">
        <v>4</v>
      </c>
      <c r="J265" s="48" t="n">
        <v>4</v>
      </c>
      <c r="K265" s="48" t="n">
        <v>4</v>
      </c>
      <c r="L265" s="48" t="n">
        <v>3</v>
      </c>
      <c r="M265" s="49" t="n">
        <v>1</v>
      </c>
      <c r="N265" s="49" t="n">
        <v>4</v>
      </c>
      <c r="O265" s="49" t="n">
        <v>3</v>
      </c>
      <c r="P265" s="49" t="n">
        <v>4</v>
      </c>
      <c r="Q265" s="49" t="n">
        <v>4</v>
      </c>
      <c r="R265" s="49" t="n">
        <v>3</v>
      </c>
      <c r="S265" s="50" t="n">
        <v>0</v>
      </c>
      <c r="T265" s="50" t="n">
        <v>34</v>
      </c>
      <c r="U265" s="50" t="n">
        <v>28436</v>
      </c>
      <c r="V265" s="51" t="n">
        <v>2</v>
      </c>
      <c r="W265" s="51" t="n">
        <v>3</v>
      </c>
      <c r="X265" s="51" t="n">
        <v>2</v>
      </c>
      <c r="Y265" s="51" t="n">
        <v>2</v>
      </c>
      <c r="Z265" s="3" t="str">
        <f aca="false">VLOOKUP(A265,'Data Prep'!$A$5:$B$44,2,FALSE())</f>
        <v>In-n-out</v>
      </c>
      <c r="AA265" s="4" t="n">
        <f aca="false">COUNTBLANK(A265:Y265)</f>
        <v>0</v>
      </c>
    </row>
    <row r="266" customFormat="false" ht="12.75" hidden="false" customHeight="true" outlineLevel="0" collapsed="false">
      <c r="A266" s="45" t="s">
        <v>173</v>
      </c>
      <c r="B266" s="46" t="n">
        <v>0</v>
      </c>
      <c r="C266" s="46" t="n">
        <v>0</v>
      </c>
      <c r="D266" s="46" t="n">
        <v>0</v>
      </c>
      <c r="E266" s="46" t="n">
        <v>0</v>
      </c>
      <c r="F266" s="47" t="n">
        <v>3</v>
      </c>
      <c r="G266" s="48"/>
      <c r="H266" s="48"/>
      <c r="I266" s="48"/>
      <c r="J266" s="48"/>
      <c r="K266" s="48"/>
      <c r="L266" s="48"/>
      <c r="M266" s="49"/>
      <c r="N266" s="49"/>
      <c r="O266" s="49"/>
      <c r="P266" s="49"/>
      <c r="Q266" s="49"/>
      <c r="R266" s="49"/>
      <c r="S266" s="50" t="n">
        <v>0</v>
      </c>
      <c r="T266" s="50" t="n">
        <v>19</v>
      </c>
      <c r="U266" s="50" t="n">
        <v>22538</v>
      </c>
      <c r="V266" s="51" t="n">
        <v>3</v>
      </c>
      <c r="W266" s="51" t="n">
        <v>3</v>
      </c>
      <c r="X266" s="51" t="n">
        <v>2</v>
      </c>
      <c r="Y266" s="51" t="n">
        <v>1</v>
      </c>
      <c r="Z266" s="3" t="str">
        <f aca="false">VLOOKUP(A266,'Data Prep'!$A$5:$B$44,2,FALSE())</f>
        <v>McDonalds</v>
      </c>
      <c r="AA266" s="4" t="n">
        <f aca="false">COUNTBLANK(A266:Y266)</f>
        <v>12</v>
      </c>
    </row>
    <row r="267" customFormat="false" ht="12.75" hidden="false" customHeight="true" outlineLevel="0" collapsed="false">
      <c r="A267" s="45" t="s">
        <v>33</v>
      </c>
      <c r="B267" s="46" t="n">
        <v>1</v>
      </c>
      <c r="C267" s="46" t="n">
        <v>0</v>
      </c>
      <c r="D267" s="46" t="n">
        <v>0</v>
      </c>
      <c r="E267" s="46" t="n">
        <v>0</v>
      </c>
      <c r="F267" s="47" t="n">
        <v>0</v>
      </c>
      <c r="G267" s="48" t="n">
        <v>5</v>
      </c>
      <c r="H267" s="48" t="n">
        <v>3</v>
      </c>
      <c r="I267" s="48" t="n">
        <v>4</v>
      </c>
      <c r="J267" s="48" t="n">
        <v>5</v>
      </c>
      <c r="K267" s="48" t="n">
        <v>5</v>
      </c>
      <c r="L267" s="48" t="n">
        <v>4</v>
      </c>
      <c r="M267" s="49" t="n">
        <v>5</v>
      </c>
      <c r="N267" s="49" t="n">
        <v>3</v>
      </c>
      <c r="O267" s="49" t="n">
        <v>1</v>
      </c>
      <c r="P267" s="49" t="n">
        <v>5</v>
      </c>
      <c r="Q267" s="49" t="n">
        <v>4</v>
      </c>
      <c r="R267" s="49" t="n">
        <v>4</v>
      </c>
      <c r="S267" s="50" t="n">
        <v>0</v>
      </c>
      <c r="T267" s="50" t="n">
        <v>20</v>
      </c>
      <c r="U267" s="50" t="n">
        <v>19401</v>
      </c>
      <c r="V267" s="51" t="n">
        <v>1</v>
      </c>
      <c r="W267" s="51" t="n">
        <v>3</v>
      </c>
      <c r="X267" s="51" t="n">
        <v>2</v>
      </c>
      <c r="Y267" s="51" t="n">
        <v>1</v>
      </c>
      <c r="Z267" s="3" t="str">
        <f aca="false">VLOOKUP(A267,'Data Prep'!$A$5:$B$44,2,FALSE())</f>
        <v>In-n-out</v>
      </c>
      <c r="AA267" s="4" t="n">
        <f aca="false">COUNTBLANK(A267:Y267)</f>
        <v>0</v>
      </c>
    </row>
    <row r="268" customFormat="false" ht="12.75" hidden="false" customHeight="true" outlineLevel="0" collapsed="false">
      <c r="A268" s="45" t="s">
        <v>186</v>
      </c>
      <c r="B268" s="46" t="n">
        <v>1</v>
      </c>
      <c r="C268" s="46" t="n">
        <v>0</v>
      </c>
      <c r="D268" s="46" t="n">
        <v>0</v>
      </c>
      <c r="E268" s="46" t="n">
        <v>0</v>
      </c>
      <c r="F268" s="47" t="n">
        <v>0</v>
      </c>
      <c r="G268" s="48" t="n">
        <v>5</v>
      </c>
      <c r="H268" s="48" t="n">
        <v>4</v>
      </c>
      <c r="I268" s="48" t="n">
        <v>4</v>
      </c>
      <c r="J268" s="48" t="n">
        <v>4</v>
      </c>
      <c r="K268" s="48" t="n">
        <v>4</v>
      </c>
      <c r="L268" s="48" t="n">
        <v>4</v>
      </c>
      <c r="M268" s="49" t="n">
        <v>4</v>
      </c>
      <c r="N268" s="49" t="n">
        <v>4</v>
      </c>
      <c r="O268" s="49" t="n">
        <v>3</v>
      </c>
      <c r="P268" s="49" t="n">
        <v>3</v>
      </c>
      <c r="Q268" s="49" t="n">
        <v>4</v>
      </c>
      <c r="R268" s="49" t="n">
        <v>3</v>
      </c>
      <c r="S268" s="50" t="n">
        <v>1</v>
      </c>
      <c r="T268" s="50" t="n">
        <v>67</v>
      </c>
      <c r="U268" s="50" t="n">
        <v>32272</v>
      </c>
      <c r="V268" s="51" t="n">
        <v>2</v>
      </c>
      <c r="W268" s="51" t="n">
        <v>2</v>
      </c>
      <c r="X268" s="51" t="n">
        <v>1</v>
      </c>
      <c r="Y268" s="51" t="n">
        <v>2</v>
      </c>
      <c r="Z268" s="3" t="str">
        <f aca="false">VLOOKUP(A268,'Data Prep'!$A$5:$B$44,2,FALSE())</f>
        <v>Panera Bread</v>
      </c>
      <c r="AA268" s="4" t="n">
        <f aca="false">COUNTBLANK(A268:Y268)</f>
        <v>0</v>
      </c>
    </row>
    <row r="269" customFormat="false" ht="12.75" hidden="false" customHeight="true" outlineLevel="0" collapsed="false">
      <c r="A269" s="45" t="s">
        <v>35</v>
      </c>
      <c r="B269" s="46" t="n">
        <v>0</v>
      </c>
      <c r="C269" s="46" t="n">
        <v>0</v>
      </c>
      <c r="D269" s="46" t="n">
        <v>1</v>
      </c>
      <c r="E269" s="46" t="n">
        <v>0</v>
      </c>
      <c r="F269" s="47" t="n">
        <v>0</v>
      </c>
      <c r="G269" s="48" t="n">
        <v>4</v>
      </c>
      <c r="H269" s="48" t="n">
        <v>4</v>
      </c>
      <c r="I269" s="48" t="n">
        <v>4</v>
      </c>
      <c r="J269" s="48" t="n">
        <v>4</v>
      </c>
      <c r="K269" s="48" t="n">
        <v>5</v>
      </c>
      <c r="L269" s="48" t="n">
        <v>4</v>
      </c>
      <c r="M269" s="49" t="n">
        <v>4</v>
      </c>
      <c r="N269" s="49" t="n">
        <v>3</v>
      </c>
      <c r="O269" s="49" t="n">
        <v>4</v>
      </c>
      <c r="P269" s="49" t="n">
        <v>3</v>
      </c>
      <c r="Q269" s="49" t="n">
        <v>4</v>
      </c>
      <c r="R269" s="49" t="n">
        <v>3</v>
      </c>
      <c r="S269" s="50" t="n">
        <v>0</v>
      </c>
      <c r="T269" s="50" t="n">
        <v>54</v>
      </c>
      <c r="U269" s="50" t="n">
        <v>86769</v>
      </c>
      <c r="V269" s="51" t="n">
        <v>2</v>
      </c>
      <c r="W269" s="51" t="n">
        <v>4</v>
      </c>
      <c r="X269" s="51" t="n">
        <v>2</v>
      </c>
      <c r="Y269" s="51" t="n">
        <v>2</v>
      </c>
      <c r="Z269" s="3" t="str">
        <f aca="false">VLOOKUP(A269,'Data Prep'!$A$5:$B$44,2,FALSE())</f>
        <v>KFC</v>
      </c>
      <c r="AA269" s="4" t="n">
        <f aca="false">COUNTBLANK(A269:Y269)</f>
        <v>0</v>
      </c>
    </row>
    <row r="270" customFormat="false" ht="12.75" hidden="false" customHeight="true" outlineLevel="0" collapsed="false">
      <c r="A270" s="45" t="s">
        <v>33</v>
      </c>
      <c r="B270" s="46" t="n">
        <v>1</v>
      </c>
      <c r="C270" s="46" t="n">
        <v>0</v>
      </c>
      <c r="D270" s="46" t="n">
        <v>0</v>
      </c>
      <c r="E270" s="46" t="n">
        <v>0</v>
      </c>
      <c r="F270" s="47" t="n">
        <v>0</v>
      </c>
      <c r="G270" s="48" t="n">
        <v>5</v>
      </c>
      <c r="H270" s="48" t="n">
        <v>5</v>
      </c>
      <c r="I270" s="48" t="n">
        <v>5</v>
      </c>
      <c r="J270" s="48" t="n">
        <v>5</v>
      </c>
      <c r="K270" s="48" t="n">
        <v>5</v>
      </c>
      <c r="L270" s="48" t="n">
        <v>4</v>
      </c>
      <c r="M270" s="49" t="n">
        <v>4</v>
      </c>
      <c r="N270" s="49" t="n">
        <v>4</v>
      </c>
      <c r="O270" s="49" t="n">
        <v>4</v>
      </c>
      <c r="P270" s="49" t="n">
        <v>5</v>
      </c>
      <c r="Q270" s="49" t="n">
        <v>5</v>
      </c>
      <c r="R270" s="49" t="n">
        <v>5</v>
      </c>
      <c r="S270" s="50" t="n">
        <v>0</v>
      </c>
      <c r="T270" s="50" t="n">
        <v>52</v>
      </c>
      <c r="U270" s="50" t="n">
        <v>42532</v>
      </c>
      <c r="V270" s="51" t="n">
        <v>1</v>
      </c>
      <c r="W270" s="51" t="n">
        <v>3</v>
      </c>
      <c r="X270" s="51" t="n">
        <v>2</v>
      </c>
      <c r="Y270" s="51" t="n">
        <v>1</v>
      </c>
      <c r="Z270" s="3" t="str">
        <f aca="false">VLOOKUP(A270,'Data Prep'!$A$5:$B$44,2,FALSE())</f>
        <v>In-n-out</v>
      </c>
      <c r="AA270" s="4" t="n">
        <f aca="false">COUNTBLANK(A270:Y270)</f>
        <v>0</v>
      </c>
    </row>
    <row r="271" customFormat="false" ht="12.75" hidden="false" customHeight="true" outlineLevel="0" collapsed="false">
      <c r="A271" s="45" t="s">
        <v>33</v>
      </c>
      <c r="B271" s="46" t="n">
        <v>1</v>
      </c>
      <c r="C271" s="46" t="n">
        <v>0</v>
      </c>
      <c r="D271" s="46" t="n">
        <v>0</v>
      </c>
      <c r="E271" s="46" t="n">
        <v>0</v>
      </c>
      <c r="F271" s="47" t="n">
        <v>0</v>
      </c>
      <c r="G271" s="48" t="n">
        <v>5</v>
      </c>
      <c r="H271" s="48" t="n">
        <v>4</v>
      </c>
      <c r="I271" s="48" t="n">
        <v>5</v>
      </c>
      <c r="J271" s="48" t="n">
        <v>5</v>
      </c>
      <c r="K271" s="48" t="n">
        <v>5</v>
      </c>
      <c r="L271" s="48" t="n">
        <v>4</v>
      </c>
      <c r="M271" s="49" t="n">
        <v>3</v>
      </c>
      <c r="N271" s="49" t="n">
        <v>3</v>
      </c>
      <c r="O271" s="49" t="n">
        <v>2</v>
      </c>
      <c r="P271" s="49" t="n">
        <v>3</v>
      </c>
      <c r="Q271" s="49" t="n">
        <v>4</v>
      </c>
      <c r="R271" s="49" t="n">
        <v>4</v>
      </c>
      <c r="S271" s="50" t="n">
        <v>0</v>
      </c>
      <c r="T271" s="50" t="n">
        <v>25</v>
      </c>
      <c r="U271" s="50" t="n">
        <v>17758</v>
      </c>
      <c r="V271" s="51" t="n">
        <v>2</v>
      </c>
      <c r="W271" s="51" t="n">
        <v>1</v>
      </c>
      <c r="X271" s="51" t="n">
        <v>1</v>
      </c>
      <c r="Y271" s="51" t="n">
        <v>1</v>
      </c>
      <c r="Z271" s="3" t="str">
        <f aca="false">VLOOKUP(A271,'Data Prep'!$A$5:$B$44,2,FALSE())</f>
        <v>In-n-out</v>
      </c>
      <c r="AA271" s="4" t="n">
        <f aca="false">COUNTBLANK(A271:Y271)</f>
        <v>0</v>
      </c>
    </row>
    <row r="272" customFormat="false" ht="12.75" hidden="false" customHeight="true" outlineLevel="0" collapsed="false">
      <c r="A272" s="45" t="s">
        <v>174</v>
      </c>
      <c r="B272" s="46" t="n">
        <v>1</v>
      </c>
      <c r="C272" s="46" t="n">
        <v>0</v>
      </c>
      <c r="D272" s="46" t="n">
        <v>0</v>
      </c>
      <c r="E272" s="46" t="n">
        <v>0</v>
      </c>
      <c r="F272" s="47" t="n">
        <v>0</v>
      </c>
      <c r="G272" s="48" t="n">
        <v>5</v>
      </c>
      <c r="H272" s="48" t="n">
        <v>4</v>
      </c>
      <c r="I272" s="48" t="n">
        <v>5</v>
      </c>
      <c r="J272" s="48" t="n">
        <v>5</v>
      </c>
      <c r="K272" s="48" t="n">
        <v>5</v>
      </c>
      <c r="L272" s="48" t="n">
        <v>5</v>
      </c>
      <c r="M272" s="49" t="n">
        <v>3</v>
      </c>
      <c r="N272" s="49" t="n">
        <v>3</v>
      </c>
      <c r="O272" s="49" t="n">
        <v>3</v>
      </c>
      <c r="P272" s="49" t="n">
        <v>3</v>
      </c>
      <c r="Q272" s="49" t="n">
        <v>3</v>
      </c>
      <c r="R272" s="49" t="n">
        <v>3</v>
      </c>
      <c r="S272" s="50" t="n">
        <v>0</v>
      </c>
      <c r="T272" s="50" t="n">
        <v>46</v>
      </c>
      <c r="U272" s="50" t="n">
        <v>48366</v>
      </c>
      <c r="V272" s="51" t="n">
        <v>3</v>
      </c>
      <c r="W272" s="51" t="n">
        <v>2</v>
      </c>
      <c r="X272" s="51" t="n">
        <v>2</v>
      </c>
      <c r="Y272" s="51" t="n">
        <v>2</v>
      </c>
      <c r="Z272" s="3" t="str">
        <f aca="false">VLOOKUP(A272,'Data Prep'!$A$5:$B$44,2,FALSE())</f>
        <v>McDonalds</v>
      </c>
      <c r="AA272" s="4" t="n">
        <f aca="false">COUNTBLANK(A272:Y272)</f>
        <v>0</v>
      </c>
    </row>
    <row r="273" customFormat="false" ht="12.75" hidden="false" customHeight="true" outlineLevel="0" collapsed="false">
      <c r="A273" s="45" t="s">
        <v>30</v>
      </c>
      <c r="B273" s="46" t="n">
        <v>1</v>
      </c>
      <c r="C273" s="46" t="n">
        <v>0</v>
      </c>
      <c r="D273" s="46" t="n">
        <v>0</v>
      </c>
      <c r="E273" s="46" t="n">
        <v>0</v>
      </c>
      <c r="F273" s="47" t="n">
        <v>0</v>
      </c>
      <c r="G273" s="48" t="n">
        <v>4</v>
      </c>
      <c r="H273" s="48" t="n">
        <v>4</v>
      </c>
      <c r="I273" s="48" t="n">
        <v>5</v>
      </c>
      <c r="J273" s="48" t="n">
        <v>5</v>
      </c>
      <c r="K273" s="48" t="n">
        <v>5</v>
      </c>
      <c r="L273" s="48" t="n">
        <v>4</v>
      </c>
      <c r="M273" s="49" t="n">
        <v>3</v>
      </c>
      <c r="N273" s="49" t="n">
        <v>3</v>
      </c>
      <c r="O273" s="49" t="n">
        <v>4</v>
      </c>
      <c r="P273" s="49" t="n">
        <v>5</v>
      </c>
      <c r="Q273" s="49" t="n">
        <v>4</v>
      </c>
      <c r="R273" s="49" t="n">
        <v>2</v>
      </c>
      <c r="S273" s="50" t="n">
        <v>0</v>
      </c>
      <c r="T273" s="50" t="n">
        <v>31</v>
      </c>
      <c r="U273" s="50" t="n">
        <v>47694</v>
      </c>
      <c r="V273" s="51" t="n">
        <v>1</v>
      </c>
      <c r="W273" s="51" t="n">
        <v>4</v>
      </c>
      <c r="X273" s="51" t="n">
        <v>2</v>
      </c>
      <c r="Y273" s="51" t="n">
        <v>1</v>
      </c>
      <c r="Z273" s="3" t="str">
        <f aca="false">VLOOKUP(A273,'Data Prep'!$A$5:$B$44,2,FALSE())</f>
        <v>Chipotle</v>
      </c>
      <c r="AA273" s="4" t="n">
        <f aca="false">COUNTBLANK(A273:Y273)</f>
        <v>0</v>
      </c>
    </row>
    <row r="274" customFormat="false" ht="12.75" hidden="false" customHeight="true" outlineLevel="0" collapsed="false">
      <c r="A274" s="45" t="s">
        <v>180</v>
      </c>
      <c r="B274" s="46" t="n">
        <v>0</v>
      </c>
      <c r="C274" s="46" t="n">
        <v>0</v>
      </c>
      <c r="D274" s="46" t="n">
        <v>1</v>
      </c>
      <c r="E274" s="46" t="n">
        <v>0</v>
      </c>
      <c r="F274" s="47" t="n">
        <v>2</v>
      </c>
      <c r="G274" s="48" t="n">
        <v>5</v>
      </c>
      <c r="H274" s="48" t="n">
        <v>4</v>
      </c>
      <c r="I274" s="48" t="n">
        <v>5</v>
      </c>
      <c r="J274" s="48" t="n">
        <v>4</v>
      </c>
      <c r="K274" s="48" t="n">
        <v>5</v>
      </c>
      <c r="L274" s="48" t="n">
        <v>4</v>
      </c>
      <c r="M274" s="49" t="n">
        <v>4</v>
      </c>
      <c r="N274" s="49" t="n">
        <v>4</v>
      </c>
      <c r="O274" s="49" t="n">
        <v>4</v>
      </c>
      <c r="P274" s="49" t="n">
        <v>5</v>
      </c>
      <c r="Q274" s="49" t="n">
        <v>5</v>
      </c>
      <c r="R274" s="49" t="n">
        <v>4</v>
      </c>
      <c r="S274" s="50" t="n">
        <v>1</v>
      </c>
      <c r="T274" s="50" t="n">
        <v>33</v>
      </c>
      <c r="U274" s="50" t="n">
        <v>37626</v>
      </c>
      <c r="V274" s="51" t="n">
        <v>3</v>
      </c>
      <c r="W274" s="51" t="n">
        <v>2</v>
      </c>
      <c r="X274" s="51" t="n">
        <v>1</v>
      </c>
      <c r="Y274" s="51" t="n">
        <v>2</v>
      </c>
      <c r="Z274" s="3" t="str">
        <f aca="false">VLOOKUP(A274,'Data Prep'!$A$5:$B$44,2,FALSE())</f>
        <v>Panera Bread</v>
      </c>
      <c r="AA274" s="4" t="n">
        <f aca="false">COUNTBLANK(A274:Y274)</f>
        <v>0</v>
      </c>
    </row>
    <row r="275" customFormat="false" ht="12.75" hidden="false" customHeight="true" outlineLevel="0" collapsed="false">
      <c r="A275" s="45" t="s">
        <v>180</v>
      </c>
      <c r="B275" s="46" t="n">
        <v>1</v>
      </c>
      <c r="C275" s="46" t="n">
        <v>0</v>
      </c>
      <c r="D275" s="46" t="n">
        <v>0</v>
      </c>
      <c r="E275" s="46" t="n">
        <v>0</v>
      </c>
      <c r="F275" s="47" t="n">
        <v>0</v>
      </c>
      <c r="G275" s="48" t="n">
        <v>2</v>
      </c>
      <c r="H275" s="48" t="n">
        <v>5</v>
      </c>
      <c r="I275" s="48" t="n">
        <v>5</v>
      </c>
      <c r="J275" s="48" t="n">
        <v>5</v>
      </c>
      <c r="K275" s="48" t="n">
        <v>5</v>
      </c>
      <c r="L275" s="48" t="n">
        <v>4</v>
      </c>
      <c r="M275" s="49" t="n">
        <v>5</v>
      </c>
      <c r="N275" s="49" t="n">
        <v>5</v>
      </c>
      <c r="O275" s="49" t="n">
        <v>3</v>
      </c>
      <c r="P275" s="49" t="n">
        <v>5</v>
      </c>
      <c r="Q275" s="49" t="n">
        <v>5</v>
      </c>
      <c r="R275" s="49" t="n">
        <v>4</v>
      </c>
      <c r="S275" s="50" t="n">
        <v>0</v>
      </c>
      <c r="T275" s="50" t="n">
        <v>34</v>
      </c>
      <c r="U275" s="50" t="n">
        <v>61260</v>
      </c>
      <c r="V275" s="51" t="n">
        <v>2</v>
      </c>
      <c r="W275" s="51" t="n">
        <v>2</v>
      </c>
      <c r="X275" s="51" t="n">
        <v>3</v>
      </c>
      <c r="Y275" s="51" t="n">
        <v>1</v>
      </c>
      <c r="Z275" s="3" t="str">
        <f aca="false">VLOOKUP(A275,'Data Prep'!$A$5:$B$44,2,FALSE())</f>
        <v>Panera Bread</v>
      </c>
      <c r="AA275" s="4" t="n">
        <f aca="false">COUNTBLANK(A275:Y275)</f>
        <v>0</v>
      </c>
    </row>
    <row r="276" customFormat="false" ht="12.75" hidden="false" customHeight="true" outlineLevel="0" collapsed="false">
      <c r="A276" s="45" t="s">
        <v>180</v>
      </c>
      <c r="B276" s="46" t="n">
        <v>1</v>
      </c>
      <c r="C276" s="46" t="n">
        <v>0</v>
      </c>
      <c r="D276" s="46" t="n">
        <v>0</v>
      </c>
      <c r="E276" s="46" t="n">
        <v>0</v>
      </c>
      <c r="F276" s="47" t="n">
        <v>0</v>
      </c>
      <c r="G276" s="48" t="n">
        <v>5</v>
      </c>
      <c r="H276" s="48" t="n">
        <v>5</v>
      </c>
      <c r="I276" s="48" t="n">
        <v>5</v>
      </c>
      <c r="J276" s="48" t="n">
        <v>5</v>
      </c>
      <c r="K276" s="48" t="n">
        <v>5</v>
      </c>
      <c r="L276" s="48" t="n">
        <v>5</v>
      </c>
      <c r="M276" s="49" t="n">
        <v>5</v>
      </c>
      <c r="N276" s="49" t="n">
        <v>5</v>
      </c>
      <c r="O276" s="49" t="n">
        <v>5</v>
      </c>
      <c r="P276" s="49" t="n">
        <v>5</v>
      </c>
      <c r="Q276" s="49" t="n">
        <v>5</v>
      </c>
      <c r="R276" s="49" t="n">
        <v>5</v>
      </c>
      <c r="S276" s="50" t="n">
        <v>1</v>
      </c>
      <c r="T276" s="50" t="n">
        <v>23</v>
      </c>
      <c r="U276" s="50" t="n">
        <v>20712</v>
      </c>
      <c r="V276" s="51" t="n">
        <v>1</v>
      </c>
      <c r="W276" s="51" t="n">
        <v>3</v>
      </c>
      <c r="X276" s="51" t="n">
        <v>1</v>
      </c>
      <c r="Y276" s="51" t="n">
        <v>1</v>
      </c>
      <c r="Z276" s="3" t="str">
        <f aca="false">VLOOKUP(A276,'Data Prep'!$A$5:$B$44,2,FALSE())</f>
        <v>Panera Bread</v>
      </c>
      <c r="AA276" s="4" t="n">
        <f aca="false">COUNTBLANK(A276:Y276)</f>
        <v>0</v>
      </c>
    </row>
    <row r="277" customFormat="false" ht="12.75" hidden="false" customHeight="true" outlineLevel="0" collapsed="false">
      <c r="A277" s="45" t="s">
        <v>30</v>
      </c>
      <c r="B277" s="46" t="n">
        <v>1</v>
      </c>
      <c r="C277" s="46" t="n">
        <v>1</v>
      </c>
      <c r="D277" s="46" t="n">
        <v>0</v>
      </c>
      <c r="E277" s="46" t="n">
        <v>0</v>
      </c>
      <c r="F277" s="47" t="n">
        <v>0</v>
      </c>
      <c r="G277" s="48" t="n">
        <v>5</v>
      </c>
      <c r="H277" s="48" t="n">
        <v>5</v>
      </c>
      <c r="I277" s="48" t="n">
        <v>5</v>
      </c>
      <c r="J277" s="48" t="n">
        <v>5</v>
      </c>
      <c r="K277" s="48" t="n">
        <v>5</v>
      </c>
      <c r="L277" s="48" t="n">
        <v>5</v>
      </c>
      <c r="M277" s="49" t="n">
        <v>5</v>
      </c>
      <c r="N277" s="49" t="n">
        <v>5</v>
      </c>
      <c r="O277" s="49" t="n">
        <v>5</v>
      </c>
      <c r="P277" s="49" t="n">
        <v>5</v>
      </c>
      <c r="Q277" s="49" t="n">
        <v>5</v>
      </c>
      <c r="R277" s="49" t="n">
        <v>5</v>
      </c>
      <c r="S277" s="50" t="n">
        <v>0</v>
      </c>
      <c r="T277" s="50" t="n">
        <v>22</v>
      </c>
      <c r="U277" s="50" t="n">
        <v>19033</v>
      </c>
      <c r="V277" s="51" t="n">
        <v>2</v>
      </c>
      <c r="W277" s="51" t="n">
        <v>3</v>
      </c>
      <c r="X277" s="51" t="n">
        <v>3</v>
      </c>
      <c r="Y277" s="51" t="n">
        <v>1</v>
      </c>
      <c r="Z277" s="3" t="str">
        <f aca="false">VLOOKUP(A277,'Data Prep'!$A$5:$B$44,2,FALSE())</f>
        <v>Chipotle</v>
      </c>
      <c r="AA277" s="4" t="n">
        <f aca="false">COUNTBLANK(A277:Y277)</f>
        <v>0</v>
      </c>
    </row>
    <row r="278" customFormat="false" ht="12.75" hidden="false" customHeight="true" outlineLevel="0" collapsed="false">
      <c r="A278" s="45" t="s">
        <v>30</v>
      </c>
      <c r="B278" s="46" t="n">
        <v>1</v>
      </c>
      <c r="C278" s="46" t="n">
        <v>0</v>
      </c>
      <c r="D278" s="46" t="n">
        <v>0</v>
      </c>
      <c r="E278" s="46" t="n">
        <v>0</v>
      </c>
      <c r="F278" s="47" t="n">
        <v>0</v>
      </c>
      <c r="G278" s="48" t="n">
        <v>5</v>
      </c>
      <c r="H278" s="48" t="n">
        <v>3</v>
      </c>
      <c r="I278" s="48" t="n">
        <v>3</v>
      </c>
      <c r="J278" s="48" t="n">
        <v>3</v>
      </c>
      <c r="K278" s="48" t="n">
        <v>5</v>
      </c>
      <c r="L278" s="48" t="n">
        <v>3</v>
      </c>
      <c r="M278" s="49" t="n">
        <v>4</v>
      </c>
      <c r="N278" s="49" t="n">
        <v>3</v>
      </c>
      <c r="O278" s="49" t="n">
        <v>3</v>
      </c>
      <c r="P278" s="49" t="n">
        <v>3</v>
      </c>
      <c r="Q278" s="49" t="n">
        <v>4</v>
      </c>
      <c r="R278" s="49" t="n">
        <v>2</v>
      </c>
      <c r="S278" s="50" t="n">
        <v>0</v>
      </c>
      <c r="T278" s="50" t="n">
        <v>28</v>
      </c>
      <c r="U278" s="50" t="n">
        <v>59410</v>
      </c>
      <c r="V278" s="51" t="n">
        <v>1</v>
      </c>
      <c r="W278" s="51" t="n">
        <v>3</v>
      </c>
      <c r="X278" s="51" t="n">
        <v>1</v>
      </c>
      <c r="Y278" s="51" t="n">
        <v>2</v>
      </c>
      <c r="Z278" s="3" t="str">
        <f aca="false">VLOOKUP(A278,'Data Prep'!$A$5:$B$44,2,FALSE())</f>
        <v>Chipotle</v>
      </c>
      <c r="AA278" s="4" t="n">
        <f aca="false">COUNTBLANK(A278:Y278)</f>
        <v>0</v>
      </c>
    </row>
    <row r="279" customFormat="false" ht="12.75" hidden="false" customHeight="true" outlineLevel="0" collapsed="false">
      <c r="A279" s="45" t="s">
        <v>33</v>
      </c>
      <c r="B279" s="46" t="n">
        <v>0</v>
      </c>
      <c r="C279" s="46" t="n">
        <v>0</v>
      </c>
      <c r="D279" s="46" t="n">
        <v>1</v>
      </c>
      <c r="E279" s="46" t="n">
        <v>0</v>
      </c>
      <c r="F279" s="47" t="n">
        <v>4</v>
      </c>
      <c r="G279" s="48" t="n">
        <v>5</v>
      </c>
      <c r="H279" s="48" t="n">
        <v>5</v>
      </c>
      <c r="I279" s="48" t="n">
        <v>5</v>
      </c>
      <c r="J279" s="48" t="n">
        <v>5</v>
      </c>
      <c r="K279" s="48" t="n">
        <v>5</v>
      </c>
      <c r="L279" s="48" t="n">
        <v>4</v>
      </c>
      <c r="M279" s="49" t="n">
        <v>2</v>
      </c>
      <c r="N279" s="49" t="n">
        <v>4</v>
      </c>
      <c r="O279" s="49" t="n">
        <v>3</v>
      </c>
      <c r="P279" s="49" t="n">
        <v>4</v>
      </c>
      <c r="Q279" s="49" t="n">
        <v>5</v>
      </c>
      <c r="R279" s="49" t="n">
        <v>4</v>
      </c>
      <c r="S279" s="50" t="n">
        <v>0</v>
      </c>
      <c r="T279" s="50" t="n">
        <v>22</v>
      </c>
      <c r="U279" s="50" t="n">
        <v>46774</v>
      </c>
      <c r="V279" s="51" t="n">
        <v>2</v>
      </c>
      <c r="W279" s="51" t="n">
        <v>1</v>
      </c>
      <c r="X279" s="51" t="n">
        <v>2</v>
      </c>
      <c r="Y279" s="51" t="n">
        <v>2</v>
      </c>
      <c r="Z279" s="3" t="str">
        <f aca="false">VLOOKUP(A279,'Data Prep'!$A$5:$B$44,2,FALSE())</f>
        <v>In-n-out</v>
      </c>
      <c r="AA279" s="4" t="n">
        <f aca="false">COUNTBLANK(A279:Y279)</f>
        <v>0</v>
      </c>
    </row>
    <row r="280" customFormat="false" ht="12.75" hidden="false" customHeight="true" outlineLevel="0" collapsed="false">
      <c r="A280" s="45" t="s">
        <v>33</v>
      </c>
      <c r="B280" s="46" t="n">
        <v>0</v>
      </c>
      <c r="C280" s="46" t="n">
        <v>0</v>
      </c>
      <c r="D280" s="46" t="n">
        <v>0</v>
      </c>
      <c r="E280" s="46" t="n">
        <v>0</v>
      </c>
      <c r="F280" s="47" t="n">
        <v>0</v>
      </c>
      <c r="G280" s="48" t="n">
        <v>5</v>
      </c>
      <c r="H280" s="48" t="n">
        <v>4</v>
      </c>
      <c r="I280" s="48" t="n">
        <v>5</v>
      </c>
      <c r="J280" s="48" t="n">
        <v>5</v>
      </c>
      <c r="K280" s="48" t="n">
        <v>5</v>
      </c>
      <c r="L280" s="48" t="n">
        <v>4</v>
      </c>
      <c r="M280" s="49" t="n">
        <v>4</v>
      </c>
      <c r="N280" s="49" t="n">
        <v>4</v>
      </c>
      <c r="O280" s="49" t="n">
        <v>4</v>
      </c>
      <c r="P280" s="49" t="n">
        <v>4</v>
      </c>
      <c r="Q280" s="49" t="n">
        <v>4</v>
      </c>
      <c r="R280" s="49" t="n">
        <v>4</v>
      </c>
      <c r="S280" s="50" t="n">
        <v>0</v>
      </c>
      <c r="T280" s="50" t="n">
        <v>56</v>
      </c>
      <c r="U280" s="50" t="n">
        <v>44952</v>
      </c>
      <c r="V280" s="51" t="n">
        <v>2</v>
      </c>
      <c r="W280" s="51" t="n">
        <v>3</v>
      </c>
      <c r="X280" s="51" t="n">
        <v>2</v>
      </c>
      <c r="Y280" s="51" t="n">
        <v>1</v>
      </c>
      <c r="Z280" s="3" t="str">
        <f aca="false">VLOOKUP(A280,'Data Prep'!$A$5:$B$44,2,FALSE())</f>
        <v>In-n-out</v>
      </c>
      <c r="AA280" s="4" t="n">
        <f aca="false">COUNTBLANK(A280:Y280)</f>
        <v>0</v>
      </c>
    </row>
    <row r="281" customFormat="false" ht="12.75" hidden="false" customHeight="true" outlineLevel="0" collapsed="false">
      <c r="A281" s="45" t="s">
        <v>42</v>
      </c>
      <c r="B281" s="46" t="n">
        <v>0</v>
      </c>
      <c r="C281" s="46" t="n">
        <v>0</v>
      </c>
      <c r="D281" s="46" t="n">
        <v>1</v>
      </c>
      <c r="E281" s="46" t="n">
        <v>0</v>
      </c>
      <c r="F281" s="47" t="n">
        <v>0</v>
      </c>
      <c r="G281" s="48" t="n">
        <v>3</v>
      </c>
      <c r="H281" s="48" t="n">
        <v>4</v>
      </c>
      <c r="I281" s="48" t="n">
        <v>4</v>
      </c>
      <c r="J281" s="48" t="n">
        <v>4</v>
      </c>
      <c r="K281" s="48" t="n">
        <v>5</v>
      </c>
      <c r="L281" s="48" t="n">
        <v>4</v>
      </c>
      <c r="M281" s="49" t="n">
        <v>3</v>
      </c>
      <c r="N281" s="49" t="n">
        <v>5</v>
      </c>
      <c r="O281" s="49" t="n">
        <v>4</v>
      </c>
      <c r="P281" s="49" t="n">
        <v>4</v>
      </c>
      <c r="Q281" s="49" t="n">
        <v>5</v>
      </c>
      <c r="R281" s="49" t="n">
        <v>5</v>
      </c>
      <c r="S281" s="50" t="n">
        <v>1</v>
      </c>
      <c r="T281" s="50" t="n">
        <v>51</v>
      </c>
      <c r="U281" s="50" t="n">
        <v>25063</v>
      </c>
      <c r="V281" s="51" t="n">
        <v>3</v>
      </c>
      <c r="W281" s="51" t="n">
        <v>4</v>
      </c>
      <c r="X281" s="51" t="n">
        <v>2</v>
      </c>
      <c r="Y281" s="51" t="n">
        <v>2</v>
      </c>
      <c r="Z281" s="3" t="str">
        <f aca="false">VLOOKUP(A281,'Data Prep'!$A$5:$B$44,2,FALSE())</f>
        <v>Subway</v>
      </c>
      <c r="AA281" s="4" t="n">
        <f aca="false">COUNTBLANK(A281:Y281)</f>
        <v>0</v>
      </c>
    </row>
    <row r="282" customFormat="false" ht="12.75" hidden="false" customHeight="true" outlineLevel="0" collapsed="false">
      <c r="A282" s="45" t="s">
        <v>35</v>
      </c>
      <c r="B282" s="46" t="n">
        <v>1</v>
      </c>
      <c r="C282" s="46" t="n">
        <v>0</v>
      </c>
      <c r="D282" s="46" t="n">
        <v>0</v>
      </c>
      <c r="E282" s="46" t="n">
        <v>0</v>
      </c>
      <c r="F282" s="47" t="n">
        <v>0</v>
      </c>
      <c r="G282" s="48" t="n">
        <v>5</v>
      </c>
      <c r="H282" s="48" t="n">
        <v>5</v>
      </c>
      <c r="I282" s="48" t="n">
        <v>5</v>
      </c>
      <c r="J282" s="48" t="n">
        <v>5</v>
      </c>
      <c r="K282" s="48" t="n">
        <v>5</v>
      </c>
      <c r="L282" s="48" t="n">
        <v>5</v>
      </c>
      <c r="M282" s="49" t="n">
        <v>3</v>
      </c>
      <c r="N282" s="49" t="n">
        <v>4</v>
      </c>
      <c r="O282" s="49" t="n">
        <v>3</v>
      </c>
      <c r="P282" s="49" t="n">
        <v>4</v>
      </c>
      <c r="Q282" s="49" t="n">
        <v>5</v>
      </c>
      <c r="R282" s="49" t="n">
        <v>3</v>
      </c>
      <c r="S282" s="50" t="n">
        <v>0</v>
      </c>
      <c r="T282" s="50" t="n">
        <v>33</v>
      </c>
      <c r="U282" s="50" t="n">
        <v>20022</v>
      </c>
      <c r="V282" s="51" t="n">
        <v>1</v>
      </c>
      <c r="W282" s="51" t="n">
        <v>2</v>
      </c>
      <c r="X282" s="51" t="n">
        <v>2</v>
      </c>
      <c r="Y282" s="51" t="n">
        <v>2</v>
      </c>
      <c r="Z282" s="3" t="str">
        <f aca="false">VLOOKUP(A282,'Data Prep'!$A$5:$B$44,2,FALSE())</f>
        <v>KFC</v>
      </c>
      <c r="AA282" s="4" t="n">
        <f aca="false">COUNTBLANK(A282:Y282)</f>
        <v>0</v>
      </c>
    </row>
    <row r="283" customFormat="false" ht="12.75" hidden="false" customHeight="true" outlineLevel="0" collapsed="false">
      <c r="A283" s="45" t="s">
        <v>33</v>
      </c>
      <c r="B283" s="46" t="n">
        <v>1</v>
      </c>
      <c r="C283" s="46" t="n">
        <v>0</v>
      </c>
      <c r="D283" s="46" t="n">
        <v>0</v>
      </c>
      <c r="E283" s="46" t="n">
        <v>0</v>
      </c>
      <c r="F283" s="47" t="n">
        <v>0</v>
      </c>
      <c r="G283" s="48" t="n">
        <v>5</v>
      </c>
      <c r="H283" s="48" t="n">
        <v>4</v>
      </c>
      <c r="I283" s="48" t="n">
        <v>5</v>
      </c>
      <c r="J283" s="48" t="n">
        <v>4</v>
      </c>
      <c r="K283" s="48" t="n">
        <v>5</v>
      </c>
      <c r="L283" s="48" t="n">
        <v>4</v>
      </c>
      <c r="M283" s="49" t="n">
        <v>5</v>
      </c>
      <c r="N283" s="49" t="n">
        <v>4</v>
      </c>
      <c r="O283" s="49" t="n">
        <v>3</v>
      </c>
      <c r="P283" s="49" t="n">
        <v>4</v>
      </c>
      <c r="Q283" s="49" t="n">
        <v>4</v>
      </c>
      <c r="R283" s="49" t="n">
        <v>3</v>
      </c>
      <c r="S283" s="50" t="n">
        <v>0</v>
      </c>
      <c r="T283" s="50" t="n">
        <v>55</v>
      </c>
      <c r="U283" s="50" t="n">
        <v>39912</v>
      </c>
      <c r="V283" s="51" t="n">
        <v>2</v>
      </c>
      <c r="W283" s="51" t="n">
        <v>4</v>
      </c>
      <c r="X283" s="51" t="n">
        <v>2</v>
      </c>
      <c r="Y283" s="51" t="n">
        <v>2</v>
      </c>
      <c r="Z283" s="3" t="str">
        <f aca="false">VLOOKUP(A283,'Data Prep'!$A$5:$B$44,2,FALSE())</f>
        <v>In-n-out</v>
      </c>
      <c r="AA283" s="4" t="n">
        <f aca="false">COUNTBLANK(A283:Y283)</f>
        <v>0</v>
      </c>
    </row>
    <row r="284" customFormat="false" ht="12.75" hidden="false" customHeight="true" outlineLevel="0" collapsed="false">
      <c r="A284" s="45" t="s">
        <v>42</v>
      </c>
      <c r="B284" s="46" t="n">
        <v>0</v>
      </c>
      <c r="C284" s="46" t="n">
        <v>0</v>
      </c>
      <c r="D284" s="46" t="n">
        <v>1</v>
      </c>
      <c r="E284" s="46" t="n">
        <v>0</v>
      </c>
      <c r="F284" s="47" t="n">
        <v>0</v>
      </c>
      <c r="G284" s="48" t="n">
        <v>5</v>
      </c>
      <c r="H284" s="48" t="n">
        <v>5</v>
      </c>
      <c r="I284" s="48" t="n">
        <v>4</v>
      </c>
      <c r="J284" s="48" t="n">
        <v>4</v>
      </c>
      <c r="K284" s="48" t="n">
        <v>5</v>
      </c>
      <c r="L284" s="48" t="n">
        <v>4</v>
      </c>
      <c r="M284" s="49" t="n">
        <v>5</v>
      </c>
      <c r="N284" s="49" t="n">
        <v>4</v>
      </c>
      <c r="O284" s="49" t="n">
        <v>5</v>
      </c>
      <c r="P284" s="49" t="n">
        <v>5</v>
      </c>
      <c r="Q284" s="49" t="n">
        <v>5</v>
      </c>
      <c r="R284" s="49" t="n">
        <v>5</v>
      </c>
      <c r="S284" s="50" t="n">
        <v>1</v>
      </c>
      <c r="T284" s="50" t="n">
        <v>66</v>
      </c>
      <c r="U284" s="50" t="n">
        <v>16627</v>
      </c>
      <c r="V284" s="51" t="n">
        <v>2</v>
      </c>
      <c r="W284" s="51" t="n">
        <v>2</v>
      </c>
      <c r="X284" s="51" t="n">
        <v>3</v>
      </c>
      <c r="Y284" s="51" t="n">
        <v>2</v>
      </c>
      <c r="Z284" s="3" t="str">
        <f aca="false">VLOOKUP(A284,'Data Prep'!$A$5:$B$44,2,FALSE())</f>
        <v>Subway</v>
      </c>
      <c r="AA284" s="4" t="n">
        <f aca="false">COUNTBLANK(A284:Y284)</f>
        <v>0</v>
      </c>
    </row>
    <row r="285" customFormat="false" ht="12.75" hidden="false" customHeight="true" outlineLevel="0" collapsed="false">
      <c r="A285" s="45" t="s">
        <v>180</v>
      </c>
      <c r="B285" s="46" t="n">
        <v>0</v>
      </c>
      <c r="C285" s="46" t="n">
        <v>0</v>
      </c>
      <c r="D285" s="46" t="n">
        <v>1</v>
      </c>
      <c r="E285" s="46" t="n">
        <v>0</v>
      </c>
      <c r="F285" s="47" t="n">
        <v>0</v>
      </c>
      <c r="G285" s="48" t="n">
        <v>5</v>
      </c>
      <c r="H285" s="48" t="n">
        <v>4</v>
      </c>
      <c r="I285" s="48" t="n">
        <v>4</v>
      </c>
      <c r="J285" s="48" t="n">
        <v>4</v>
      </c>
      <c r="K285" s="48" t="n">
        <v>4</v>
      </c>
      <c r="L285" s="48" t="n">
        <v>4</v>
      </c>
      <c r="M285" s="49" t="n">
        <v>4</v>
      </c>
      <c r="N285" s="49" t="n">
        <v>3</v>
      </c>
      <c r="O285" s="49" t="n">
        <v>5</v>
      </c>
      <c r="P285" s="49" t="n">
        <v>5</v>
      </c>
      <c r="Q285" s="49" t="n">
        <v>5</v>
      </c>
      <c r="R285" s="49" t="n">
        <v>5</v>
      </c>
      <c r="S285" s="50" t="n">
        <v>1</v>
      </c>
      <c r="T285" s="50" t="n">
        <v>48</v>
      </c>
      <c r="U285" s="50" t="n">
        <v>16897</v>
      </c>
      <c r="V285" s="51" t="n">
        <v>2</v>
      </c>
      <c r="W285" s="51" t="n">
        <v>2</v>
      </c>
      <c r="X285" s="51" t="n">
        <v>1</v>
      </c>
      <c r="Y285" s="51" t="n">
        <v>2</v>
      </c>
      <c r="Z285" s="3" t="str">
        <f aca="false">VLOOKUP(A285,'Data Prep'!$A$5:$B$44,2,FALSE())</f>
        <v>Panera Bread</v>
      </c>
      <c r="AA285" s="4" t="n">
        <f aca="false">COUNTBLANK(A285:Y285)</f>
        <v>0</v>
      </c>
    </row>
    <row r="286" customFormat="false" ht="12.75" hidden="false" customHeight="true" outlineLevel="0" collapsed="false">
      <c r="A286" s="45" t="s">
        <v>33</v>
      </c>
      <c r="B286" s="46" t="n">
        <v>0</v>
      </c>
      <c r="C286" s="46" t="n">
        <v>1</v>
      </c>
      <c r="D286" s="46" t="n">
        <v>0</v>
      </c>
      <c r="E286" s="46" t="n">
        <v>0</v>
      </c>
      <c r="F286" s="47" t="n">
        <v>2</v>
      </c>
      <c r="G286" s="48" t="n">
        <v>4</v>
      </c>
      <c r="H286" s="48" t="n">
        <v>3</v>
      </c>
      <c r="I286" s="48" t="n">
        <v>3</v>
      </c>
      <c r="J286" s="48" t="n">
        <v>4</v>
      </c>
      <c r="K286" s="48" t="n">
        <v>5</v>
      </c>
      <c r="L286" s="48" t="n">
        <v>4</v>
      </c>
      <c r="M286" s="49" t="n">
        <v>2</v>
      </c>
      <c r="N286" s="49" t="n">
        <v>3</v>
      </c>
      <c r="O286" s="49" t="n">
        <v>3</v>
      </c>
      <c r="P286" s="49" t="n">
        <v>4</v>
      </c>
      <c r="Q286" s="49" t="n">
        <v>3</v>
      </c>
      <c r="R286" s="49" t="n">
        <v>3</v>
      </c>
      <c r="S286" s="50" t="n">
        <v>0</v>
      </c>
      <c r="T286" s="50" t="n">
        <v>33</v>
      </c>
      <c r="U286" s="50" t="n">
        <v>77253</v>
      </c>
      <c r="V286" s="51" t="n">
        <v>3</v>
      </c>
      <c r="W286" s="51" t="n">
        <v>4</v>
      </c>
      <c r="X286" s="51" t="n">
        <v>2</v>
      </c>
      <c r="Y286" s="51" t="n">
        <v>2</v>
      </c>
      <c r="Z286" s="3" t="str">
        <f aca="false">VLOOKUP(A286,'Data Prep'!$A$5:$B$44,2,FALSE())</f>
        <v>In-n-out</v>
      </c>
      <c r="AA286" s="4" t="n">
        <f aca="false">COUNTBLANK(A286:Y286)</f>
        <v>0</v>
      </c>
    </row>
    <row r="287" customFormat="false" ht="12.75" hidden="false" customHeight="true" outlineLevel="0" collapsed="false">
      <c r="A287" s="45" t="s">
        <v>180</v>
      </c>
      <c r="B287" s="46" t="n">
        <v>0</v>
      </c>
      <c r="C287" s="46" t="n">
        <v>0</v>
      </c>
      <c r="D287" s="46" t="n">
        <v>1</v>
      </c>
      <c r="E287" s="46" t="n">
        <v>0</v>
      </c>
      <c r="F287" s="47" t="n">
        <v>0</v>
      </c>
      <c r="G287" s="48" t="n">
        <v>4</v>
      </c>
      <c r="H287" s="48" t="n">
        <v>4</v>
      </c>
      <c r="I287" s="48" t="n">
        <v>5</v>
      </c>
      <c r="J287" s="48" t="n">
        <v>5</v>
      </c>
      <c r="K287" s="48" t="n">
        <v>5</v>
      </c>
      <c r="L287" s="48" t="n">
        <v>5</v>
      </c>
      <c r="M287" s="49" t="n">
        <v>3</v>
      </c>
      <c r="N287" s="49" t="n">
        <v>3</v>
      </c>
      <c r="O287" s="49" t="n">
        <v>3</v>
      </c>
      <c r="P287" s="49" t="n">
        <v>3</v>
      </c>
      <c r="Q287" s="49" t="n">
        <v>3</v>
      </c>
      <c r="R287" s="49" t="n">
        <v>3</v>
      </c>
      <c r="S287" s="50" t="n">
        <v>0</v>
      </c>
      <c r="T287" s="50" t="n">
        <v>49</v>
      </c>
      <c r="U287" s="50" t="n">
        <v>54750</v>
      </c>
      <c r="V287" s="51" t="n">
        <v>1</v>
      </c>
      <c r="W287" s="51" t="n">
        <v>4</v>
      </c>
      <c r="X287" s="51" t="n">
        <v>2</v>
      </c>
      <c r="Y287" s="51" t="n">
        <v>1</v>
      </c>
      <c r="Z287" s="3" t="str">
        <f aca="false">VLOOKUP(A287,'Data Prep'!$A$5:$B$44,2,FALSE())</f>
        <v>Panera Bread</v>
      </c>
      <c r="AA287" s="4" t="n">
        <f aca="false">COUNTBLANK(A287:Y287)</f>
        <v>0</v>
      </c>
    </row>
    <row r="288" customFormat="false" ht="12.75" hidden="false" customHeight="true" outlineLevel="0" collapsed="false">
      <c r="A288" s="45" t="s">
        <v>42</v>
      </c>
      <c r="B288" s="46" t="n">
        <v>1</v>
      </c>
      <c r="C288" s="46" t="n">
        <v>0</v>
      </c>
      <c r="D288" s="46" t="n">
        <v>0</v>
      </c>
      <c r="E288" s="46" t="n">
        <v>0</v>
      </c>
      <c r="F288" s="47" t="n">
        <v>0</v>
      </c>
      <c r="G288" s="48" t="n">
        <v>5</v>
      </c>
      <c r="H288" s="48" t="n">
        <v>5</v>
      </c>
      <c r="I288" s="48" t="n">
        <v>5</v>
      </c>
      <c r="J288" s="48" t="n">
        <v>5</v>
      </c>
      <c r="K288" s="48" t="n">
        <v>5</v>
      </c>
      <c r="L288" s="48" t="n">
        <v>5</v>
      </c>
      <c r="M288" s="49" t="n">
        <v>3</v>
      </c>
      <c r="N288" s="49" t="n">
        <v>4</v>
      </c>
      <c r="O288" s="49" t="n">
        <v>3</v>
      </c>
      <c r="P288" s="49" t="n">
        <v>4</v>
      </c>
      <c r="Q288" s="49" t="n">
        <v>4</v>
      </c>
      <c r="R288" s="49" t="n">
        <v>4</v>
      </c>
      <c r="S288" s="50" t="n">
        <v>0</v>
      </c>
      <c r="T288" s="50" t="n">
        <v>29</v>
      </c>
      <c r="U288" s="50" t="n">
        <v>35972</v>
      </c>
      <c r="V288" s="51" t="n">
        <v>1</v>
      </c>
      <c r="W288" s="51" t="n">
        <v>4</v>
      </c>
      <c r="X288" s="51" t="n">
        <v>1</v>
      </c>
      <c r="Y288" s="51" t="n">
        <v>1</v>
      </c>
      <c r="Z288" s="3" t="str">
        <f aca="false">VLOOKUP(A288,'Data Prep'!$A$5:$B$44,2,FALSE())</f>
        <v>Subway</v>
      </c>
      <c r="AA288" s="4" t="n">
        <f aca="false">COUNTBLANK(A288:Y288)</f>
        <v>0</v>
      </c>
    </row>
    <row r="289" customFormat="false" ht="12.75" hidden="false" customHeight="true" outlineLevel="0" collapsed="false">
      <c r="A289" s="45" t="s">
        <v>42</v>
      </c>
      <c r="B289" s="46" t="n">
        <v>1</v>
      </c>
      <c r="C289" s="46" t="n">
        <v>0</v>
      </c>
      <c r="D289" s="46" t="n">
        <v>0</v>
      </c>
      <c r="E289" s="46" t="n">
        <v>0</v>
      </c>
      <c r="F289" s="47" t="n">
        <v>0</v>
      </c>
      <c r="G289" s="48" t="n">
        <v>4</v>
      </c>
      <c r="H289" s="48" t="n">
        <v>3</v>
      </c>
      <c r="I289" s="48" t="n">
        <v>5</v>
      </c>
      <c r="J289" s="48" t="n">
        <v>5</v>
      </c>
      <c r="K289" s="48" t="n">
        <v>5</v>
      </c>
      <c r="L289" s="48" t="n">
        <v>4</v>
      </c>
      <c r="M289" s="49" t="n">
        <v>3</v>
      </c>
      <c r="N289" s="49" t="n">
        <v>3</v>
      </c>
      <c r="O289" s="49" t="n">
        <v>2</v>
      </c>
      <c r="P289" s="49" t="n">
        <v>5</v>
      </c>
      <c r="Q289" s="49" t="n">
        <v>4</v>
      </c>
      <c r="R289" s="49" t="n">
        <v>4</v>
      </c>
      <c r="S289" s="50" t="n">
        <v>0</v>
      </c>
      <c r="T289" s="50" t="n">
        <v>33</v>
      </c>
      <c r="U289" s="50" t="n">
        <v>35714</v>
      </c>
      <c r="V289" s="51" t="n">
        <v>1</v>
      </c>
      <c r="W289" s="51" t="n">
        <v>3</v>
      </c>
      <c r="X289" s="51" t="n">
        <v>2</v>
      </c>
      <c r="Y289" s="51" t="n">
        <v>1</v>
      </c>
      <c r="Z289" s="3" t="str">
        <f aca="false">VLOOKUP(A289,'Data Prep'!$A$5:$B$44,2,FALSE())</f>
        <v>Subway</v>
      </c>
      <c r="AA289" s="4" t="n">
        <f aca="false">COUNTBLANK(A289:Y289)</f>
        <v>0</v>
      </c>
    </row>
    <row r="290" customFormat="false" ht="12.75" hidden="false" customHeight="true" outlineLevel="0" collapsed="false">
      <c r="A290" s="45" t="s">
        <v>33</v>
      </c>
      <c r="B290" s="46" t="n">
        <v>1</v>
      </c>
      <c r="C290" s="46" t="n">
        <v>0</v>
      </c>
      <c r="D290" s="46" t="n">
        <v>0</v>
      </c>
      <c r="E290" s="46" t="n">
        <v>0</v>
      </c>
      <c r="F290" s="47" t="n">
        <v>0</v>
      </c>
      <c r="G290" s="48" t="n">
        <v>5</v>
      </c>
      <c r="H290" s="48" t="n">
        <v>5</v>
      </c>
      <c r="I290" s="48" t="n">
        <v>5</v>
      </c>
      <c r="J290" s="48" t="n">
        <v>5</v>
      </c>
      <c r="K290" s="48" t="n">
        <v>5</v>
      </c>
      <c r="L290" s="48" t="n">
        <v>5</v>
      </c>
      <c r="M290" s="49" t="n">
        <v>2</v>
      </c>
      <c r="N290" s="49" t="n">
        <v>2</v>
      </c>
      <c r="O290" s="49" t="n">
        <v>3</v>
      </c>
      <c r="P290" s="49" t="n">
        <v>4</v>
      </c>
      <c r="Q290" s="49" t="n">
        <v>5</v>
      </c>
      <c r="R290" s="49" t="n">
        <v>4</v>
      </c>
      <c r="S290" s="50" t="n">
        <v>0</v>
      </c>
      <c r="T290" s="50" t="n">
        <v>18</v>
      </c>
      <c r="U290" s="50" t="n">
        <v>18631</v>
      </c>
      <c r="V290" s="51" t="n">
        <v>1</v>
      </c>
      <c r="W290" s="51" t="n">
        <v>2</v>
      </c>
      <c r="X290" s="51" t="n">
        <v>1</v>
      </c>
      <c r="Y290" s="51" t="n">
        <v>2</v>
      </c>
      <c r="Z290" s="3" t="str">
        <f aca="false">VLOOKUP(A290,'Data Prep'!$A$5:$B$44,2,FALSE())</f>
        <v>In-n-out</v>
      </c>
      <c r="AA290" s="4" t="n">
        <f aca="false">COUNTBLANK(A290:Y290)</f>
        <v>0</v>
      </c>
    </row>
    <row r="291" customFormat="false" ht="12.75" hidden="false" customHeight="true" outlineLevel="0" collapsed="false">
      <c r="A291" s="45" t="s">
        <v>42</v>
      </c>
      <c r="B291" s="46" t="n">
        <v>0</v>
      </c>
      <c r="C291" s="46" t="n">
        <v>0</v>
      </c>
      <c r="D291" s="46" t="n">
        <v>1</v>
      </c>
      <c r="E291" s="46" t="n">
        <v>0</v>
      </c>
      <c r="F291" s="47" t="n">
        <v>0</v>
      </c>
      <c r="G291" s="48" t="n">
        <v>4</v>
      </c>
      <c r="H291" s="48" t="n">
        <v>4</v>
      </c>
      <c r="I291" s="48" t="n">
        <v>4</v>
      </c>
      <c r="J291" s="48" t="n">
        <v>4</v>
      </c>
      <c r="K291" s="48" t="n">
        <v>4</v>
      </c>
      <c r="L291" s="48" t="n">
        <v>4</v>
      </c>
      <c r="M291" s="49" t="n">
        <v>3</v>
      </c>
      <c r="N291" s="49" t="n">
        <v>3</v>
      </c>
      <c r="O291" s="49" t="n">
        <v>3</v>
      </c>
      <c r="P291" s="49" t="n">
        <v>3</v>
      </c>
      <c r="Q291" s="49" t="n">
        <v>3</v>
      </c>
      <c r="R291" s="49" t="n">
        <v>3</v>
      </c>
      <c r="S291" s="50" t="n">
        <v>0</v>
      </c>
      <c r="T291" s="50" t="n">
        <v>49</v>
      </c>
      <c r="U291" s="50" t="n">
        <v>28872</v>
      </c>
      <c r="V291" s="51" t="n">
        <v>2</v>
      </c>
      <c r="W291" s="51" t="n">
        <v>2</v>
      </c>
      <c r="X291" s="51" t="n">
        <v>2</v>
      </c>
      <c r="Y291" s="51" t="n">
        <v>2</v>
      </c>
      <c r="Z291" s="3" t="str">
        <f aca="false">VLOOKUP(A291,'Data Prep'!$A$5:$B$44,2,FALSE())</f>
        <v>Subway</v>
      </c>
      <c r="AA291" s="4" t="n">
        <f aca="false">COUNTBLANK(A291:Y291)</f>
        <v>0</v>
      </c>
    </row>
    <row r="292" customFormat="false" ht="12.75" hidden="false" customHeight="true" outlineLevel="0" collapsed="false">
      <c r="A292" s="45" t="s">
        <v>186</v>
      </c>
      <c r="B292" s="46" t="n">
        <v>1</v>
      </c>
      <c r="C292" s="46" t="n">
        <v>0</v>
      </c>
      <c r="D292" s="46" t="n">
        <v>0</v>
      </c>
      <c r="E292" s="46" t="n">
        <v>0</v>
      </c>
      <c r="F292" s="47" t="n">
        <v>0</v>
      </c>
      <c r="G292" s="48" t="n">
        <v>5</v>
      </c>
      <c r="H292" s="48" t="n">
        <v>5</v>
      </c>
      <c r="I292" s="48" t="n">
        <v>5</v>
      </c>
      <c r="J292" s="48" t="n">
        <v>5</v>
      </c>
      <c r="K292" s="48" t="n">
        <v>5</v>
      </c>
      <c r="L292" s="48" t="n">
        <v>4</v>
      </c>
      <c r="M292" s="49" t="n">
        <v>5</v>
      </c>
      <c r="N292" s="49" t="n">
        <v>5</v>
      </c>
      <c r="O292" s="49" t="n">
        <v>3</v>
      </c>
      <c r="P292" s="49" t="n">
        <v>5</v>
      </c>
      <c r="Q292" s="49" t="n">
        <v>5</v>
      </c>
      <c r="R292" s="49" t="n">
        <v>4</v>
      </c>
      <c r="S292" s="50" t="n">
        <v>0</v>
      </c>
      <c r="T292" s="50" t="n">
        <v>40</v>
      </c>
      <c r="U292" s="50" t="n">
        <v>31310</v>
      </c>
      <c r="V292" s="51" t="n">
        <v>1</v>
      </c>
      <c r="W292" s="51" t="n">
        <v>4</v>
      </c>
      <c r="X292" s="51" t="n">
        <v>2</v>
      </c>
      <c r="Y292" s="51" t="n">
        <v>1</v>
      </c>
      <c r="Z292" s="3" t="str">
        <f aca="false">VLOOKUP(A292,'Data Prep'!$A$5:$B$44,2,FALSE())</f>
        <v>Panera Bread</v>
      </c>
      <c r="AA292" s="4" t="n">
        <f aca="false">COUNTBLANK(A292:Y292)</f>
        <v>0</v>
      </c>
    </row>
    <row r="293" customFormat="false" ht="12.75" hidden="false" customHeight="true" outlineLevel="0" collapsed="false">
      <c r="A293" s="45" t="s">
        <v>35</v>
      </c>
      <c r="B293" s="46" t="n">
        <v>0</v>
      </c>
      <c r="C293" s="46" t="n">
        <v>0</v>
      </c>
      <c r="D293" s="46" t="n">
        <v>0</v>
      </c>
      <c r="E293" s="46" t="n">
        <v>0</v>
      </c>
      <c r="F293" s="47" t="n">
        <v>2</v>
      </c>
      <c r="G293" s="48"/>
      <c r="H293" s="48"/>
      <c r="I293" s="48"/>
      <c r="J293" s="48"/>
      <c r="K293" s="48"/>
      <c r="L293" s="48"/>
      <c r="M293" s="49"/>
      <c r="N293" s="49"/>
      <c r="O293" s="49"/>
      <c r="P293" s="49"/>
      <c r="Q293" s="49"/>
      <c r="R293" s="49"/>
      <c r="S293" s="50" t="n">
        <v>0</v>
      </c>
      <c r="T293" s="50" t="n">
        <v>20</v>
      </c>
      <c r="U293" s="50" t="n">
        <v>23930</v>
      </c>
      <c r="V293" s="51" t="n">
        <v>2</v>
      </c>
      <c r="W293" s="51" t="n">
        <v>3</v>
      </c>
      <c r="X293" s="51" t="n">
        <v>3</v>
      </c>
      <c r="Y293" s="51" t="n">
        <v>2</v>
      </c>
      <c r="Z293" s="3" t="str">
        <f aca="false">VLOOKUP(A293,'Data Prep'!$A$5:$B$44,2,FALSE())</f>
        <v>KFC</v>
      </c>
      <c r="AA293" s="4" t="n">
        <f aca="false">COUNTBLANK(A293:Y293)</f>
        <v>12</v>
      </c>
    </row>
    <row r="294" customFormat="false" ht="12.75" hidden="false" customHeight="true" outlineLevel="0" collapsed="false">
      <c r="A294" s="45" t="s">
        <v>42</v>
      </c>
      <c r="B294" s="46" t="n">
        <v>1</v>
      </c>
      <c r="C294" s="46" t="n">
        <v>0</v>
      </c>
      <c r="D294" s="46" t="n">
        <v>0</v>
      </c>
      <c r="E294" s="46" t="n">
        <v>0</v>
      </c>
      <c r="F294" s="47" t="n">
        <v>0</v>
      </c>
      <c r="G294" s="48" t="n">
        <v>4</v>
      </c>
      <c r="H294" s="48" t="n">
        <v>3</v>
      </c>
      <c r="I294" s="48" t="n">
        <v>5</v>
      </c>
      <c r="J294" s="48" t="n">
        <v>4</v>
      </c>
      <c r="K294" s="48" t="n">
        <v>5</v>
      </c>
      <c r="L294" s="48" t="n">
        <v>3</v>
      </c>
      <c r="M294" s="49" t="n">
        <v>4</v>
      </c>
      <c r="N294" s="49" t="n">
        <v>3</v>
      </c>
      <c r="O294" s="49" t="n">
        <v>2</v>
      </c>
      <c r="P294" s="49" t="n">
        <v>5</v>
      </c>
      <c r="Q294" s="49" t="n">
        <v>5</v>
      </c>
      <c r="R294" s="49" t="n">
        <v>4</v>
      </c>
      <c r="S294" s="50" t="n">
        <v>0</v>
      </c>
      <c r="T294" s="50" t="n">
        <v>29</v>
      </c>
      <c r="U294" s="50" t="n">
        <v>11059</v>
      </c>
      <c r="V294" s="51" t="n">
        <v>2</v>
      </c>
      <c r="W294" s="51" t="n">
        <v>3</v>
      </c>
      <c r="X294" s="51" t="n">
        <v>2</v>
      </c>
      <c r="Y294" s="51" t="n">
        <v>3</v>
      </c>
      <c r="Z294" s="3" t="str">
        <f aca="false">VLOOKUP(A294,'Data Prep'!$A$5:$B$44,2,FALSE())</f>
        <v>Subway</v>
      </c>
      <c r="AA294" s="4" t="n">
        <f aca="false">COUNTBLANK(A294:Y294)</f>
        <v>0</v>
      </c>
    </row>
    <row r="295" customFormat="false" ht="12.75" hidden="false" customHeight="true" outlineLevel="0" collapsed="false">
      <c r="A295" s="45" t="s">
        <v>180</v>
      </c>
      <c r="B295" s="46" t="n">
        <v>0</v>
      </c>
      <c r="C295" s="46" t="n">
        <v>0</v>
      </c>
      <c r="D295" s="46" t="n">
        <v>1</v>
      </c>
      <c r="E295" s="46" t="n">
        <v>1</v>
      </c>
      <c r="F295" s="47" t="n">
        <v>0</v>
      </c>
      <c r="G295" s="48" t="n">
        <v>5</v>
      </c>
      <c r="H295" s="48" t="n">
        <v>4</v>
      </c>
      <c r="I295" s="48" t="n">
        <v>5</v>
      </c>
      <c r="J295" s="48" t="n">
        <v>4</v>
      </c>
      <c r="K295" s="48" t="n">
        <v>4</v>
      </c>
      <c r="L295" s="48" t="n">
        <v>4</v>
      </c>
      <c r="M295" s="49" t="n">
        <v>5</v>
      </c>
      <c r="N295" s="49" t="n">
        <v>5</v>
      </c>
      <c r="O295" s="49" t="n">
        <v>5</v>
      </c>
      <c r="P295" s="49" t="n">
        <v>5</v>
      </c>
      <c r="Q295" s="49" t="n">
        <v>5</v>
      </c>
      <c r="R295" s="49" t="n">
        <v>5</v>
      </c>
      <c r="S295" s="50" t="n">
        <v>1</v>
      </c>
      <c r="T295" s="50" t="n">
        <v>30</v>
      </c>
      <c r="U295" s="50" t="n">
        <v>24737</v>
      </c>
      <c r="V295" s="51" t="n">
        <v>3</v>
      </c>
      <c r="W295" s="51" t="n">
        <v>2</v>
      </c>
      <c r="X295" s="51" t="n">
        <v>2</v>
      </c>
      <c r="Y295" s="51" t="n">
        <v>2</v>
      </c>
      <c r="Z295" s="3" t="str">
        <f aca="false">VLOOKUP(A295,'Data Prep'!$A$5:$B$44,2,FALSE())</f>
        <v>Panera Bread</v>
      </c>
      <c r="AA295" s="4" t="n">
        <f aca="false">COUNTBLANK(A295:Y295)</f>
        <v>0</v>
      </c>
    </row>
    <row r="296" customFormat="false" ht="12.75" hidden="false" customHeight="true" outlineLevel="0" collapsed="false">
      <c r="A296" s="45" t="s">
        <v>35</v>
      </c>
      <c r="B296" s="46" t="n">
        <v>0</v>
      </c>
      <c r="C296" s="46" t="n">
        <v>0</v>
      </c>
      <c r="D296" s="46" t="n">
        <v>1</v>
      </c>
      <c r="E296" s="46" t="n">
        <v>0</v>
      </c>
      <c r="F296" s="47" t="n">
        <v>0</v>
      </c>
      <c r="G296" s="48" t="n">
        <v>4</v>
      </c>
      <c r="H296" s="48" t="n">
        <v>4</v>
      </c>
      <c r="I296" s="48" t="n">
        <v>5</v>
      </c>
      <c r="J296" s="48" t="n">
        <v>4</v>
      </c>
      <c r="K296" s="48" t="n">
        <v>5</v>
      </c>
      <c r="L296" s="48" t="n">
        <v>4</v>
      </c>
      <c r="M296" s="49" t="n">
        <v>3</v>
      </c>
      <c r="N296" s="49" t="n">
        <v>4</v>
      </c>
      <c r="O296" s="49" t="n">
        <v>2</v>
      </c>
      <c r="P296" s="49" t="n">
        <v>4</v>
      </c>
      <c r="Q296" s="49" t="n">
        <v>4</v>
      </c>
      <c r="R296" s="49" t="n">
        <v>3</v>
      </c>
      <c r="S296" s="50" t="n">
        <v>0</v>
      </c>
      <c r="T296" s="50" t="n">
        <v>31</v>
      </c>
      <c r="U296" s="50" t="n">
        <v>27458</v>
      </c>
      <c r="V296" s="51" t="n">
        <v>2</v>
      </c>
      <c r="W296" s="51" t="n">
        <v>3</v>
      </c>
      <c r="X296" s="51" t="n">
        <v>2</v>
      </c>
      <c r="Y296" s="51" t="n">
        <v>2</v>
      </c>
      <c r="Z296" s="3" t="str">
        <f aca="false">VLOOKUP(A296,'Data Prep'!$A$5:$B$44,2,FALSE())</f>
        <v>KFC</v>
      </c>
      <c r="AA296" s="4" t="n">
        <f aca="false">COUNTBLANK(A296:Y296)</f>
        <v>0</v>
      </c>
    </row>
    <row r="297" customFormat="false" ht="12.75" hidden="false" customHeight="true" outlineLevel="0" collapsed="false">
      <c r="A297" s="45" t="s">
        <v>31</v>
      </c>
      <c r="B297" s="46" t="n">
        <v>1</v>
      </c>
      <c r="C297" s="46" t="n">
        <v>0</v>
      </c>
      <c r="D297" s="46" t="n">
        <v>0</v>
      </c>
      <c r="E297" s="46" t="n">
        <v>0</v>
      </c>
      <c r="F297" s="47" t="n">
        <v>0</v>
      </c>
      <c r="G297" s="48" t="n">
        <v>4</v>
      </c>
      <c r="H297" s="48" t="n">
        <v>4</v>
      </c>
      <c r="I297" s="48" t="n">
        <v>4</v>
      </c>
      <c r="J297" s="48" t="n">
        <v>5</v>
      </c>
      <c r="K297" s="48" t="n">
        <v>5</v>
      </c>
      <c r="L297" s="48" t="n">
        <v>4</v>
      </c>
      <c r="M297" s="49" t="n">
        <v>4</v>
      </c>
      <c r="N297" s="49" t="n">
        <v>5</v>
      </c>
      <c r="O297" s="49" t="n">
        <v>4</v>
      </c>
      <c r="P297" s="49" t="n">
        <v>5</v>
      </c>
      <c r="Q297" s="49" t="n">
        <v>5</v>
      </c>
      <c r="R297" s="49" t="n">
        <v>5</v>
      </c>
      <c r="S297" s="50" t="n">
        <v>0</v>
      </c>
      <c r="T297" s="50" t="n">
        <v>33</v>
      </c>
      <c r="U297" s="50" t="n">
        <v>44358</v>
      </c>
      <c r="V297" s="51" t="n">
        <v>2</v>
      </c>
      <c r="W297" s="51" t="n">
        <v>2</v>
      </c>
      <c r="X297" s="51" t="n">
        <v>2</v>
      </c>
      <c r="Y297" s="51" t="n">
        <v>2</v>
      </c>
      <c r="Z297" s="3" t="str">
        <f aca="false">VLOOKUP(A297,'Data Prep'!$A$5:$B$44,2,FALSE())</f>
        <v>El Pollo Loco</v>
      </c>
      <c r="AA297" s="4" t="n">
        <f aca="false">COUNTBLANK(A297:Y297)</f>
        <v>0</v>
      </c>
    </row>
    <row r="298" customFormat="false" ht="12.75" hidden="false" customHeight="true" outlineLevel="0" collapsed="false">
      <c r="A298" s="45" t="s">
        <v>31</v>
      </c>
      <c r="B298" s="46" t="n">
        <v>1</v>
      </c>
      <c r="C298" s="46" t="n">
        <v>0</v>
      </c>
      <c r="D298" s="46" t="n">
        <v>0</v>
      </c>
      <c r="E298" s="46" t="n">
        <v>0</v>
      </c>
      <c r="F298" s="47" t="n">
        <v>0</v>
      </c>
      <c r="G298" s="48" t="n">
        <v>5</v>
      </c>
      <c r="H298" s="48" t="n">
        <v>4</v>
      </c>
      <c r="I298" s="48" t="n">
        <v>5</v>
      </c>
      <c r="J298" s="48" t="n">
        <v>5</v>
      </c>
      <c r="K298" s="48" t="n">
        <v>5</v>
      </c>
      <c r="L298" s="48" t="n">
        <v>4</v>
      </c>
      <c r="M298" s="49" t="n">
        <v>4</v>
      </c>
      <c r="N298" s="49" t="n">
        <v>3</v>
      </c>
      <c r="O298" s="49" t="n">
        <v>4</v>
      </c>
      <c r="P298" s="49" t="n">
        <v>4</v>
      </c>
      <c r="Q298" s="49" t="n">
        <v>4</v>
      </c>
      <c r="R298" s="49" t="n">
        <v>3</v>
      </c>
      <c r="S298" s="50" t="n">
        <v>0</v>
      </c>
      <c r="T298" s="50" t="n">
        <v>38</v>
      </c>
      <c r="U298" s="50" t="n">
        <v>24582</v>
      </c>
      <c r="V298" s="51" t="n">
        <v>2</v>
      </c>
      <c r="W298" s="51" t="n">
        <v>3</v>
      </c>
      <c r="X298" s="51" t="n">
        <v>2</v>
      </c>
      <c r="Y298" s="51" t="n">
        <v>2</v>
      </c>
      <c r="Z298" s="3" t="str">
        <f aca="false">VLOOKUP(A298,'Data Prep'!$A$5:$B$44,2,FALSE())</f>
        <v>El Pollo Loco</v>
      </c>
      <c r="AA298" s="4" t="n">
        <f aca="false">COUNTBLANK(A298:Y298)</f>
        <v>0</v>
      </c>
    </row>
    <row r="299" customFormat="false" ht="12.75" hidden="false" customHeight="true" outlineLevel="0" collapsed="false">
      <c r="A299" s="45" t="s">
        <v>30</v>
      </c>
      <c r="B299" s="46" t="n">
        <v>0</v>
      </c>
      <c r="C299" s="46" t="n">
        <v>0</v>
      </c>
      <c r="D299" s="46" t="n">
        <v>0</v>
      </c>
      <c r="E299" s="46" t="n">
        <v>0</v>
      </c>
      <c r="F299" s="47" t="n">
        <v>0</v>
      </c>
      <c r="G299" s="48" t="n">
        <v>4</v>
      </c>
      <c r="H299" s="48" t="n">
        <v>4</v>
      </c>
      <c r="I299" s="48" t="n">
        <v>5</v>
      </c>
      <c r="J299" s="48" t="n">
        <v>5</v>
      </c>
      <c r="K299" s="48" t="n">
        <v>5</v>
      </c>
      <c r="L299" s="48" t="n">
        <v>4</v>
      </c>
      <c r="M299" s="49" t="n">
        <v>4</v>
      </c>
      <c r="N299" s="49" t="n">
        <v>5</v>
      </c>
      <c r="O299" s="49" t="n">
        <v>4</v>
      </c>
      <c r="P299" s="49" t="n">
        <v>5</v>
      </c>
      <c r="Q299" s="49" t="n">
        <v>5</v>
      </c>
      <c r="R299" s="49" t="n">
        <v>4</v>
      </c>
      <c r="S299" s="50" t="n">
        <v>1</v>
      </c>
      <c r="T299" s="50" t="n">
        <v>34</v>
      </c>
      <c r="U299" s="50" t="n">
        <v>39134</v>
      </c>
      <c r="V299" s="51" t="n">
        <v>1</v>
      </c>
      <c r="W299" s="51" t="n">
        <v>4</v>
      </c>
      <c r="X299" s="51" t="n">
        <v>1</v>
      </c>
      <c r="Y299" s="51" t="n">
        <v>1</v>
      </c>
      <c r="Z299" s="3" t="str">
        <f aca="false">VLOOKUP(A299,'Data Prep'!$A$5:$B$44,2,FALSE())</f>
        <v>Chipotle</v>
      </c>
      <c r="AA299" s="4" t="n">
        <f aca="false">COUNTBLANK(A299:Y299)</f>
        <v>0</v>
      </c>
    </row>
    <row r="300" customFormat="false" ht="12.75" hidden="false" customHeight="true" outlineLevel="0" collapsed="false">
      <c r="A300" s="45" t="s">
        <v>31</v>
      </c>
      <c r="B300" s="46" t="n">
        <v>1</v>
      </c>
      <c r="C300" s="46" t="n">
        <v>0</v>
      </c>
      <c r="D300" s="46" t="n">
        <v>0</v>
      </c>
      <c r="E300" s="46" t="n">
        <v>0</v>
      </c>
      <c r="F300" s="47" t="n">
        <v>1</v>
      </c>
      <c r="G300" s="48" t="n">
        <v>4</v>
      </c>
      <c r="H300" s="48" t="n">
        <v>4</v>
      </c>
      <c r="I300" s="48" t="n">
        <v>5</v>
      </c>
      <c r="J300" s="48" t="n">
        <v>4</v>
      </c>
      <c r="K300" s="48" t="n">
        <v>5</v>
      </c>
      <c r="L300" s="48" t="n">
        <v>3</v>
      </c>
      <c r="M300" s="49" t="n">
        <v>4</v>
      </c>
      <c r="N300" s="49" t="n">
        <v>4</v>
      </c>
      <c r="O300" s="49" t="n">
        <v>2</v>
      </c>
      <c r="P300" s="49" t="n">
        <v>5</v>
      </c>
      <c r="Q300" s="49" t="n">
        <v>5</v>
      </c>
      <c r="R300" s="49" t="n">
        <v>3</v>
      </c>
      <c r="S300" s="50" t="n">
        <v>1</v>
      </c>
      <c r="T300" s="50" t="n">
        <v>45</v>
      </c>
      <c r="U300" s="50" t="n">
        <v>11601</v>
      </c>
      <c r="V300" s="51" t="n">
        <v>2</v>
      </c>
      <c r="W300" s="51" t="n">
        <v>3</v>
      </c>
      <c r="X300" s="51" t="n">
        <v>2</v>
      </c>
      <c r="Y300" s="51" t="n">
        <v>2</v>
      </c>
      <c r="Z300" s="3" t="str">
        <f aca="false">VLOOKUP(A300,'Data Prep'!$A$5:$B$44,2,FALSE())</f>
        <v>El Pollo Loco</v>
      </c>
      <c r="AA300" s="4" t="n">
        <f aca="false">COUNTBLANK(A300:Y300)</f>
        <v>0</v>
      </c>
    </row>
    <row r="301" customFormat="false" ht="12.75" hidden="false" customHeight="true" outlineLevel="0" collapsed="false">
      <c r="A301" s="45" t="s">
        <v>42</v>
      </c>
      <c r="B301" s="46" t="n">
        <v>1</v>
      </c>
      <c r="C301" s="46" t="n">
        <v>0</v>
      </c>
      <c r="D301" s="46" t="n">
        <v>0</v>
      </c>
      <c r="E301" s="46" t="n">
        <v>0</v>
      </c>
      <c r="F301" s="47" t="n">
        <v>1</v>
      </c>
      <c r="G301" s="48" t="n">
        <v>4</v>
      </c>
      <c r="H301" s="48" t="n">
        <v>5</v>
      </c>
      <c r="I301" s="48" t="n">
        <v>5</v>
      </c>
      <c r="J301" s="48" t="n">
        <v>4</v>
      </c>
      <c r="K301" s="48" t="n">
        <v>5</v>
      </c>
      <c r="L301" s="48" t="n">
        <v>3</v>
      </c>
      <c r="M301" s="49" t="n">
        <v>3</v>
      </c>
      <c r="N301" s="49" t="n">
        <v>4</v>
      </c>
      <c r="O301" s="49" t="n">
        <v>2</v>
      </c>
      <c r="P301" s="49" t="n">
        <v>5</v>
      </c>
      <c r="Q301" s="49" t="n">
        <v>5</v>
      </c>
      <c r="R301" s="49" t="n">
        <v>4</v>
      </c>
      <c r="S301" s="50" t="n">
        <v>1</v>
      </c>
      <c r="T301" s="50" t="n">
        <v>39</v>
      </c>
      <c r="U301" s="50" t="n">
        <v>45758</v>
      </c>
      <c r="V301" s="51" t="n">
        <v>2</v>
      </c>
      <c r="W301" s="51" t="n">
        <v>3</v>
      </c>
      <c r="X301" s="51" t="n">
        <v>2</v>
      </c>
      <c r="Y301" s="51" t="n">
        <v>2</v>
      </c>
      <c r="Z301" s="3" t="str">
        <f aca="false">VLOOKUP(A301,'Data Prep'!$A$5:$B$44,2,FALSE())</f>
        <v>Subway</v>
      </c>
      <c r="AA301" s="4" t="n">
        <f aca="false">COUNTBLANK(A301:Y301)</f>
        <v>0</v>
      </c>
    </row>
    <row r="302" customFormat="false" ht="12.75" hidden="false" customHeight="true" outlineLevel="0" collapsed="false">
      <c r="A302" s="45" t="s">
        <v>31</v>
      </c>
      <c r="B302" s="46" t="n">
        <v>0</v>
      </c>
      <c r="C302" s="46" t="n">
        <v>0</v>
      </c>
      <c r="D302" s="46" t="n">
        <v>1</v>
      </c>
      <c r="E302" s="46" t="n">
        <v>0</v>
      </c>
      <c r="F302" s="47" t="n">
        <v>0</v>
      </c>
      <c r="G302" s="48" t="n">
        <v>5</v>
      </c>
      <c r="H302" s="48" t="n">
        <v>5</v>
      </c>
      <c r="I302" s="48" t="n">
        <v>5</v>
      </c>
      <c r="J302" s="48" t="n">
        <v>5</v>
      </c>
      <c r="K302" s="48" t="n">
        <v>5</v>
      </c>
      <c r="L302" s="48" t="n">
        <v>4</v>
      </c>
      <c r="M302" s="49" t="n">
        <v>4</v>
      </c>
      <c r="N302" s="49" t="n">
        <v>5</v>
      </c>
      <c r="O302" s="49" t="n">
        <v>4</v>
      </c>
      <c r="P302" s="49" t="n">
        <v>5</v>
      </c>
      <c r="Q302" s="49" t="n">
        <v>5</v>
      </c>
      <c r="R302" s="49" t="n">
        <v>4</v>
      </c>
      <c r="S302" s="50" t="n">
        <v>0</v>
      </c>
      <c r="T302" s="50" t="n">
        <v>33</v>
      </c>
      <c r="U302" s="50" t="n">
        <v>57942</v>
      </c>
      <c r="V302" s="51" t="n">
        <v>3</v>
      </c>
      <c r="W302" s="51" t="n">
        <v>2</v>
      </c>
      <c r="X302" s="51" t="n">
        <v>2</v>
      </c>
      <c r="Y302" s="51" t="n">
        <v>2</v>
      </c>
      <c r="Z302" s="3" t="str">
        <f aca="false">VLOOKUP(A302,'Data Prep'!$A$5:$B$44,2,FALSE())</f>
        <v>El Pollo Loco</v>
      </c>
      <c r="AA302" s="4" t="n">
        <f aca="false">COUNTBLANK(A302:Y302)</f>
        <v>0</v>
      </c>
    </row>
    <row r="303" customFormat="false" ht="12.75" hidden="false" customHeight="true" outlineLevel="0" collapsed="false">
      <c r="A303" s="45" t="s">
        <v>31</v>
      </c>
      <c r="B303" s="46" t="n">
        <v>0</v>
      </c>
      <c r="C303" s="46" t="n">
        <v>0</v>
      </c>
      <c r="D303" s="46" t="n">
        <v>1</v>
      </c>
      <c r="E303" s="46" t="n">
        <v>0</v>
      </c>
      <c r="F303" s="47" t="n">
        <v>0</v>
      </c>
      <c r="G303" s="48" t="n">
        <v>4</v>
      </c>
      <c r="H303" s="48" t="n">
        <v>4</v>
      </c>
      <c r="I303" s="48" t="n">
        <v>5</v>
      </c>
      <c r="J303" s="48" t="n">
        <v>5</v>
      </c>
      <c r="K303" s="48" t="n">
        <v>4</v>
      </c>
      <c r="L303" s="48" t="n">
        <v>4</v>
      </c>
      <c r="M303" s="49" t="n">
        <v>4</v>
      </c>
      <c r="N303" s="49" t="n">
        <v>4</v>
      </c>
      <c r="O303" s="49" t="n">
        <v>3</v>
      </c>
      <c r="P303" s="49" t="n">
        <v>5</v>
      </c>
      <c r="Q303" s="49" t="n">
        <v>5</v>
      </c>
      <c r="R303" s="49" t="n">
        <v>5</v>
      </c>
      <c r="S303" s="50" t="n">
        <v>0</v>
      </c>
      <c r="T303" s="50" t="n">
        <v>29</v>
      </c>
      <c r="U303" s="50" t="n">
        <v>24323</v>
      </c>
      <c r="V303" s="51" t="n">
        <v>1</v>
      </c>
      <c r="W303" s="51" t="n">
        <v>4</v>
      </c>
      <c r="X303" s="51" t="n">
        <v>2</v>
      </c>
      <c r="Y303" s="51" t="n">
        <v>1</v>
      </c>
      <c r="Z303" s="3" t="str">
        <f aca="false">VLOOKUP(A303,'Data Prep'!$A$5:$B$44,2,FALSE())</f>
        <v>El Pollo Loco</v>
      </c>
      <c r="AA303" s="4" t="n">
        <f aca="false">COUNTBLANK(A303:Y303)</f>
        <v>0</v>
      </c>
    </row>
    <row r="304" customFormat="false" ht="12.75" hidden="false" customHeight="true" outlineLevel="0" collapsed="false">
      <c r="A304" s="45" t="s">
        <v>30</v>
      </c>
      <c r="B304" s="46" t="n">
        <v>0</v>
      </c>
      <c r="C304" s="46" t="n">
        <v>0</v>
      </c>
      <c r="D304" s="46" t="n">
        <v>1</v>
      </c>
      <c r="E304" s="46" t="n">
        <v>0</v>
      </c>
      <c r="F304" s="47" t="n">
        <v>0</v>
      </c>
      <c r="G304" s="48" t="n">
        <v>3</v>
      </c>
      <c r="H304" s="48" t="n">
        <v>4</v>
      </c>
      <c r="I304" s="48" t="n">
        <v>4</v>
      </c>
      <c r="J304" s="48" t="n">
        <v>4</v>
      </c>
      <c r="K304" s="48" t="n">
        <v>5</v>
      </c>
      <c r="L304" s="48" t="n">
        <v>3</v>
      </c>
      <c r="M304" s="49" t="n">
        <v>3</v>
      </c>
      <c r="N304" s="49" t="n">
        <v>4</v>
      </c>
      <c r="O304" s="49" t="n">
        <v>2</v>
      </c>
      <c r="P304" s="49" t="n">
        <v>4</v>
      </c>
      <c r="Q304" s="49" t="n">
        <v>4</v>
      </c>
      <c r="R304" s="49" t="n">
        <v>3</v>
      </c>
      <c r="S304" s="50" t="n">
        <v>0</v>
      </c>
      <c r="T304" s="50" t="n">
        <v>45</v>
      </c>
      <c r="U304" s="50" t="n">
        <v>89076</v>
      </c>
      <c r="V304" s="51" t="n">
        <v>2</v>
      </c>
      <c r="W304" s="51" t="n">
        <v>4</v>
      </c>
      <c r="X304" s="51" t="n">
        <v>1</v>
      </c>
      <c r="Y304" s="51" t="n">
        <v>2</v>
      </c>
      <c r="Z304" s="3" t="str">
        <f aca="false">VLOOKUP(A304,'Data Prep'!$A$5:$B$44,2,FALSE())</f>
        <v>Chipotle</v>
      </c>
      <c r="AA304" s="4" t="n">
        <f aca="false">COUNTBLANK(A304:Y304)</f>
        <v>0</v>
      </c>
    </row>
    <row r="305" customFormat="false" ht="12.75" hidden="false" customHeight="true" outlineLevel="0" collapsed="false">
      <c r="A305" s="45" t="s">
        <v>33</v>
      </c>
      <c r="B305" s="46" t="n">
        <v>0</v>
      </c>
      <c r="C305" s="46" t="n">
        <v>0</v>
      </c>
      <c r="D305" s="46" t="n">
        <v>1</v>
      </c>
      <c r="E305" s="46" t="n">
        <v>0</v>
      </c>
      <c r="F305" s="47" t="n">
        <v>0</v>
      </c>
      <c r="G305" s="48" t="n">
        <v>3</v>
      </c>
      <c r="H305" s="48" t="n">
        <v>3</v>
      </c>
      <c r="I305" s="48" t="n">
        <v>5</v>
      </c>
      <c r="J305" s="48" t="n">
        <v>3</v>
      </c>
      <c r="K305" s="48" t="n">
        <v>5</v>
      </c>
      <c r="L305" s="48" t="n">
        <v>5</v>
      </c>
      <c r="M305" s="49" t="n">
        <v>3</v>
      </c>
      <c r="N305" s="49" t="n">
        <v>2</v>
      </c>
      <c r="O305" s="49" t="n">
        <v>4</v>
      </c>
      <c r="P305" s="49" t="n">
        <v>5</v>
      </c>
      <c r="Q305" s="49" t="n">
        <v>4</v>
      </c>
      <c r="R305" s="49" t="n">
        <v>2</v>
      </c>
      <c r="S305" s="50" t="n">
        <v>0</v>
      </c>
      <c r="T305" s="50" t="n">
        <v>33</v>
      </c>
      <c r="U305" s="50" t="n">
        <v>87381</v>
      </c>
      <c r="V305" s="51" t="n">
        <v>2</v>
      </c>
      <c r="W305" s="51" t="n">
        <v>3</v>
      </c>
      <c r="X305" s="51" t="n">
        <v>2</v>
      </c>
      <c r="Y305" s="51" t="n">
        <v>3</v>
      </c>
      <c r="Z305" s="3" t="str">
        <f aca="false">VLOOKUP(A305,'Data Prep'!$A$5:$B$44,2,FALSE())</f>
        <v>In-n-out</v>
      </c>
      <c r="AA305" s="4" t="n">
        <f aca="false">COUNTBLANK(A305:Y305)</f>
        <v>0</v>
      </c>
    </row>
    <row r="306" customFormat="false" ht="12.75" hidden="false" customHeight="true" outlineLevel="0" collapsed="false">
      <c r="A306" s="45" t="s">
        <v>33</v>
      </c>
      <c r="B306" s="46" t="n">
        <v>1</v>
      </c>
      <c r="C306" s="46" t="n">
        <v>0</v>
      </c>
      <c r="D306" s="46" t="n">
        <v>0</v>
      </c>
      <c r="E306" s="46" t="n">
        <v>0</v>
      </c>
      <c r="F306" s="47" t="n">
        <v>0</v>
      </c>
      <c r="G306" s="48" t="n">
        <v>4</v>
      </c>
      <c r="H306" s="48" t="n">
        <v>4</v>
      </c>
      <c r="I306" s="48" t="n">
        <v>5</v>
      </c>
      <c r="J306" s="48" t="n">
        <v>5</v>
      </c>
      <c r="K306" s="48" t="n">
        <v>5</v>
      </c>
      <c r="L306" s="48" t="n">
        <v>4</v>
      </c>
      <c r="M306" s="49" t="n">
        <v>5</v>
      </c>
      <c r="N306" s="49" t="n">
        <v>5</v>
      </c>
      <c r="O306" s="49" t="n">
        <v>3</v>
      </c>
      <c r="P306" s="49" t="n">
        <v>4</v>
      </c>
      <c r="Q306" s="49" t="n">
        <v>5</v>
      </c>
      <c r="R306" s="49" t="n">
        <v>3</v>
      </c>
      <c r="S306" s="50" t="n">
        <v>0</v>
      </c>
      <c r="T306" s="50" t="n">
        <v>36</v>
      </c>
      <c r="U306" s="50" t="n">
        <v>84261</v>
      </c>
      <c r="V306" s="51" t="n">
        <v>2</v>
      </c>
      <c r="W306" s="51" t="n">
        <v>2</v>
      </c>
      <c r="X306" s="51" t="n">
        <v>2</v>
      </c>
      <c r="Y306" s="51" t="n">
        <v>1</v>
      </c>
      <c r="Z306" s="3" t="str">
        <f aca="false">VLOOKUP(A306,'Data Prep'!$A$5:$B$44,2,FALSE())</f>
        <v>In-n-out</v>
      </c>
      <c r="AA306" s="4" t="n">
        <f aca="false">COUNTBLANK(A306:Y306)</f>
        <v>0</v>
      </c>
    </row>
    <row r="307" customFormat="false" ht="12.75" hidden="false" customHeight="true" outlineLevel="0" collapsed="false">
      <c r="A307" s="45" t="s">
        <v>166</v>
      </c>
      <c r="B307" s="46" t="n">
        <v>0</v>
      </c>
      <c r="C307" s="46" t="n">
        <v>0</v>
      </c>
      <c r="D307" s="46" t="n">
        <v>1</v>
      </c>
      <c r="E307" s="46" t="n">
        <v>0</v>
      </c>
      <c r="F307" s="47" t="n">
        <v>0</v>
      </c>
      <c r="G307" s="48" t="n">
        <v>5</v>
      </c>
      <c r="H307" s="48" t="n">
        <v>4</v>
      </c>
      <c r="I307" s="48" t="n">
        <v>5</v>
      </c>
      <c r="J307" s="48" t="n">
        <v>5</v>
      </c>
      <c r="K307" s="48" t="n">
        <v>5</v>
      </c>
      <c r="L307" s="48" t="n">
        <v>5</v>
      </c>
      <c r="M307" s="49" t="n">
        <v>2</v>
      </c>
      <c r="N307" s="49" t="n">
        <v>4</v>
      </c>
      <c r="O307" s="49" t="n">
        <v>3</v>
      </c>
      <c r="P307" s="49" t="n">
        <v>5</v>
      </c>
      <c r="Q307" s="49" t="n">
        <v>5</v>
      </c>
      <c r="R307" s="49" t="n">
        <v>4</v>
      </c>
      <c r="S307" s="50" t="n">
        <v>0</v>
      </c>
      <c r="T307" s="50" t="n">
        <v>20</v>
      </c>
      <c r="U307" s="50" t="n">
        <v>40048</v>
      </c>
      <c r="V307" s="51" t="n">
        <v>2</v>
      </c>
      <c r="W307" s="51" t="n">
        <v>3</v>
      </c>
      <c r="X307" s="51" t="n">
        <v>1</v>
      </c>
      <c r="Y307" s="51" t="n">
        <v>2</v>
      </c>
      <c r="Z307" s="3" t="str">
        <f aca="false">VLOOKUP(A307,'Data Prep'!$A$5:$B$44,2,FALSE())</f>
        <v>Chipotle</v>
      </c>
      <c r="AA307" s="4" t="n">
        <f aca="false">COUNTBLANK(A307:Y307)</f>
        <v>0</v>
      </c>
    </row>
    <row r="308" customFormat="false" ht="12.75" hidden="false" customHeight="true" outlineLevel="0" collapsed="false">
      <c r="A308" s="45" t="s">
        <v>33</v>
      </c>
      <c r="B308" s="46" t="n">
        <v>0</v>
      </c>
      <c r="C308" s="46" t="n">
        <v>1</v>
      </c>
      <c r="D308" s="46" t="n">
        <v>0</v>
      </c>
      <c r="E308" s="46" t="n">
        <v>0</v>
      </c>
      <c r="F308" s="47" t="n">
        <v>0</v>
      </c>
      <c r="G308" s="48" t="n">
        <v>4</v>
      </c>
      <c r="H308" s="48" t="n">
        <v>5</v>
      </c>
      <c r="I308" s="48" t="n">
        <v>5</v>
      </c>
      <c r="J308" s="48" t="n">
        <v>5</v>
      </c>
      <c r="K308" s="48" t="n">
        <v>5</v>
      </c>
      <c r="L308" s="48" t="n">
        <v>5</v>
      </c>
      <c r="M308" s="49" t="n">
        <v>3</v>
      </c>
      <c r="N308" s="49" t="n">
        <v>4</v>
      </c>
      <c r="O308" s="49" t="n">
        <v>4</v>
      </c>
      <c r="P308" s="49" t="n">
        <v>5</v>
      </c>
      <c r="Q308" s="49" t="n">
        <v>3</v>
      </c>
      <c r="R308" s="49" t="n">
        <v>3</v>
      </c>
      <c r="S308" s="50" t="n">
        <v>0</v>
      </c>
      <c r="T308" s="50" t="n">
        <v>45</v>
      </c>
      <c r="U308" s="50" t="n">
        <v>30362</v>
      </c>
      <c r="V308" s="51" t="n">
        <v>2</v>
      </c>
      <c r="W308" s="51" t="n">
        <v>2</v>
      </c>
      <c r="X308" s="51" t="n">
        <v>2</v>
      </c>
      <c r="Y308" s="51" t="n">
        <v>2</v>
      </c>
      <c r="Z308" s="3" t="str">
        <f aca="false">VLOOKUP(A308,'Data Prep'!$A$5:$B$44,2,FALSE())</f>
        <v>In-n-out</v>
      </c>
      <c r="AA308" s="4" t="n">
        <f aca="false">COUNTBLANK(A308:Y308)</f>
        <v>0</v>
      </c>
    </row>
    <row r="309" customFormat="false" ht="12.75" hidden="false" customHeight="true" outlineLevel="0" collapsed="false">
      <c r="A309" s="45" t="s">
        <v>173</v>
      </c>
      <c r="B309" s="46" t="n">
        <v>0</v>
      </c>
      <c r="C309" s="46" t="n">
        <v>0</v>
      </c>
      <c r="D309" s="46" t="n">
        <v>1</v>
      </c>
      <c r="E309" s="46" t="n">
        <v>0</v>
      </c>
      <c r="F309" s="47" t="n">
        <v>0</v>
      </c>
      <c r="G309" s="48" t="n">
        <v>4</v>
      </c>
      <c r="H309" s="48" t="n">
        <v>5</v>
      </c>
      <c r="I309" s="48" t="n">
        <v>5</v>
      </c>
      <c r="J309" s="48" t="n">
        <v>4</v>
      </c>
      <c r="K309" s="48" t="n">
        <v>5</v>
      </c>
      <c r="L309" s="48" t="n">
        <v>4</v>
      </c>
      <c r="M309" s="49" t="n">
        <v>4</v>
      </c>
      <c r="N309" s="49" t="n">
        <v>2</v>
      </c>
      <c r="O309" s="49" t="n">
        <v>5</v>
      </c>
      <c r="P309" s="49" t="n">
        <v>5</v>
      </c>
      <c r="Q309" s="49" t="n">
        <v>2</v>
      </c>
      <c r="R309" s="49" t="n">
        <v>3</v>
      </c>
      <c r="S309" s="50" t="n">
        <v>1</v>
      </c>
      <c r="T309" s="50" t="n">
        <v>49</v>
      </c>
      <c r="U309" s="50" t="n">
        <v>40104</v>
      </c>
      <c r="V309" s="51" t="n">
        <v>2</v>
      </c>
      <c r="W309" s="51" t="n">
        <v>2</v>
      </c>
      <c r="X309" s="51" t="n">
        <v>1</v>
      </c>
      <c r="Y309" s="51" t="n">
        <v>2</v>
      </c>
      <c r="Z309" s="3" t="str">
        <f aca="false">VLOOKUP(A309,'Data Prep'!$A$5:$B$44,2,FALSE())</f>
        <v>McDonalds</v>
      </c>
      <c r="AA309" s="4" t="n">
        <f aca="false">COUNTBLANK(A309:Y309)</f>
        <v>0</v>
      </c>
    </row>
    <row r="310" customFormat="false" ht="12.75" hidden="false" customHeight="true" outlineLevel="0" collapsed="false">
      <c r="A310" s="45" t="s">
        <v>33</v>
      </c>
      <c r="B310" s="46" t="n">
        <v>1</v>
      </c>
      <c r="C310" s="46" t="n">
        <v>0</v>
      </c>
      <c r="D310" s="46" t="n">
        <v>0</v>
      </c>
      <c r="E310" s="46" t="n">
        <v>0</v>
      </c>
      <c r="F310" s="47" t="n">
        <v>0</v>
      </c>
      <c r="G310" s="48" t="n">
        <v>4</v>
      </c>
      <c r="H310" s="48" t="n">
        <v>3</v>
      </c>
      <c r="I310" s="48" t="n">
        <v>3</v>
      </c>
      <c r="J310" s="48" t="n">
        <v>4</v>
      </c>
      <c r="K310" s="48" t="n">
        <v>5</v>
      </c>
      <c r="L310" s="48" t="n">
        <v>5</v>
      </c>
      <c r="M310" s="49" t="n">
        <v>4</v>
      </c>
      <c r="N310" s="49" t="n">
        <v>3</v>
      </c>
      <c r="O310" s="49" t="n">
        <v>3</v>
      </c>
      <c r="P310" s="49" t="n">
        <v>5</v>
      </c>
      <c r="Q310" s="49" t="n">
        <v>3</v>
      </c>
      <c r="R310" s="49" t="n">
        <v>2</v>
      </c>
      <c r="S310" s="50" t="n">
        <v>0</v>
      </c>
      <c r="T310" s="50" t="n">
        <v>55</v>
      </c>
      <c r="U310" s="50" t="n">
        <v>52712</v>
      </c>
      <c r="V310" s="51" t="n">
        <v>3</v>
      </c>
      <c r="W310" s="51" t="n">
        <v>4</v>
      </c>
      <c r="X310" s="51" t="n">
        <v>1</v>
      </c>
      <c r="Y310" s="51" t="n">
        <v>2</v>
      </c>
      <c r="Z310" s="3" t="str">
        <f aca="false">VLOOKUP(A310,'Data Prep'!$A$5:$B$44,2,FALSE())</f>
        <v>In-n-out</v>
      </c>
      <c r="AA310" s="4" t="n">
        <f aca="false">COUNTBLANK(A310:Y310)</f>
        <v>0</v>
      </c>
    </row>
    <row r="311" customFormat="false" ht="12.75" hidden="false" customHeight="true" outlineLevel="0" collapsed="false">
      <c r="A311" s="45" t="s">
        <v>186</v>
      </c>
      <c r="B311" s="46" t="n">
        <v>0</v>
      </c>
      <c r="C311" s="46" t="n">
        <v>1</v>
      </c>
      <c r="D311" s="46" t="n">
        <v>0</v>
      </c>
      <c r="E311" s="46" t="n">
        <v>0</v>
      </c>
      <c r="F311" s="47" t="n">
        <v>0</v>
      </c>
      <c r="G311" s="48" t="n">
        <v>5</v>
      </c>
      <c r="H311" s="48" t="n">
        <v>5</v>
      </c>
      <c r="I311" s="48" t="n">
        <v>5</v>
      </c>
      <c r="J311" s="48" t="n">
        <v>4</v>
      </c>
      <c r="K311" s="48" t="n">
        <v>5</v>
      </c>
      <c r="L311" s="48" t="n">
        <v>5</v>
      </c>
      <c r="M311" s="49" t="n">
        <v>4</v>
      </c>
      <c r="N311" s="49" t="n">
        <v>3</v>
      </c>
      <c r="O311" s="49" t="n">
        <v>3</v>
      </c>
      <c r="P311" s="49" t="n">
        <v>4</v>
      </c>
      <c r="Q311" s="49" t="n">
        <v>3</v>
      </c>
      <c r="R311" s="49" t="n">
        <v>4</v>
      </c>
      <c r="S311" s="50" t="n">
        <v>0</v>
      </c>
      <c r="T311" s="50" t="n">
        <v>29</v>
      </c>
      <c r="U311" s="50" t="n">
        <v>20196</v>
      </c>
      <c r="V311" s="51" t="n">
        <v>2</v>
      </c>
      <c r="W311" s="51" t="n">
        <v>2</v>
      </c>
      <c r="X311" s="51" t="n">
        <v>2</v>
      </c>
      <c r="Y311" s="51" t="n">
        <v>3</v>
      </c>
      <c r="Z311" s="3" t="str">
        <f aca="false">VLOOKUP(A311,'Data Prep'!$A$5:$B$44,2,FALSE())</f>
        <v>Panera Bread</v>
      </c>
      <c r="AA311" s="4" t="n">
        <f aca="false">COUNTBLANK(A311:Y311)</f>
        <v>0</v>
      </c>
    </row>
    <row r="312" customFormat="false" ht="12.75" hidden="false" customHeight="true" outlineLevel="0" collapsed="false">
      <c r="A312" s="45" t="s">
        <v>35</v>
      </c>
      <c r="B312" s="46" t="n">
        <v>1</v>
      </c>
      <c r="C312" s="46" t="n">
        <v>0</v>
      </c>
      <c r="D312" s="46" t="n">
        <v>0</v>
      </c>
      <c r="E312" s="46" t="n">
        <v>0</v>
      </c>
      <c r="F312" s="47" t="n">
        <v>0</v>
      </c>
      <c r="G312" s="48" t="n">
        <v>5</v>
      </c>
      <c r="H312" s="48" t="n">
        <v>5</v>
      </c>
      <c r="I312" s="48" t="n">
        <v>5</v>
      </c>
      <c r="J312" s="48" t="n">
        <v>4</v>
      </c>
      <c r="K312" s="48" t="n">
        <v>5</v>
      </c>
      <c r="L312" s="48" t="n">
        <v>4</v>
      </c>
      <c r="M312" s="49" t="n">
        <v>5</v>
      </c>
      <c r="N312" s="49" t="n">
        <v>3</v>
      </c>
      <c r="O312" s="49" t="n">
        <v>5</v>
      </c>
      <c r="P312" s="49" t="n">
        <v>5</v>
      </c>
      <c r="Q312" s="49" t="n">
        <v>5</v>
      </c>
      <c r="R312" s="49" t="n">
        <v>5</v>
      </c>
      <c r="S312" s="50" t="n">
        <v>1</v>
      </c>
      <c r="T312" s="50" t="n">
        <v>45</v>
      </c>
      <c r="U312" s="50" t="n">
        <v>23515</v>
      </c>
      <c r="V312" s="51" t="n">
        <v>2</v>
      </c>
      <c r="W312" s="51" t="n">
        <v>3</v>
      </c>
      <c r="X312" s="51" t="n">
        <v>3</v>
      </c>
      <c r="Y312" s="51" t="n">
        <v>3</v>
      </c>
      <c r="Z312" s="3" t="str">
        <f aca="false">VLOOKUP(A312,'Data Prep'!$A$5:$B$44,2,FALSE())</f>
        <v>KFC</v>
      </c>
      <c r="AA312" s="4" t="n">
        <f aca="false">COUNTBLANK(A312:Y312)</f>
        <v>0</v>
      </c>
    </row>
    <row r="313" customFormat="false" ht="12.75" hidden="false" customHeight="true" outlineLevel="0" collapsed="false">
      <c r="A313" s="45" t="s">
        <v>33</v>
      </c>
      <c r="B313" s="46" t="n">
        <v>1</v>
      </c>
      <c r="C313" s="46" t="n">
        <v>0</v>
      </c>
      <c r="D313" s="46" t="n">
        <v>0</v>
      </c>
      <c r="E313" s="46" t="n">
        <v>0</v>
      </c>
      <c r="F313" s="47" t="n">
        <v>0</v>
      </c>
      <c r="G313" s="48" t="n">
        <v>5</v>
      </c>
      <c r="H313" s="48" t="n">
        <v>5</v>
      </c>
      <c r="I313" s="48" t="n">
        <v>5</v>
      </c>
      <c r="J313" s="48" t="n">
        <v>5</v>
      </c>
      <c r="K313" s="48" t="n">
        <v>5</v>
      </c>
      <c r="L313" s="48" t="n">
        <v>4</v>
      </c>
      <c r="M313" s="49" t="n">
        <v>5</v>
      </c>
      <c r="N313" s="49" t="n">
        <v>4</v>
      </c>
      <c r="O313" s="49" t="n">
        <v>5</v>
      </c>
      <c r="P313" s="49" t="n">
        <v>5</v>
      </c>
      <c r="Q313" s="49" t="n">
        <v>5</v>
      </c>
      <c r="R313" s="49" t="n">
        <v>3</v>
      </c>
      <c r="S313" s="50" t="n">
        <v>1</v>
      </c>
      <c r="T313" s="50" t="n">
        <v>33</v>
      </c>
      <c r="U313" s="50" t="n">
        <v>28285</v>
      </c>
      <c r="V313" s="51" t="n">
        <v>3</v>
      </c>
      <c r="W313" s="51" t="n">
        <v>2</v>
      </c>
      <c r="X313" s="51" t="n">
        <v>2</v>
      </c>
      <c r="Y313" s="51" t="n">
        <v>3</v>
      </c>
      <c r="Z313" s="3" t="str">
        <f aca="false">VLOOKUP(A313,'Data Prep'!$A$5:$B$44,2,FALSE())</f>
        <v>In-n-out</v>
      </c>
      <c r="AA313" s="4" t="n">
        <f aca="false">COUNTBLANK(A313:Y313)</f>
        <v>0</v>
      </c>
    </row>
    <row r="314" customFormat="false" ht="12.75" hidden="false" customHeight="true" outlineLevel="0" collapsed="false">
      <c r="A314" s="45" t="s">
        <v>33</v>
      </c>
      <c r="B314" s="46" t="n">
        <v>0</v>
      </c>
      <c r="C314" s="46" t="n">
        <v>1</v>
      </c>
      <c r="D314" s="46" t="n">
        <v>0</v>
      </c>
      <c r="E314" s="46" t="n">
        <v>0</v>
      </c>
      <c r="F314" s="47" t="n">
        <v>2</v>
      </c>
      <c r="G314" s="48" t="n">
        <v>4</v>
      </c>
      <c r="H314" s="48" t="n">
        <v>4</v>
      </c>
      <c r="I314" s="48" t="n">
        <v>4</v>
      </c>
      <c r="J314" s="48" t="n">
        <v>4</v>
      </c>
      <c r="K314" s="48" t="n">
        <v>5</v>
      </c>
      <c r="L314" s="48" t="n">
        <v>4</v>
      </c>
      <c r="M314" s="49" t="n">
        <v>1</v>
      </c>
      <c r="N314" s="49" t="n">
        <v>4</v>
      </c>
      <c r="O314" s="49" t="n">
        <v>3</v>
      </c>
      <c r="P314" s="49" t="n">
        <v>5</v>
      </c>
      <c r="Q314" s="49" t="n">
        <v>5</v>
      </c>
      <c r="R314" s="49" t="n">
        <v>3</v>
      </c>
      <c r="S314" s="50" t="n">
        <v>0</v>
      </c>
      <c r="T314" s="50" t="n">
        <v>43</v>
      </c>
      <c r="U314" s="50" t="n">
        <v>76311</v>
      </c>
      <c r="V314" s="51" t="n">
        <v>2</v>
      </c>
      <c r="W314" s="51" t="n">
        <v>4</v>
      </c>
      <c r="X314" s="51" t="n">
        <v>2</v>
      </c>
      <c r="Y314" s="51" t="n">
        <v>2</v>
      </c>
      <c r="Z314" s="3" t="str">
        <f aca="false">VLOOKUP(A314,'Data Prep'!$A$5:$B$44,2,FALSE())</f>
        <v>In-n-out</v>
      </c>
      <c r="AA314" s="4" t="n">
        <f aca="false">COUNTBLANK(A314:Y314)</f>
        <v>0</v>
      </c>
    </row>
    <row r="315" customFormat="false" ht="12.75" hidden="false" customHeight="true" outlineLevel="0" collapsed="false">
      <c r="A315" s="45" t="s">
        <v>174</v>
      </c>
      <c r="B315" s="46" t="n">
        <v>0</v>
      </c>
      <c r="C315" s="46" t="n">
        <v>0</v>
      </c>
      <c r="D315" s="46" t="n">
        <v>1</v>
      </c>
      <c r="E315" s="46" t="n">
        <v>0</v>
      </c>
      <c r="F315" s="47" t="n">
        <v>0</v>
      </c>
      <c r="G315" s="48" t="n">
        <v>5</v>
      </c>
      <c r="H315" s="48"/>
      <c r="I315" s="48"/>
      <c r="J315" s="48" t="n">
        <v>5</v>
      </c>
      <c r="K315" s="48"/>
      <c r="L315" s="48" t="n">
        <v>5</v>
      </c>
      <c r="M315" s="49"/>
      <c r="N315" s="49"/>
      <c r="O315" s="49" t="n">
        <v>1</v>
      </c>
      <c r="P315" s="49"/>
      <c r="Q315" s="49" t="n">
        <v>5</v>
      </c>
      <c r="R315" s="49"/>
      <c r="S315" s="50" t="n">
        <v>1</v>
      </c>
      <c r="T315" s="50" t="n">
        <v>33</v>
      </c>
      <c r="U315" s="50" t="n">
        <v>42186</v>
      </c>
      <c r="V315" s="51" t="n">
        <v>1</v>
      </c>
      <c r="W315" s="51"/>
      <c r="X315" s="51"/>
      <c r="Y315" s="51"/>
      <c r="Z315" s="3" t="str">
        <f aca="false">VLOOKUP(A315,'Data Prep'!$A$5:$B$44,2,FALSE())</f>
        <v>McDonalds</v>
      </c>
      <c r="AA315" s="4" t="n">
        <f aca="false">COUNTBLANK(A315:Y315)</f>
        <v>10</v>
      </c>
    </row>
    <row r="316" customFormat="false" ht="12.75" hidden="false" customHeight="true" outlineLevel="0" collapsed="false">
      <c r="A316" s="45" t="s">
        <v>30</v>
      </c>
      <c r="B316" s="46" t="n">
        <v>1</v>
      </c>
      <c r="C316" s="46" t="n">
        <v>0</v>
      </c>
      <c r="D316" s="46" t="n">
        <v>0</v>
      </c>
      <c r="E316" s="46" t="n">
        <v>0</v>
      </c>
      <c r="F316" s="47" t="n">
        <v>0</v>
      </c>
      <c r="G316" s="48" t="n">
        <v>4</v>
      </c>
      <c r="H316" s="48" t="n">
        <v>4</v>
      </c>
      <c r="I316" s="48" t="n">
        <v>2</v>
      </c>
      <c r="J316" s="48" t="n">
        <v>4</v>
      </c>
      <c r="K316" s="48" t="n">
        <v>5</v>
      </c>
      <c r="L316" s="48" t="n">
        <v>4</v>
      </c>
      <c r="M316" s="49" t="n">
        <v>3</v>
      </c>
      <c r="N316" s="49" t="n">
        <v>4</v>
      </c>
      <c r="O316" s="49" t="n">
        <v>4</v>
      </c>
      <c r="P316" s="49" t="n">
        <v>5</v>
      </c>
      <c r="Q316" s="49" t="n">
        <v>4</v>
      </c>
      <c r="R316" s="49" t="n">
        <v>3</v>
      </c>
      <c r="S316" s="50" t="n">
        <v>0</v>
      </c>
      <c r="T316" s="50" t="n">
        <v>33</v>
      </c>
      <c r="U316" s="50" t="n">
        <v>71247</v>
      </c>
      <c r="V316" s="51" t="n">
        <v>2</v>
      </c>
      <c r="W316" s="51" t="n">
        <v>4</v>
      </c>
      <c r="X316" s="51" t="n">
        <v>1</v>
      </c>
      <c r="Y316" s="51" t="n">
        <v>1</v>
      </c>
      <c r="Z316" s="3" t="str">
        <f aca="false">VLOOKUP(A316,'Data Prep'!$A$5:$B$44,2,FALSE())</f>
        <v>Chipotle</v>
      </c>
      <c r="AA316" s="4" t="n">
        <f aca="false">COUNTBLANK(A316:Y316)</f>
        <v>0</v>
      </c>
    </row>
    <row r="317" customFormat="false" ht="12.75" hidden="false" customHeight="true" outlineLevel="0" collapsed="false">
      <c r="A317" s="45" t="s">
        <v>180</v>
      </c>
      <c r="B317" s="46" t="n">
        <v>0</v>
      </c>
      <c r="C317" s="46" t="n">
        <v>0</v>
      </c>
      <c r="D317" s="46" t="n">
        <v>1</v>
      </c>
      <c r="E317" s="46" t="n">
        <v>0</v>
      </c>
      <c r="F317" s="47" t="n">
        <v>0</v>
      </c>
      <c r="G317" s="48" t="n">
        <v>4</v>
      </c>
      <c r="H317" s="48" t="n">
        <v>4</v>
      </c>
      <c r="I317" s="48" t="n">
        <v>5</v>
      </c>
      <c r="J317" s="48" t="n">
        <v>5</v>
      </c>
      <c r="K317" s="48" t="n">
        <v>5</v>
      </c>
      <c r="L317" s="48" t="n">
        <v>4</v>
      </c>
      <c r="M317" s="49" t="n">
        <v>3</v>
      </c>
      <c r="N317" s="49" t="n">
        <v>2</v>
      </c>
      <c r="O317" s="49" t="n">
        <v>4</v>
      </c>
      <c r="P317" s="49" t="n">
        <v>2</v>
      </c>
      <c r="Q317" s="49" t="n">
        <v>4</v>
      </c>
      <c r="R317" s="49" t="n">
        <v>2</v>
      </c>
      <c r="S317" s="50" t="n">
        <v>1</v>
      </c>
      <c r="T317" s="50" t="n">
        <v>69</v>
      </c>
      <c r="U317" s="50" t="n">
        <v>25734</v>
      </c>
      <c r="V317" s="51" t="n">
        <v>2</v>
      </c>
      <c r="W317" s="51" t="n">
        <v>4</v>
      </c>
      <c r="X317" s="51" t="n">
        <v>2</v>
      </c>
      <c r="Y317" s="51" t="n">
        <v>2</v>
      </c>
      <c r="Z317" s="3" t="str">
        <f aca="false">VLOOKUP(A317,'Data Prep'!$A$5:$B$44,2,FALSE())</f>
        <v>Panera Bread</v>
      </c>
      <c r="AA317" s="4" t="n">
        <f aca="false">COUNTBLANK(A317:Y317)</f>
        <v>0</v>
      </c>
    </row>
    <row r="318" customFormat="false" ht="12.75" hidden="false" customHeight="true" outlineLevel="0" collapsed="false">
      <c r="A318" s="45" t="s">
        <v>180</v>
      </c>
      <c r="B318" s="46" t="n">
        <v>0</v>
      </c>
      <c r="C318" s="46" t="n">
        <v>0</v>
      </c>
      <c r="D318" s="46" t="n">
        <v>1</v>
      </c>
      <c r="E318" s="46" t="n">
        <v>0</v>
      </c>
      <c r="F318" s="47" t="n">
        <v>4</v>
      </c>
      <c r="G318" s="48" t="n">
        <v>5</v>
      </c>
      <c r="H318" s="48" t="n">
        <v>4</v>
      </c>
      <c r="I318" s="48" t="n">
        <v>5</v>
      </c>
      <c r="J318" s="48" t="n">
        <v>3</v>
      </c>
      <c r="K318" s="48" t="n">
        <v>5</v>
      </c>
      <c r="L318" s="48" t="n">
        <v>4</v>
      </c>
      <c r="M318" s="49" t="n">
        <v>5</v>
      </c>
      <c r="N318" s="49" t="n">
        <v>4</v>
      </c>
      <c r="O318" s="49" t="n">
        <v>5</v>
      </c>
      <c r="P318" s="49" t="n">
        <v>4</v>
      </c>
      <c r="Q318" s="49" t="n">
        <v>5</v>
      </c>
      <c r="R318" s="49" t="n">
        <v>5</v>
      </c>
      <c r="S318" s="50" t="n">
        <v>0</v>
      </c>
      <c r="T318" s="50" t="n">
        <v>19</v>
      </c>
      <c r="U318" s="50" t="n">
        <v>18248</v>
      </c>
      <c r="V318" s="51" t="n">
        <v>3</v>
      </c>
      <c r="W318" s="51" t="n">
        <v>4</v>
      </c>
      <c r="X318" s="51" t="n">
        <v>2</v>
      </c>
      <c r="Y318" s="51" t="n">
        <v>2</v>
      </c>
      <c r="Z318" s="3" t="str">
        <f aca="false">VLOOKUP(A318,'Data Prep'!$A$5:$B$44,2,FALSE())</f>
        <v>Panera Bread</v>
      </c>
      <c r="AA318" s="4" t="n">
        <f aca="false">COUNTBLANK(A318:Y318)</f>
        <v>0</v>
      </c>
    </row>
    <row r="319" customFormat="false" ht="12.75" hidden="false" customHeight="true" outlineLevel="0" collapsed="false">
      <c r="A319" s="45" t="s">
        <v>180</v>
      </c>
      <c r="B319" s="46" t="n">
        <v>1</v>
      </c>
      <c r="C319" s="46" t="n">
        <v>0</v>
      </c>
      <c r="D319" s="46" t="n">
        <v>0</v>
      </c>
      <c r="E319" s="46" t="n">
        <v>0</v>
      </c>
      <c r="F319" s="47" t="n">
        <v>0</v>
      </c>
      <c r="G319" s="48" t="n">
        <v>5</v>
      </c>
      <c r="H319" s="48" t="n">
        <v>5</v>
      </c>
      <c r="I319" s="48" t="n">
        <v>5</v>
      </c>
      <c r="J319" s="48" t="n">
        <v>5</v>
      </c>
      <c r="K319" s="48" t="n">
        <v>5</v>
      </c>
      <c r="L319" s="48" t="n">
        <v>5</v>
      </c>
      <c r="M319" s="49" t="n">
        <v>5</v>
      </c>
      <c r="N319" s="49" t="n">
        <v>5</v>
      </c>
      <c r="O319" s="49" t="n">
        <v>5</v>
      </c>
      <c r="P319" s="49" t="n">
        <v>5</v>
      </c>
      <c r="Q319" s="49" t="n">
        <v>5</v>
      </c>
      <c r="R319" s="49" t="n">
        <v>5</v>
      </c>
      <c r="S319" s="50" t="n">
        <v>1</v>
      </c>
      <c r="T319" s="50" t="n">
        <v>18</v>
      </c>
      <c r="U319" s="50" t="n">
        <v>66888</v>
      </c>
      <c r="V319" s="51" t="n">
        <v>1</v>
      </c>
      <c r="W319" s="51" t="n">
        <v>1</v>
      </c>
      <c r="X319" s="51" t="n">
        <v>1</v>
      </c>
      <c r="Y319" s="51" t="n">
        <v>1</v>
      </c>
      <c r="Z319" s="3" t="str">
        <f aca="false">VLOOKUP(A319,'Data Prep'!$A$5:$B$44,2,FALSE())</f>
        <v>Panera Bread</v>
      </c>
      <c r="AA319" s="4" t="n">
        <f aca="false">COUNTBLANK(A319:Y319)</f>
        <v>0</v>
      </c>
    </row>
    <row r="320" customFormat="false" ht="12.75" hidden="false" customHeight="true" outlineLevel="0" collapsed="false">
      <c r="A320" s="45" t="s">
        <v>30</v>
      </c>
      <c r="B320" s="46" t="n">
        <v>1</v>
      </c>
      <c r="C320" s="46" t="n">
        <v>0</v>
      </c>
      <c r="D320" s="46" t="n">
        <v>0</v>
      </c>
      <c r="E320" s="46" t="n">
        <v>0</v>
      </c>
      <c r="F320" s="47" t="n">
        <v>0</v>
      </c>
      <c r="G320" s="48" t="n">
        <v>5</v>
      </c>
      <c r="H320" s="48" t="n">
        <v>5</v>
      </c>
      <c r="I320" s="48" t="n">
        <v>5</v>
      </c>
      <c r="J320" s="48" t="n">
        <v>5</v>
      </c>
      <c r="K320" s="48" t="n">
        <v>5</v>
      </c>
      <c r="L320" s="48" t="n">
        <v>4</v>
      </c>
      <c r="M320" s="49" t="n">
        <v>3</v>
      </c>
      <c r="N320" s="49" t="n">
        <v>4</v>
      </c>
      <c r="O320" s="49" t="n">
        <v>3</v>
      </c>
      <c r="P320" s="49" t="n">
        <v>5</v>
      </c>
      <c r="Q320" s="49" t="n">
        <v>5</v>
      </c>
      <c r="R320" s="49" t="n">
        <v>3</v>
      </c>
      <c r="S320" s="50"/>
      <c r="T320" s="50"/>
      <c r="U320" s="50"/>
      <c r="V320" s="51"/>
      <c r="W320" s="51"/>
      <c r="X320" s="51"/>
      <c r="Y320" s="51"/>
      <c r="Z320" s="3" t="str">
        <f aca="false">VLOOKUP(A320,'Data Prep'!$A$5:$B$44,2,FALSE())</f>
        <v>Chipotle</v>
      </c>
      <c r="AA320" s="4" t="n">
        <f aca="false">COUNTBLANK(A320:Y320)</f>
        <v>7</v>
      </c>
    </row>
    <row r="321" customFormat="false" ht="12.75" hidden="false" customHeight="true" outlineLevel="0" collapsed="false">
      <c r="A321" s="45" t="s">
        <v>30</v>
      </c>
      <c r="B321" s="46" t="n">
        <v>1</v>
      </c>
      <c r="C321" s="46" t="n">
        <v>0</v>
      </c>
      <c r="D321" s="46" t="n">
        <v>0</v>
      </c>
      <c r="E321" s="46" t="n">
        <v>0</v>
      </c>
      <c r="F321" s="47" t="n">
        <v>0</v>
      </c>
      <c r="G321" s="48" t="n">
        <v>4</v>
      </c>
      <c r="H321" s="48" t="n">
        <v>5</v>
      </c>
      <c r="I321" s="48" t="n">
        <v>5</v>
      </c>
      <c r="J321" s="48" t="n">
        <v>5</v>
      </c>
      <c r="K321" s="48" t="n">
        <v>5</v>
      </c>
      <c r="L321" s="48" t="n">
        <v>4</v>
      </c>
      <c r="M321" s="49" t="n">
        <v>3</v>
      </c>
      <c r="N321" s="49" t="n">
        <v>5</v>
      </c>
      <c r="O321" s="49" t="n">
        <v>4</v>
      </c>
      <c r="P321" s="49"/>
      <c r="Q321" s="49" t="n">
        <v>5</v>
      </c>
      <c r="R321" s="49" t="n">
        <v>4</v>
      </c>
      <c r="S321" s="50" t="n">
        <v>1</v>
      </c>
      <c r="T321" s="50" t="n">
        <v>29</v>
      </c>
      <c r="U321" s="50" t="n">
        <v>26017</v>
      </c>
      <c r="V321" s="51" t="n">
        <v>1</v>
      </c>
      <c r="W321" s="51" t="n">
        <v>2</v>
      </c>
      <c r="X321" s="51" t="n">
        <v>2</v>
      </c>
      <c r="Y321" s="51" t="n">
        <v>1</v>
      </c>
      <c r="Z321" s="3" t="str">
        <f aca="false">VLOOKUP(A321,'Data Prep'!$A$5:$B$44,2,FALSE())</f>
        <v>Chipotle</v>
      </c>
      <c r="AA321" s="4" t="n">
        <f aca="false">COUNTBLANK(A321:Y321)</f>
        <v>1</v>
      </c>
    </row>
    <row r="322" customFormat="false" ht="12.75" hidden="false" customHeight="true" outlineLevel="0" collapsed="false">
      <c r="A322" s="45" t="s">
        <v>33</v>
      </c>
      <c r="B322" s="46" t="n">
        <v>1</v>
      </c>
      <c r="C322" s="46" t="n">
        <v>0</v>
      </c>
      <c r="D322" s="46" t="n">
        <v>0</v>
      </c>
      <c r="E322" s="46" t="n">
        <v>0</v>
      </c>
      <c r="F322" s="47" t="n">
        <v>0</v>
      </c>
      <c r="G322" s="48" t="n">
        <v>5</v>
      </c>
      <c r="H322" s="48" t="n">
        <v>5</v>
      </c>
      <c r="I322" s="48" t="n">
        <v>5</v>
      </c>
      <c r="J322" s="48" t="n">
        <v>5</v>
      </c>
      <c r="K322" s="48" t="n">
        <v>5</v>
      </c>
      <c r="L322" s="48" t="n">
        <v>5</v>
      </c>
      <c r="M322" s="49" t="n">
        <v>2</v>
      </c>
      <c r="N322" s="49" t="n">
        <v>5</v>
      </c>
      <c r="O322" s="49" t="n">
        <v>4</v>
      </c>
      <c r="P322" s="49" t="n">
        <v>5</v>
      </c>
      <c r="Q322" s="49" t="n">
        <v>5</v>
      </c>
      <c r="R322" s="49" t="n">
        <v>3</v>
      </c>
      <c r="S322" s="50" t="n">
        <v>0</v>
      </c>
      <c r="T322" s="50" t="n">
        <v>39</v>
      </c>
      <c r="U322" s="50" t="n">
        <v>21978</v>
      </c>
      <c r="V322" s="51" t="n">
        <v>2</v>
      </c>
      <c r="W322" s="51" t="n">
        <v>4</v>
      </c>
      <c r="X322" s="51" t="n">
        <v>2</v>
      </c>
      <c r="Y322" s="51" t="n">
        <v>1</v>
      </c>
      <c r="Z322" s="3" t="str">
        <f aca="false">VLOOKUP(A322,'Data Prep'!$A$5:$B$44,2,FALSE())</f>
        <v>In-n-out</v>
      </c>
      <c r="AA322" s="4" t="n">
        <f aca="false">COUNTBLANK(A322:Y322)</f>
        <v>0</v>
      </c>
    </row>
    <row r="323" customFormat="false" ht="12.75" hidden="false" customHeight="true" outlineLevel="0" collapsed="false">
      <c r="A323" s="45" t="s">
        <v>33</v>
      </c>
      <c r="B323" s="46" t="n">
        <v>1</v>
      </c>
      <c r="C323" s="46" t="n">
        <v>0</v>
      </c>
      <c r="D323" s="46" t="n">
        <v>0</v>
      </c>
      <c r="E323" s="46" t="n">
        <v>0</v>
      </c>
      <c r="F323" s="47" t="n">
        <v>0</v>
      </c>
      <c r="G323" s="48" t="n">
        <v>4</v>
      </c>
      <c r="H323" s="48" t="n">
        <v>4</v>
      </c>
      <c r="I323" s="48" t="n">
        <v>5</v>
      </c>
      <c r="J323" s="48" t="n">
        <v>5</v>
      </c>
      <c r="K323" s="48" t="n">
        <v>5</v>
      </c>
      <c r="L323" s="48" t="n">
        <v>4</v>
      </c>
      <c r="M323" s="49" t="n">
        <v>3</v>
      </c>
      <c r="N323" s="49" t="n">
        <v>3</v>
      </c>
      <c r="O323" s="49" t="n">
        <v>3</v>
      </c>
      <c r="P323" s="49" t="n">
        <v>4</v>
      </c>
      <c r="Q323" s="49" t="n">
        <v>4</v>
      </c>
      <c r="R323" s="49" t="n">
        <v>3</v>
      </c>
      <c r="S323" s="50" t="n">
        <v>0</v>
      </c>
      <c r="T323" s="50" t="n">
        <v>45</v>
      </c>
      <c r="U323" s="50" t="n">
        <v>11342</v>
      </c>
      <c r="V323" s="51" t="n">
        <v>2</v>
      </c>
      <c r="W323" s="51" t="n">
        <v>2</v>
      </c>
      <c r="X323" s="51" t="n">
        <v>2</v>
      </c>
      <c r="Y323" s="51" t="n">
        <v>2</v>
      </c>
      <c r="Z323" s="3" t="str">
        <f aca="false">VLOOKUP(A323,'Data Prep'!$A$5:$B$44,2,FALSE())</f>
        <v>In-n-out</v>
      </c>
      <c r="AA323" s="4" t="n">
        <f aca="false">COUNTBLANK(A323:Y323)</f>
        <v>0</v>
      </c>
    </row>
    <row r="324" customFormat="false" ht="12.75" hidden="false" customHeight="true" outlineLevel="0" collapsed="false">
      <c r="A324" s="45" t="s">
        <v>42</v>
      </c>
      <c r="B324" s="46" t="n">
        <v>1</v>
      </c>
      <c r="C324" s="46" t="n">
        <v>0</v>
      </c>
      <c r="D324" s="46" t="n">
        <v>0</v>
      </c>
      <c r="E324" s="46" t="n">
        <v>0</v>
      </c>
      <c r="F324" s="47" t="n">
        <v>0</v>
      </c>
      <c r="G324" s="48" t="n">
        <v>5</v>
      </c>
      <c r="H324" s="48" t="n">
        <v>5</v>
      </c>
      <c r="I324" s="48" t="n">
        <v>5</v>
      </c>
      <c r="J324" s="48" t="n">
        <v>5</v>
      </c>
      <c r="K324" s="48" t="n">
        <v>5</v>
      </c>
      <c r="L324" s="48" t="n">
        <v>5</v>
      </c>
      <c r="M324" s="49" t="n">
        <v>5</v>
      </c>
      <c r="N324" s="49" t="n">
        <v>5</v>
      </c>
      <c r="O324" s="49" t="n">
        <v>5</v>
      </c>
      <c r="P324" s="49" t="n">
        <v>5</v>
      </c>
      <c r="Q324" s="49" t="n">
        <v>5</v>
      </c>
      <c r="R324" s="49" t="n">
        <v>5</v>
      </c>
      <c r="S324" s="50" t="n">
        <v>0</v>
      </c>
      <c r="T324" s="50" t="n">
        <v>33</v>
      </c>
      <c r="U324" s="50" t="n">
        <v>23146</v>
      </c>
      <c r="V324" s="51" t="n">
        <v>1</v>
      </c>
      <c r="W324" s="51" t="n">
        <v>4</v>
      </c>
      <c r="X324" s="51" t="n">
        <v>1</v>
      </c>
      <c r="Y324" s="51" t="n">
        <v>2</v>
      </c>
      <c r="Z324" s="3" t="str">
        <f aca="false">VLOOKUP(A324,'Data Prep'!$A$5:$B$44,2,FALSE())</f>
        <v>Subway</v>
      </c>
      <c r="AA324" s="4" t="n">
        <f aca="false">COUNTBLANK(A324:Y324)</f>
        <v>0</v>
      </c>
    </row>
    <row r="325" customFormat="false" ht="12.75" hidden="false" customHeight="true" outlineLevel="0" collapsed="false">
      <c r="A325" s="45" t="s">
        <v>35</v>
      </c>
      <c r="B325" s="46" t="n">
        <v>0</v>
      </c>
      <c r="C325" s="46" t="n">
        <v>0</v>
      </c>
      <c r="D325" s="46" t="n">
        <v>0</v>
      </c>
      <c r="E325" s="46" t="n">
        <v>1</v>
      </c>
      <c r="F325" s="47" t="n">
        <v>0</v>
      </c>
      <c r="G325" s="48" t="n">
        <v>5</v>
      </c>
      <c r="H325" s="48" t="n">
        <v>5</v>
      </c>
      <c r="I325" s="48" t="n">
        <v>5</v>
      </c>
      <c r="J325" s="48" t="n">
        <v>5</v>
      </c>
      <c r="K325" s="48" t="n">
        <v>5</v>
      </c>
      <c r="L325" s="48" t="n">
        <v>5</v>
      </c>
      <c r="M325" s="49" t="n">
        <v>4</v>
      </c>
      <c r="N325" s="49" t="n">
        <v>4</v>
      </c>
      <c r="O325" s="49" t="n">
        <v>5</v>
      </c>
      <c r="P325" s="49" t="n">
        <v>5</v>
      </c>
      <c r="Q325" s="49" t="n">
        <v>4</v>
      </c>
      <c r="R325" s="49" t="n">
        <v>5</v>
      </c>
      <c r="S325" s="50" t="n">
        <v>0</v>
      </c>
      <c r="T325" s="50" t="n">
        <v>33</v>
      </c>
      <c r="U325" s="50" t="n">
        <v>18631</v>
      </c>
      <c r="V325" s="51" t="n">
        <v>1</v>
      </c>
      <c r="W325" s="51" t="n">
        <v>2</v>
      </c>
      <c r="X325" s="51" t="n">
        <v>1</v>
      </c>
      <c r="Y325" s="51" t="n">
        <v>1</v>
      </c>
      <c r="Z325" s="3" t="str">
        <f aca="false">VLOOKUP(A325,'Data Prep'!$A$5:$B$44,2,FALSE())</f>
        <v>KFC</v>
      </c>
      <c r="AA325" s="4" t="n">
        <f aca="false">COUNTBLANK(A325:Y325)</f>
        <v>0</v>
      </c>
    </row>
    <row r="326" customFormat="false" ht="12.75" hidden="false" customHeight="true" outlineLevel="0" collapsed="false">
      <c r="A326" s="45" t="s">
        <v>33</v>
      </c>
      <c r="B326" s="46" t="n">
        <v>0</v>
      </c>
      <c r="C326" s="46" t="n">
        <v>0</v>
      </c>
      <c r="D326" s="46" t="n">
        <v>1</v>
      </c>
      <c r="E326" s="46" t="n">
        <v>0</v>
      </c>
      <c r="F326" s="47" t="n">
        <v>0</v>
      </c>
      <c r="G326" s="48" t="n">
        <v>4</v>
      </c>
      <c r="H326" s="48" t="n">
        <v>4</v>
      </c>
      <c r="I326" s="48" t="n">
        <v>5</v>
      </c>
      <c r="J326" s="48" t="n">
        <v>5</v>
      </c>
      <c r="K326" s="48" t="n">
        <v>5</v>
      </c>
      <c r="L326" s="48" t="n">
        <v>5</v>
      </c>
      <c r="M326" s="49" t="n">
        <v>3</v>
      </c>
      <c r="N326" s="49" t="n">
        <v>3</v>
      </c>
      <c r="O326" s="49" t="n">
        <v>3</v>
      </c>
      <c r="P326" s="49" t="n">
        <v>3</v>
      </c>
      <c r="Q326" s="49" t="n">
        <v>3</v>
      </c>
      <c r="R326" s="49" t="n">
        <v>3</v>
      </c>
      <c r="S326" s="50"/>
      <c r="T326" s="50"/>
      <c r="U326" s="50"/>
      <c r="V326" s="51"/>
      <c r="W326" s="51"/>
      <c r="X326" s="51"/>
      <c r="Y326" s="51"/>
      <c r="Z326" s="3" t="str">
        <f aca="false">VLOOKUP(A326,'Data Prep'!$A$5:$B$44,2,FALSE())</f>
        <v>In-n-out</v>
      </c>
      <c r="AA326" s="4" t="n">
        <f aca="false">COUNTBLANK(A326:Y326)</f>
        <v>7</v>
      </c>
    </row>
    <row r="327" customFormat="false" ht="12.75" hidden="false" customHeight="true" outlineLevel="0" collapsed="false">
      <c r="A327" s="45" t="s">
        <v>42</v>
      </c>
      <c r="B327" s="46" t="n">
        <v>1</v>
      </c>
      <c r="C327" s="46" t="n">
        <v>0</v>
      </c>
      <c r="D327" s="46" t="n">
        <v>0</v>
      </c>
      <c r="E327" s="46" t="n">
        <v>0</v>
      </c>
      <c r="F327" s="47" t="n">
        <v>0</v>
      </c>
      <c r="G327" s="48" t="n">
        <v>5</v>
      </c>
      <c r="H327" s="48" t="n">
        <v>5</v>
      </c>
      <c r="I327" s="48" t="n">
        <v>5</v>
      </c>
      <c r="J327" s="48" t="n">
        <v>5</v>
      </c>
      <c r="K327" s="48" t="n">
        <v>5</v>
      </c>
      <c r="L327" s="48" t="n">
        <v>5</v>
      </c>
      <c r="M327" s="49" t="n">
        <v>4</v>
      </c>
      <c r="N327" s="49" t="n">
        <v>4</v>
      </c>
      <c r="O327" s="49" t="n">
        <v>3</v>
      </c>
      <c r="P327" s="49" t="n">
        <v>5</v>
      </c>
      <c r="Q327" s="49" t="n">
        <v>3</v>
      </c>
      <c r="R327" s="49" t="n">
        <v>3</v>
      </c>
      <c r="S327" s="50" t="n">
        <v>0</v>
      </c>
      <c r="T327" s="50" t="n">
        <v>44</v>
      </c>
      <c r="U327" s="50" t="n">
        <v>30408</v>
      </c>
      <c r="V327" s="51" t="n">
        <v>2</v>
      </c>
      <c r="W327" s="51" t="n">
        <v>2</v>
      </c>
      <c r="X327" s="51" t="n">
        <v>2</v>
      </c>
      <c r="Y327" s="51" t="n">
        <v>1</v>
      </c>
      <c r="Z327" s="3" t="str">
        <f aca="false">VLOOKUP(A327,'Data Prep'!$A$5:$B$44,2,FALSE())</f>
        <v>Subway</v>
      </c>
      <c r="AA327" s="4" t="n">
        <f aca="false">COUNTBLANK(A327:Y327)</f>
        <v>0</v>
      </c>
    </row>
    <row r="328" customFormat="false" ht="12.75" hidden="false" customHeight="true" outlineLevel="0" collapsed="false">
      <c r="A328" s="45" t="s">
        <v>180</v>
      </c>
      <c r="B328" s="46" t="n">
        <v>0</v>
      </c>
      <c r="C328" s="46" t="n">
        <v>0</v>
      </c>
      <c r="D328" s="46" t="n">
        <v>1</v>
      </c>
      <c r="E328" s="46" t="n">
        <v>0</v>
      </c>
      <c r="F328" s="47" t="n">
        <v>0</v>
      </c>
      <c r="G328" s="48" t="n">
        <v>4</v>
      </c>
      <c r="H328" s="48" t="n">
        <v>4</v>
      </c>
      <c r="I328" s="48" t="n">
        <v>5</v>
      </c>
      <c r="J328" s="48" t="n">
        <v>5</v>
      </c>
      <c r="K328" s="48" t="n">
        <v>5</v>
      </c>
      <c r="L328" s="48" t="n">
        <v>5</v>
      </c>
      <c r="M328" s="49" t="n">
        <v>4</v>
      </c>
      <c r="N328" s="49" t="n">
        <v>5</v>
      </c>
      <c r="O328" s="49" t="n">
        <v>5</v>
      </c>
      <c r="P328" s="49" t="n">
        <v>5</v>
      </c>
      <c r="Q328" s="49" t="n">
        <v>5</v>
      </c>
      <c r="R328" s="49" t="n">
        <v>5</v>
      </c>
      <c r="S328" s="50" t="n">
        <v>0</v>
      </c>
      <c r="T328" s="50" t="n">
        <v>44</v>
      </c>
      <c r="U328" s="50" t="n">
        <v>38756</v>
      </c>
      <c r="V328" s="51" t="n">
        <v>1</v>
      </c>
      <c r="W328" s="51" t="n">
        <v>3</v>
      </c>
      <c r="X328" s="51" t="n">
        <v>1</v>
      </c>
      <c r="Y328" s="51" t="n">
        <v>1</v>
      </c>
      <c r="Z328" s="3" t="str">
        <f aca="false">VLOOKUP(A328,'Data Prep'!$A$5:$B$44,2,FALSE())</f>
        <v>Panera Bread</v>
      </c>
      <c r="AA328" s="4" t="n">
        <f aca="false">COUNTBLANK(A328:Y328)</f>
        <v>0</v>
      </c>
    </row>
    <row r="329" customFormat="false" ht="12.75" hidden="false" customHeight="true" outlineLevel="0" collapsed="false">
      <c r="A329" s="45" t="s">
        <v>33</v>
      </c>
      <c r="B329" s="46" t="n">
        <v>1</v>
      </c>
      <c r="C329" s="46" t="n">
        <v>0</v>
      </c>
      <c r="D329" s="46" t="n">
        <v>0</v>
      </c>
      <c r="E329" s="46" t="n">
        <v>0</v>
      </c>
      <c r="F329" s="47" t="n">
        <v>1</v>
      </c>
      <c r="G329" s="48" t="n">
        <v>3</v>
      </c>
      <c r="H329" s="48" t="n">
        <v>5</v>
      </c>
      <c r="I329" s="48" t="n">
        <v>5</v>
      </c>
      <c r="J329" s="48" t="n">
        <v>4</v>
      </c>
      <c r="K329" s="48" t="n">
        <v>5</v>
      </c>
      <c r="L329" s="48" t="n">
        <v>4</v>
      </c>
      <c r="M329" s="49" t="n">
        <v>2</v>
      </c>
      <c r="N329" s="49" t="n">
        <v>3</v>
      </c>
      <c r="O329" s="49" t="n">
        <v>3</v>
      </c>
      <c r="P329" s="49" t="n">
        <v>3</v>
      </c>
      <c r="Q329" s="49" t="n">
        <v>3</v>
      </c>
      <c r="R329" s="49" t="n">
        <v>2</v>
      </c>
      <c r="S329" s="50" t="n">
        <v>0</v>
      </c>
      <c r="T329" s="50" t="n">
        <v>39</v>
      </c>
      <c r="U329" s="50" t="n">
        <v>46736</v>
      </c>
      <c r="V329" s="51" t="n">
        <v>1</v>
      </c>
      <c r="W329" s="51" t="n">
        <v>4</v>
      </c>
      <c r="X329" s="51" t="n">
        <v>1</v>
      </c>
      <c r="Y329" s="51" t="n">
        <v>1</v>
      </c>
      <c r="Z329" s="3" t="str">
        <f aca="false">VLOOKUP(A329,'Data Prep'!$A$5:$B$44,2,FALSE())</f>
        <v>In-n-out</v>
      </c>
      <c r="AA329" s="4" t="n">
        <f aca="false">COUNTBLANK(A329:Y329)</f>
        <v>0</v>
      </c>
    </row>
    <row r="330" customFormat="false" ht="12.75" hidden="false" customHeight="true" outlineLevel="0" collapsed="false">
      <c r="A330" s="45" t="s">
        <v>180</v>
      </c>
      <c r="B330" s="46" t="n">
        <v>0</v>
      </c>
      <c r="C330" s="46" t="n">
        <v>0</v>
      </c>
      <c r="D330" s="46" t="n">
        <v>0</v>
      </c>
      <c r="E330" s="46" t="n">
        <v>0</v>
      </c>
      <c r="F330" s="47" t="n">
        <v>3</v>
      </c>
      <c r="G330" s="48"/>
      <c r="H330" s="48"/>
      <c r="I330" s="48"/>
      <c r="J330" s="48"/>
      <c r="K330" s="48"/>
      <c r="L330" s="48"/>
      <c r="M330" s="49"/>
      <c r="N330" s="49"/>
      <c r="O330" s="49"/>
      <c r="P330" s="49"/>
      <c r="Q330" s="49"/>
      <c r="R330" s="49"/>
      <c r="S330" s="50" t="n">
        <v>0</v>
      </c>
      <c r="T330" s="50" t="n">
        <v>58</v>
      </c>
      <c r="U330" s="50" t="n">
        <v>21101</v>
      </c>
      <c r="V330" s="51" t="n">
        <v>1</v>
      </c>
      <c r="W330" s="51" t="n">
        <v>4</v>
      </c>
      <c r="X330" s="51" t="n">
        <v>3</v>
      </c>
      <c r="Y330" s="51" t="n">
        <v>3</v>
      </c>
      <c r="Z330" s="3" t="str">
        <f aca="false">VLOOKUP(A330,'Data Prep'!$A$5:$B$44,2,FALSE())</f>
        <v>Panera Bread</v>
      </c>
      <c r="AA330" s="4" t="n">
        <f aca="false">COUNTBLANK(A330:Y330)</f>
        <v>12</v>
      </c>
    </row>
    <row r="331" customFormat="false" ht="12.75" hidden="false" customHeight="true" outlineLevel="0" collapsed="false">
      <c r="A331" s="45" t="s">
        <v>42</v>
      </c>
      <c r="B331" s="46" t="n">
        <v>0</v>
      </c>
      <c r="C331" s="46" t="n">
        <v>0</v>
      </c>
      <c r="D331" s="46" t="n">
        <v>0</v>
      </c>
      <c r="E331" s="46" t="n">
        <v>0</v>
      </c>
      <c r="F331" s="47" t="n">
        <v>4</v>
      </c>
      <c r="G331" s="48"/>
      <c r="H331" s="48"/>
      <c r="I331" s="48"/>
      <c r="J331" s="48"/>
      <c r="K331" s="48"/>
      <c r="L331" s="48"/>
      <c r="M331" s="49"/>
      <c r="N331" s="49"/>
      <c r="O331" s="49"/>
      <c r="P331" s="49"/>
      <c r="Q331" s="49"/>
      <c r="R331" s="49"/>
      <c r="S331" s="50" t="n">
        <v>0</v>
      </c>
      <c r="T331" s="50" t="n">
        <v>21</v>
      </c>
      <c r="U331" s="50" t="n">
        <v>17330</v>
      </c>
      <c r="V331" s="51" t="n">
        <v>1</v>
      </c>
      <c r="W331" s="51" t="n">
        <v>2</v>
      </c>
      <c r="X331" s="51" t="n">
        <v>1</v>
      </c>
      <c r="Y331" s="51" t="n">
        <v>2</v>
      </c>
      <c r="Z331" s="3" t="str">
        <f aca="false">VLOOKUP(A331,'Data Prep'!$A$5:$B$44,2,FALSE())</f>
        <v>Subway</v>
      </c>
      <c r="AA331" s="4" t="n">
        <f aca="false">COUNTBLANK(A331:Y331)</f>
        <v>12</v>
      </c>
    </row>
    <row r="332" customFormat="false" ht="12.75" hidden="false" customHeight="true" outlineLevel="0" collapsed="false">
      <c r="A332" s="45" t="s">
        <v>42</v>
      </c>
      <c r="B332" s="46" t="n">
        <v>0</v>
      </c>
      <c r="C332" s="46" t="n">
        <v>0</v>
      </c>
      <c r="D332" s="46" t="n">
        <v>1</v>
      </c>
      <c r="E332" s="46" t="n">
        <v>0</v>
      </c>
      <c r="F332" s="47" t="n">
        <v>0</v>
      </c>
      <c r="G332" s="48" t="n">
        <v>4</v>
      </c>
      <c r="H332" s="48" t="n">
        <v>4</v>
      </c>
      <c r="I332" s="48" t="n">
        <v>4</v>
      </c>
      <c r="J332" s="48" t="n">
        <v>5</v>
      </c>
      <c r="K332" s="48" t="n">
        <v>5</v>
      </c>
      <c r="L332" s="48" t="n">
        <v>4</v>
      </c>
      <c r="M332" s="49" t="n">
        <v>3</v>
      </c>
      <c r="N332" s="49" t="n">
        <v>2</v>
      </c>
      <c r="O332" s="49" t="n">
        <v>3</v>
      </c>
      <c r="P332" s="49" t="n">
        <v>4</v>
      </c>
      <c r="Q332" s="49" t="n">
        <v>3</v>
      </c>
      <c r="R332" s="49" t="n">
        <v>3</v>
      </c>
      <c r="S332" s="50" t="n">
        <v>0</v>
      </c>
      <c r="T332" s="50" t="n">
        <v>45</v>
      </c>
      <c r="U332" s="50" t="n">
        <v>88962</v>
      </c>
      <c r="V332" s="51" t="n">
        <v>1</v>
      </c>
      <c r="W332" s="51" t="n">
        <v>3</v>
      </c>
      <c r="X332" s="51" t="n">
        <v>2</v>
      </c>
      <c r="Y332" s="51" t="n">
        <v>1</v>
      </c>
      <c r="Z332" s="3" t="str">
        <f aca="false">VLOOKUP(A332,'Data Prep'!$A$5:$B$44,2,FALSE())</f>
        <v>Subway</v>
      </c>
      <c r="AA332" s="4" t="n">
        <f aca="false">COUNTBLANK(A332:Y332)</f>
        <v>0</v>
      </c>
    </row>
    <row r="333" customFormat="false" ht="12.75" hidden="false" customHeight="true" outlineLevel="0" collapsed="false">
      <c r="A333" s="45" t="s">
        <v>33</v>
      </c>
      <c r="B333" s="46" t="n">
        <v>0</v>
      </c>
      <c r="C333" s="46" t="n">
        <v>0</v>
      </c>
      <c r="D333" s="46" t="n">
        <v>1</v>
      </c>
      <c r="E333" s="46" t="n">
        <v>0</v>
      </c>
      <c r="F333" s="47" t="n">
        <v>0</v>
      </c>
      <c r="G333" s="48" t="n">
        <v>5</v>
      </c>
      <c r="H333" s="48" t="n">
        <v>5</v>
      </c>
      <c r="I333" s="48" t="n">
        <v>4</v>
      </c>
      <c r="J333" s="48" t="n">
        <v>5</v>
      </c>
      <c r="K333" s="48" t="n">
        <v>5</v>
      </c>
      <c r="L333" s="48" t="n">
        <v>5</v>
      </c>
      <c r="M333" s="49" t="n">
        <v>5</v>
      </c>
      <c r="N333" s="49" t="n">
        <v>5</v>
      </c>
      <c r="O333" s="49" t="n">
        <v>5</v>
      </c>
      <c r="P333" s="49" t="n">
        <v>5</v>
      </c>
      <c r="Q333" s="49" t="n">
        <v>5</v>
      </c>
      <c r="R333" s="49" t="n">
        <v>5</v>
      </c>
      <c r="S333" s="50" t="n">
        <v>0</v>
      </c>
      <c r="T333" s="50" t="n">
        <v>33</v>
      </c>
      <c r="U333" s="50" t="n">
        <v>28117</v>
      </c>
      <c r="V333" s="51" t="n">
        <v>2</v>
      </c>
      <c r="W333" s="51" t="n">
        <v>4</v>
      </c>
      <c r="X333" s="51" t="n">
        <v>2</v>
      </c>
      <c r="Y333" s="51" t="n">
        <v>1</v>
      </c>
      <c r="Z333" s="3" t="str">
        <f aca="false">VLOOKUP(A333,'Data Prep'!$A$5:$B$44,2,FALSE())</f>
        <v>In-n-out</v>
      </c>
      <c r="AA333" s="4" t="n">
        <f aca="false">COUNTBLANK(A333:Y333)</f>
        <v>0</v>
      </c>
    </row>
    <row r="334" customFormat="false" ht="12.75" hidden="false" customHeight="true" outlineLevel="0" collapsed="false">
      <c r="A334" s="45" t="s">
        <v>42</v>
      </c>
      <c r="B334" s="46" t="n">
        <v>1</v>
      </c>
      <c r="C334" s="46" t="n">
        <v>0</v>
      </c>
      <c r="D334" s="46" t="n">
        <v>0</v>
      </c>
      <c r="E334" s="46" t="n">
        <v>0</v>
      </c>
      <c r="F334" s="47" t="n">
        <v>0</v>
      </c>
      <c r="G334" s="48" t="n">
        <v>5</v>
      </c>
      <c r="H334" s="48" t="n">
        <v>5</v>
      </c>
      <c r="I334" s="48" t="n">
        <v>5</v>
      </c>
      <c r="J334" s="48" t="n">
        <v>5</v>
      </c>
      <c r="K334" s="48" t="n">
        <v>5</v>
      </c>
      <c r="L334" s="48" t="n">
        <v>3</v>
      </c>
      <c r="M334" s="49" t="n">
        <v>4</v>
      </c>
      <c r="N334" s="49" t="n">
        <v>4</v>
      </c>
      <c r="O334" s="49" t="n">
        <v>5</v>
      </c>
      <c r="P334" s="49" t="n">
        <v>5</v>
      </c>
      <c r="Q334" s="49" t="n">
        <v>5</v>
      </c>
      <c r="R334" s="49" t="n">
        <v>4</v>
      </c>
      <c r="S334" s="50" t="n">
        <v>0</v>
      </c>
      <c r="T334" s="50" t="n">
        <v>39</v>
      </c>
      <c r="U334" s="50" t="n">
        <v>19460</v>
      </c>
      <c r="V334" s="51" t="n">
        <v>2</v>
      </c>
      <c r="W334" s="51" t="n">
        <v>3</v>
      </c>
      <c r="X334" s="51" t="n">
        <v>2</v>
      </c>
      <c r="Y334" s="51" t="n">
        <v>2</v>
      </c>
      <c r="Z334" s="3" t="str">
        <f aca="false">VLOOKUP(A334,'Data Prep'!$A$5:$B$44,2,FALSE())</f>
        <v>Subway</v>
      </c>
      <c r="AA334" s="4" t="n">
        <f aca="false">COUNTBLANK(A334:Y334)</f>
        <v>0</v>
      </c>
    </row>
    <row r="335" customFormat="false" ht="12.75" hidden="false" customHeight="true" outlineLevel="0" collapsed="false">
      <c r="A335" s="45" t="s">
        <v>186</v>
      </c>
      <c r="B335" s="46" t="n">
        <v>1</v>
      </c>
      <c r="C335" s="46" t="n">
        <v>0</v>
      </c>
      <c r="D335" s="46" t="n">
        <v>0</v>
      </c>
      <c r="E335" s="46" t="n">
        <v>0</v>
      </c>
      <c r="F335" s="47" t="n">
        <v>0</v>
      </c>
      <c r="G335" s="48" t="n">
        <v>5</v>
      </c>
      <c r="H335" s="48" t="n">
        <v>4</v>
      </c>
      <c r="I335" s="48" t="n">
        <v>2</v>
      </c>
      <c r="J335" s="48" t="n">
        <v>2</v>
      </c>
      <c r="K335" s="48" t="n">
        <v>5</v>
      </c>
      <c r="L335" s="48" t="n">
        <v>4</v>
      </c>
      <c r="M335" s="49" t="n">
        <v>4</v>
      </c>
      <c r="N335" s="49" t="n">
        <v>3</v>
      </c>
      <c r="O335" s="49" t="n">
        <v>2</v>
      </c>
      <c r="P335" s="49" t="n">
        <v>4</v>
      </c>
      <c r="Q335" s="49"/>
      <c r="R335" s="49" t="n">
        <v>4</v>
      </c>
      <c r="S335" s="50" t="n">
        <v>0</v>
      </c>
      <c r="T335" s="50" t="n">
        <v>49</v>
      </c>
      <c r="U335" s="50" t="n">
        <v>71493</v>
      </c>
      <c r="V335" s="51" t="n">
        <v>3</v>
      </c>
      <c r="W335" s="51" t="n">
        <v>4</v>
      </c>
      <c r="X335" s="51" t="n">
        <v>2</v>
      </c>
      <c r="Y335" s="51" t="n">
        <v>3</v>
      </c>
      <c r="Z335" s="3" t="str">
        <f aca="false">VLOOKUP(A335,'Data Prep'!$A$5:$B$44,2,FALSE())</f>
        <v>Panera Bread</v>
      </c>
      <c r="AA335" s="4" t="n">
        <f aca="false">COUNTBLANK(A335:Y335)</f>
        <v>1</v>
      </c>
    </row>
    <row r="336" customFormat="false" ht="12.75" hidden="false" customHeight="true" outlineLevel="0" collapsed="false">
      <c r="A336" s="45" t="s">
        <v>35</v>
      </c>
      <c r="B336" s="46" t="n">
        <v>1</v>
      </c>
      <c r="C336" s="46" t="n">
        <v>0</v>
      </c>
      <c r="D336" s="46" t="n">
        <v>0</v>
      </c>
      <c r="E336" s="46" t="n">
        <v>0</v>
      </c>
      <c r="F336" s="47" t="n">
        <v>4</v>
      </c>
      <c r="G336" s="48" t="n">
        <v>4</v>
      </c>
      <c r="H336" s="48" t="n">
        <v>3</v>
      </c>
      <c r="I336" s="48" t="n">
        <v>4</v>
      </c>
      <c r="J336" s="48" t="n">
        <v>3</v>
      </c>
      <c r="K336" s="48" t="n">
        <v>5</v>
      </c>
      <c r="L336" s="48" t="n">
        <v>3</v>
      </c>
      <c r="M336" s="49" t="n">
        <v>4</v>
      </c>
      <c r="N336" s="49" t="n">
        <v>3</v>
      </c>
      <c r="O336" s="49" t="n">
        <v>3</v>
      </c>
      <c r="P336" s="49" t="n">
        <v>3</v>
      </c>
      <c r="Q336" s="49" t="n">
        <v>3</v>
      </c>
      <c r="R336" s="49" t="n">
        <v>3</v>
      </c>
      <c r="S336" s="50" t="n">
        <v>0</v>
      </c>
      <c r="T336" s="50" t="n">
        <v>58</v>
      </c>
      <c r="U336" s="50" t="n">
        <v>31482</v>
      </c>
      <c r="V336" s="51" t="n">
        <v>2</v>
      </c>
      <c r="W336" s="51" t="n">
        <v>4</v>
      </c>
      <c r="X336" s="51" t="n">
        <v>2</v>
      </c>
      <c r="Y336" s="51" t="n">
        <v>4</v>
      </c>
      <c r="Z336" s="3" t="str">
        <f aca="false">VLOOKUP(A336,'Data Prep'!$A$5:$B$44,2,FALSE())</f>
        <v>KFC</v>
      </c>
      <c r="AA336" s="4" t="n">
        <f aca="false">COUNTBLANK(A336:Y336)</f>
        <v>0</v>
      </c>
    </row>
    <row r="337" customFormat="false" ht="12.75" hidden="false" customHeight="true" outlineLevel="0" collapsed="false">
      <c r="A337" s="45" t="s">
        <v>42</v>
      </c>
      <c r="B337" s="46" t="n">
        <v>1</v>
      </c>
      <c r="C337" s="46" t="n">
        <v>1</v>
      </c>
      <c r="D337" s="46" t="n">
        <v>0</v>
      </c>
      <c r="E337" s="46" t="n">
        <v>0</v>
      </c>
      <c r="F337" s="47" t="n">
        <v>0</v>
      </c>
      <c r="G337" s="48" t="n">
        <v>5</v>
      </c>
      <c r="H337" s="48" t="n">
        <v>5</v>
      </c>
      <c r="I337" s="48" t="n">
        <v>5</v>
      </c>
      <c r="J337" s="48" t="n">
        <v>5</v>
      </c>
      <c r="K337" s="48" t="n">
        <v>5</v>
      </c>
      <c r="L337" s="48" t="n">
        <v>5</v>
      </c>
      <c r="M337" s="49" t="n">
        <v>5</v>
      </c>
      <c r="N337" s="49" t="n">
        <v>5</v>
      </c>
      <c r="O337" s="49" t="n">
        <v>5</v>
      </c>
      <c r="P337" s="49" t="n">
        <v>5</v>
      </c>
      <c r="Q337" s="49" t="n">
        <v>5</v>
      </c>
      <c r="R337" s="49" t="n">
        <v>5</v>
      </c>
      <c r="S337" s="50" t="n">
        <v>0</v>
      </c>
      <c r="T337" s="50" t="n">
        <v>32</v>
      </c>
      <c r="U337" s="50" t="n">
        <v>24397</v>
      </c>
      <c r="V337" s="51" t="n">
        <v>1</v>
      </c>
      <c r="W337" s="51" t="n">
        <v>4</v>
      </c>
      <c r="X337" s="51" t="n">
        <v>2</v>
      </c>
      <c r="Y337" s="51" t="n">
        <v>2</v>
      </c>
      <c r="Z337" s="3" t="str">
        <f aca="false">VLOOKUP(A337,'Data Prep'!$A$5:$B$44,2,FALSE())</f>
        <v>Subway</v>
      </c>
      <c r="AA337" s="4" t="n">
        <f aca="false">COUNTBLANK(A337:Y337)</f>
        <v>0</v>
      </c>
    </row>
    <row r="338" customFormat="false" ht="12.75" hidden="false" customHeight="true" outlineLevel="0" collapsed="false">
      <c r="A338" s="45" t="s">
        <v>180</v>
      </c>
      <c r="B338" s="46" t="n">
        <v>1</v>
      </c>
      <c r="C338" s="46" t="n">
        <v>0</v>
      </c>
      <c r="D338" s="46" t="n">
        <v>1</v>
      </c>
      <c r="E338" s="46" t="n">
        <v>0</v>
      </c>
      <c r="F338" s="47" t="n">
        <v>0</v>
      </c>
      <c r="G338" s="48" t="n">
        <v>4</v>
      </c>
      <c r="H338" s="48" t="n">
        <v>4</v>
      </c>
      <c r="I338" s="48" t="n">
        <v>4</v>
      </c>
      <c r="J338" s="48" t="n">
        <v>4</v>
      </c>
      <c r="K338" s="48" t="n">
        <v>5</v>
      </c>
      <c r="L338" s="48" t="n">
        <v>4</v>
      </c>
      <c r="M338" s="49" t="n">
        <v>4</v>
      </c>
      <c r="N338" s="49" t="n">
        <v>5</v>
      </c>
      <c r="O338" s="49" t="n">
        <v>5</v>
      </c>
      <c r="P338" s="49" t="n">
        <v>5</v>
      </c>
      <c r="Q338" s="49" t="n">
        <v>5</v>
      </c>
      <c r="R338" s="49" t="n">
        <v>4</v>
      </c>
      <c r="S338" s="50" t="n">
        <v>0</v>
      </c>
      <c r="T338" s="50" t="n">
        <v>35</v>
      </c>
      <c r="U338" s="50" t="n">
        <v>20924</v>
      </c>
      <c r="V338" s="51" t="n">
        <v>1</v>
      </c>
      <c r="W338" s="51" t="n">
        <v>4</v>
      </c>
      <c r="X338" s="51" t="n">
        <v>2</v>
      </c>
      <c r="Y338" s="51" t="n">
        <v>2</v>
      </c>
      <c r="Z338" s="3" t="str">
        <f aca="false">VLOOKUP(A338,'Data Prep'!$A$5:$B$44,2,FALSE())</f>
        <v>Panera Bread</v>
      </c>
      <c r="AA338" s="4" t="n">
        <f aca="false">COUNTBLANK(A338:Y338)</f>
        <v>0</v>
      </c>
    </row>
    <row r="339" customFormat="false" ht="12.75" hidden="false" customHeight="true" outlineLevel="0" collapsed="false">
      <c r="A339" s="45" t="s">
        <v>35</v>
      </c>
      <c r="B339" s="46" t="n">
        <v>0</v>
      </c>
      <c r="C339" s="46" t="n">
        <v>0</v>
      </c>
      <c r="D339" s="46" t="n">
        <v>1</v>
      </c>
      <c r="E339" s="46" t="n">
        <v>0</v>
      </c>
      <c r="F339" s="47" t="n">
        <v>0</v>
      </c>
      <c r="G339" s="48" t="n">
        <v>5</v>
      </c>
      <c r="H339" s="48" t="n">
        <v>4</v>
      </c>
      <c r="I339" s="48" t="n">
        <v>4</v>
      </c>
      <c r="J339" s="48" t="n">
        <v>4</v>
      </c>
      <c r="K339" s="48" t="n">
        <v>5</v>
      </c>
      <c r="L339" s="48" t="n">
        <v>4</v>
      </c>
      <c r="M339" s="49" t="n">
        <v>4</v>
      </c>
      <c r="N339" s="49" t="n">
        <v>5</v>
      </c>
      <c r="O339" s="49" t="n">
        <v>3</v>
      </c>
      <c r="P339" s="49" t="n">
        <v>4</v>
      </c>
      <c r="Q339" s="49" t="n">
        <v>5</v>
      </c>
      <c r="R339" s="49" t="n">
        <v>4</v>
      </c>
      <c r="S339" s="50" t="n">
        <v>1</v>
      </c>
      <c r="T339" s="50" t="n">
        <v>45</v>
      </c>
      <c r="U339" s="50" t="n">
        <v>66648</v>
      </c>
      <c r="V339" s="51" t="n">
        <v>1</v>
      </c>
      <c r="W339" s="51" t="n">
        <v>4</v>
      </c>
      <c r="X339" s="51" t="n">
        <v>1</v>
      </c>
      <c r="Y339" s="51" t="n">
        <v>2</v>
      </c>
      <c r="Z339" s="3" t="str">
        <f aca="false">VLOOKUP(A339,'Data Prep'!$A$5:$B$44,2,FALSE())</f>
        <v>KFC</v>
      </c>
      <c r="AA339" s="4" t="n">
        <f aca="false">COUNTBLANK(A339:Y339)</f>
        <v>0</v>
      </c>
    </row>
    <row r="340" customFormat="false" ht="12.75" hidden="false" customHeight="true" outlineLevel="0" collapsed="false">
      <c r="A340" s="45" t="s">
        <v>31</v>
      </c>
      <c r="B340" s="46" t="n">
        <v>0</v>
      </c>
      <c r="C340" s="46" t="n">
        <v>0</v>
      </c>
      <c r="D340" s="46" t="n">
        <v>0</v>
      </c>
      <c r="E340" s="46" t="n">
        <v>0</v>
      </c>
      <c r="F340" s="47" t="n">
        <v>0</v>
      </c>
      <c r="G340" s="48" t="n">
        <v>3</v>
      </c>
      <c r="H340" s="48" t="n">
        <v>4</v>
      </c>
      <c r="I340" s="48" t="n">
        <v>5</v>
      </c>
      <c r="J340" s="48" t="n">
        <v>4</v>
      </c>
      <c r="K340" s="48" t="n">
        <v>5</v>
      </c>
      <c r="L340" s="48" t="n">
        <v>5</v>
      </c>
      <c r="M340" s="49" t="n">
        <v>6</v>
      </c>
      <c r="N340" s="49" t="n">
        <v>3</v>
      </c>
      <c r="O340" s="49" t="n">
        <v>3</v>
      </c>
      <c r="P340" s="49" t="n">
        <v>4</v>
      </c>
      <c r="Q340" s="49" t="n">
        <v>4</v>
      </c>
      <c r="R340" s="49" t="n">
        <v>5</v>
      </c>
      <c r="S340" s="50" t="n">
        <v>0</v>
      </c>
      <c r="T340" s="50" t="n">
        <v>55</v>
      </c>
      <c r="U340" s="50" t="n">
        <v>57404</v>
      </c>
      <c r="V340" s="51" t="n">
        <v>2</v>
      </c>
      <c r="W340" s="51" t="n">
        <v>4</v>
      </c>
      <c r="X340" s="51" t="n">
        <v>2</v>
      </c>
      <c r="Y340" s="51" t="n">
        <v>2</v>
      </c>
      <c r="Z340" s="3" t="str">
        <f aca="false">VLOOKUP(A340,'Data Prep'!$A$5:$B$44,2,FALSE())</f>
        <v>El Pollo Loco</v>
      </c>
      <c r="AA340" s="4" t="n">
        <f aca="false">COUNTBLANK(A340:Y340)</f>
        <v>0</v>
      </c>
    </row>
    <row r="341" customFormat="false" ht="12.75" hidden="false" customHeight="true" outlineLevel="0" collapsed="false">
      <c r="A341" s="45" t="s">
        <v>31</v>
      </c>
      <c r="B341" s="46" t="n">
        <v>1</v>
      </c>
      <c r="C341" s="46" t="n">
        <v>0</v>
      </c>
      <c r="D341" s="46" t="n">
        <v>0</v>
      </c>
      <c r="E341" s="46" t="n">
        <v>0</v>
      </c>
      <c r="F341" s="47" t="n">
        <v>0</v>
      </c>
      <c r="G341" s="48" t="n">
        <v>5</v>
      </c>
      <c r="H341" s="48" t="n">
        <v>5</v>
      </c>
      <c r="I341" s="48" t="n">
        <v>5</v>
      </c>
      <c r="J341" s="48" t="n">
        <v>5</v>
      </c>
      <c r="K341" s="48" t="n">
        <v>5</v>
      </c>
      <c r="L341" s="48" t="n">
        <v>5</v>
      </c>
      <c r="M341" s="49" t="n">
        <v>5</v>
      </c>
      <c r="N341" s="49" t="n">
        <v>5</v>
      </c>
      <c r="O341" s="49" t="n">
        <v>5</v>
      </c>
      <c r="P341" s="49" t="n">
        <v>5</v>
      </c>
      <c r="Q341" s="49" t="n">
        <v>5</v>
      </c>
      <c r="R341" s="49" t="n">
        <v>5</v>
      </c>
      <c r="S341" s="50" t="n">
        <v>0</v>
      </c>
      <c r="T341" s="50" t="n">
        <v>29</v>
      </c>
      <c r="U341" s="50" t="n">
        <v>15332</v>
      </c>
      <c r="V341" s="51" t="n">
        <v>1</v>
      </c>
      <c r="W341" s="51" t="n">
        <v>1</v>
      </c>
      <c r="X341" s="51" t="n">
        <v>1</v>
      </c>
      <c r="Y341" s="51" t="n">
        <v>1</v>
      </c>
      <c r="Z341" s="3" t="str">
        <f aca="false">VLOOKUP(A341,'Data Prep'!$A$5:$B$44,2,FALSE())</f>
        <v>El Pollo Loco</v>
      </c>
      <c r="AA341" s="4" t="n">
        <f aca="false">COUNTBLANK(A341:Y341)</f>
        <v>0</v>
      </c>
    </row>
    <row r="342" customFormat="false" ht="12.75" hidden="false" customHeight="true" outlineLevel="0" collapsed="false">
      <c r="A342" s="45" t="s">
        <v>30</v>
      </c>
      <c r="B342" s="46" t="n">
        <v>1</v>
      </c>
      <c r="C342" s="46" t="n">
        <v>0</v>
      </c>
      <c r="D342" s="46" t="n">
        <v>0</v>
      </c>
      <c r="E342" s="46" t="n">
        <v>0</v>
      </c>
      <c r="F342" s="47" t="n">
        <v>0</v>
      </c>
      <c r="G342" s="48" t="n">
        <v>4</v>
      </c>
      <c r="H342" s="48" t="n">
        <v>3</v>
      </c>
      <c r="I342" s="48" t="n">
        <v>4</v>
      </c>
      <c r="J342" s="48" t="n">
        <v>5</v>
      </c>
      <c r="K342" s="48" t="n">
        <v>5</v>
      </c>
      <c r="L342" s="48" t="n">
        <v>4</v>
      </c>
      <c r="M342" s="49" t="n">
        <v>4</v>
      </c>
      <c r="N342" s="49" t="n">
        <v>3</v>
      </c>
      <c r="O342" s="49" t="n">
        <v>4</v>
      </c>
      <c r="P342" s="49" t="n">
        <v>5</v>
      </c>
      <c r="Q342" s="49" t="n">
        <v>5</v>
      </c>
      <c r="R342" s="49" t="n">
        <v>4</v>
      </c>
      <c r="S342" s="50" t="n">
        <v>0</v>
      </c>
      <c r="T342" s="50" t="n">
        <v>24</v>
      </c>
      <c r="U342" s="50" t="n">
        <v>10157</v>
      </c>
      <c r="V342" s="51" t="n">
        <v>2</v>
      </c>
      <c r="W342" s="51" t="n">
        <v>2</v>
      </c>
      <c r="X342" s="51" t="n">
        <v>2</v>
      </c>
      <c r="Y342" s="51" t="n">
        <v>1</v>
      </c>
      <c r="Z342" s="3" t="str">
        <f aca="false">VLOOKUP(A342,'Data Prep'!$A$5:$B$44,2,FALSE())</f>
        <v>Chipotle</v>
      </c>
      <c r="AA342" s="4" t="n">
        <f aca="false">COUNTBLANK(A342:Y342)</f>
        <v>0</v>
      </c>
    </row>
    <row r="343" customFormat="false" ht="12.75" hidden="false" customHeight="true" outlineLevel="0" collapsed="false">
      <c r="A343" s="45" t="s">
        <v>31</v>
      </c>
      <c r="B343" s="46" t="n">
        <v>1</v>
      </c>
      <c r="C343" s="46" t="n">
        <v>0</v>
      </c>
      <c r="D343" s="46" t="n">
        <v>0</v>
      </c>
      <c r="E343" s="46" t="n">
        <v>0</v>
      </c>
      <c r="F343" s="47" t="n">
        <v>1</v>
      </c>
      <c r="G343" s="48" t="n">
        <v>5</v>
      </c>
      <c r="H343" s="48" t="n">
        <v>5</v>
      </c>
      <c r="I343" s="48" t="n">
        <v>5</v>
      </c>
      <c r="J343" s="48" t="n">
        <v>5</v>
      </c>
      <c r="K343" s="48" t="n">
        <v>5</v>
      </c>
      <c r="L343" s="48" t="n">
        <v>4</v>
      </c>
      <c r="M343" s="49" t="n">
        <v>5</v>
      </c>
      <c r="N343" s="49" t="n">
        <v>5</v>
      </c>
      <c r="O343" s="49" t="n">
        <v>3</v>
      </c>
      <c r="P343" s="49" t="n">
        <v>3</v>
      </c>
      <c r="Q343" s="49" t="n">
        <v>5</v>
      </c>
      <c r="R343" s="49" t="n">
        <v>4</v>
      </c>
      <c r="S343" s="50" t="n">
        <v>0</v>
      </c>
      <c r="T343" s="50" t="n">
        <v>56</v>
      </c>
      <c r="U343" s="50" t="n">
        <v>25152</v>
      </c>
      <c r="V343" s="51" t="n">
        <v>5</v>
      </c>
      <c r="W343" s="51" t="n">
        <v>5</v>
      </c>
      <c r="X343" s="51" t="n">
        <v>5</v>
      </c>
      <c r="Y343" s="51" t="n">
        <v>5</v>
      </c>
      <c r="Z343" s="3" t="str">
        <f aca="false">VLOOKUP(A343,'Data Prep'!$A$5:$B$44,2,FALSE())</f>
        <v>El Pollo Loco</v>
      </c>
      <c r="AA343" s="4" t="n">
        <f aca="false">COUNTBLANK(A343:Y343)</f>
        <v>0</v>
      </c>
    </row>
    <row r="344" customFormat="false" ht="12.75" hidden="false" customHeight="true" outlineLevel="0" collapsed="false">
      <c r="A344" s="45" t="s">
        <v>42</v>
      </c>
      <c r="B344" s="46" t="n">
        <v>1</v>
      </c>
      <c r="C344" s="46" t="n">
        <v>0</v>
      </c>
      <c r="D344" s="46" t="n">
        <v>0</v>
      </c>
      <c r="E344" s="46" t="n">
        <v>0</v>
      </c>
      <c r="F344" s="47" t="n">
        <v>0</v>
      </c>
      <c r="G344" s="48" t="n">
        <v>4</v>
      </c>
      <c r="H344" s="48" t="n">
        <v>4</v>
      </c>
      <c r="I344" s="48" t="n">
        <v>4</v>
      </c>
      <c r="J344" s="48" t="n">
        <v>4</v>
      </c>
      <c r="K344" s="48" t="n">
        <v>5</v>
      </c>
      <c r="L344" s="48" t="n">
        <v>4</v>
      </c>
      <c r="M344" s="49" t="n">
        <v>5</v>
      </c>
      <c r="N344" s="49" t="n">
        <v>4</v>
      </c>
      <c r="O344" s="49" t="n">
        <v>3</v>
      </c>
      <c r="P344" s="49" t="n">
        <v>4</v>
      </c>
      <c r="Q344" s="49" t="n">
        <v>5</v>
      </c>
      <c r="R344" s="49" t="n">
        <v>4</v>
      </c>
      <c r="S344" s="50" t="n">
        <v>0</v>
      </c>
      <c r="T344" s="50" t="n">
        <v>33</v>
      </c>
      <c r="U344" s="50" t="n">
        <v>27529</v>
      </c>
      <c r="V344" s="51" t="n">
        <v>2</v>
      </c>
      <c r="W344" s="51" t="n">
        <v>4</v>
      </c>
      <c r="X344" s="51" t="n">
        <v>1</v>
      </c>
      <c r="Y344" s="51" t="n">
        <v>1</v>
      </c>
      <c r="Z344" s="3" t="str">
        <f aca="false">VLOOKUP(A344,'Data Prep'!$A$5:$B$44,2,FALSE())</f>
        <v>Subway</v>
      </c>
      <c r="AA344" s="4" t="n">
        <f aca="false">COUNTBLANK(A344:Y344)</f>
        <v>0</v>
      </c>
    </row>
    <row r="345" customFormat="false" ht="12.75" hidden="false" customHeight="true" outlineLevel="0" collapsed="false">
      <c r="A345" s="45" t="s">
        <v>31</v>
      </c>
      <c r="B345" s="46" t="n">
        <v>0</v>
      </c>
      <c r="C345" s="46" t="n">
        <v>0</v>
      </c>
      <c r="D345" s="46" t="n">
        <v>0</v>
      </c>
      <c r="E345" s="46" t="n">
        <v>0</v>
      </c>
      <c r="F345" s="47" t="n">
        <v>0</v>
      </c>
      <c r="G345" s="48" t="n">
        <v>5</v>
      </c>
      <c r="H345" s="48" t="n">
        <v>5</v>
      </c>
      <c r="I345" s="48" t="n">
        <v>5</v>
      </c>
      <c r="J345" s="48" t="n">
        <v>5</v>
      </c>
      <c r="K345" s="48" t="n">
        <v>5</v>
      </c>
      <c r="L345" s="48" t="n">
        <v>5</v>
      </c>
      <c r="M345" s="49" t="n">
        <v>5</v>
      </c>
      <c r="N345" s="49" t="n">
        <v>5</v>
      </c>
      <c r="O345" s="49" t="n">
        <v>5</v>
      </c>
      <c r="P345" s="49" t="n">
        <v>5</v>
      </c>
      <c r="Q345" s="49" t="n">
        <v>5</v>
      </c>
      <c r="R345" s="49" t="n">
        <v>5</v>
      </c>
      <c r="S345" s="50" t="n">
        <v>0</v>
      </c>
      <c r="T345" s="50" t="n">
        <v>19</v>
      </c>
      <c r="U345" s="50" t="n">
        <v>63255</v>
      </c>
      <c r="V345" s="51" t="n">
        <v>1</v>
      </c>
      <c r="W345" s="51" t="n">
        <v>1</v>
      </c>
      <c r="X345" s="51" t="n">
        <v>1</v>
      </c>
      <c r="Y345" s="51" t="n">
        <v>1</v>
      </c>
      <c r="Z345" s="3" t="str">
        <f aca="false">VLOOKUP(A345,'Data Prep'!$A$5:$B$44,2,FALSE())</f>
        <v>El Pollo Loco</v>
      </c>
      <c r="AA345" s="4" t="n">
        <f aca="false">COUNTBLANK(A345:Y345)</f>
        <v>0</v>
      </c>
    </row>
    <row r="346" customFormat="false" ht="12.75" hidden="false" customHeight="true" outlineLevel="0" collapsed="false">
      <c r="A346" s="45" t="s">
        <v>31</v>
      </c>
      <c r="B346" s="46" t="n">
        <v>0</v>
      </c>
      <c r="C346" s="46" t="n">
        <v>1</v>
      </c>
      <c r="D346" s="46" t="n">
        <v>1</v>
      </c>
      <c r="E346" s="46" t="n">
        <v>0</v>
      </c>
      <c r="F346" s="47" t="n">
        <v>0</v>
      </c>
      <c r="G346" s="48" t="n">
        <v>5</v>
      </c>
      <c r="H346" s="48" t="n">
        <v>3</v>
      </c>
      <c r="I346" s="48" t="n">
        <v>5</v>
      </c>
      <c r="J346" s="48" t="n">
        <v>4</v>
      </c>
      <c r="K346" s="48" t="n">
        <v>5</v>
      </c>
      <c r="L346" s="48" t="n">
        <v>4</v>
      </c>
      <c r="M346" s="49" t="n">
        <v>3</v>
      </c>
      <c r="N346" s="49" t="n">
        <v>3</v>
      </c>
      <c r="O346" s="49" t="n">
        <v>2</v>
      </c>
      <c r="P346" s="49" t="n">
        <v>5</v>
      </c>
      <c r="Q346" s="49" t="n">
        <v>5</v>
      </c>
      <c r="R346" s="49" t="n">
        <v>2</v>
      </c>
      <c r="S346" s="50" t="n">
        <v>1</v>
      </c>
      <c r="T346" s="50" t="n">
        <v>55</v>
      </c>
      <c r="U346" s="50" t="n">
        <v>67983</v>
      </c>
      <c r="V346" s="51" t="n">
        <v>2</v>
      </c>
      <c r="W346" s="51" t="n">
        <v>4</v>
      </c>
      <c r="X346" s="51" t="n">
        <v>2</v>
      </c>
      <c r="Y346" s="51" t="n">
        <v>1</v>
      </c>
      <c r="Z346" s="3" t="str">
        <f aca="false">VLOOKUP(A346,'Data Prep'!$A$5:$B$44,2,FALSE())</f>
        <v>El Pollo Loco</v>
      </c>
      <c r="AA346" s="4" t="n">
        <f aca="false">COUNTBLANK(A346:Y346)</f>
        <v>0</v>
      </c>
    </row>
    <row r="347" customFormat="false" ht="12.75" hidden="false" customHeight="true" outlineLevel="0" collapsed="false">
      <c r="A347" s="45" t="s">
        <v>30</v>
      </c>
      <c r="B347" s="46" t="n">
        <v>1</v>
      </c>
      <c r="C347" s="46" t="n">
        <v>0</v>
      </c>
      <c r="D347" s="46" t="n">
        <v>0</v>
      </c>
      <c r="E347" s="46" t="n">
        <v>0</v>
      </c>
      <c r="F347" s="47" t="n">
        <v>0</v>
      </c>
      <c r="G347" s="48" t="n">
        <v>5</v>
      </c>
      <c r="H347" s="48" t="n">
        <v>4</v>
      </c>
      <c r="I347" s="48" t="n">
        <v>5</v>
      </c>
      <c r="J347" s="48" t="n">
        <v>5</v>
      </c>
      <c r="K347" s="48" t="n">
        <v>5</v>
      </c>
      <c r="L347" s="48" t="n">
        <v>5</v>
      </c>
      <c r="M347" s="49" t="n">
        <v>5</v>
      </c>
      <c r="N347" s="49" t="n">
        <v>4</v>
      </c>
      <c r="O347" s="49" t="n">
        <v>3</v>
      </c>
      <c r="P347" s="49" t="n">
        <v>5</v>
      </c>
      <c r="Q347" s="49" t="n">
        <v>4</v>
      </c>
      <c r="R347" s="49" t="n">
        <v>5</v>
      </c>
      <c r="S347" s="50" t="n">
        <v>0</v>
      </c>
      <c r="T347" s="50" t="n">
        <v>34</v>
      </c>
      <c r="U347" s="50" t="n">
        <v>27244</v>
      </c>
      <c r="V347" s="51" t="n">
        <v>1</v>
      </c>
      <c r="W347" s="51" t="n">
        <v>4</v>
      </c>
      <c r="X347" s="51" t="n">
        <v>2</v>
      </c>
      <c r="Y347" s="51" t="n">
        <v>2</v>
      </c>
      <c r="Z347" s="3" t="str">
        <f aca="false">VLOOKUP(A347,'Data Prep'!$A$5:$B$44,2,FALSE())</f>
        <v>Chipotle</v>
      </c>
      <c r="AA347" s="4" t="n">
        <f aca="false">COUNTBLANK(A347:Y347)</f>
        <v>0</v>
      </c>
    </row>
    <row r="348" customFormat="false" ht="12.75" hidden="false" customHeight="true" outlineLevel="0" collapsed="false">
      <c r="A348" s="45" t="s">
        <v>33</v>
      </c>
      <c r="B348" s="46" t="n">
        <v>0</v>
      </c>
      <c r="C348" s="46" t="n">
        <v>0</v>
      </c>
      <c r="D348" s="46" t="n">
        <v>1</v>
      </c>
      <c r="E348" s="46" t="n">
        <v>0</v>
      </c>
      <c r="F348" s="47" t="n">
        <v>0</v>
      </c>
      <c r="G348" s="48" t="n">
        <v>4</v>
      </c>
      <c r="H348" s="48" t="n">
        <v>4</v>
      </c>
      <c r="I348" s="48" t="n">
        <v>3</v>
      </c>
      <c r="J348" s="48" t="n">
        <v>5</v>
      </c>
      <c r="K348" s="48" t="n">
        <v>5</v>
      </c>
      <c r="L348" s="48" t="n">
        <v>4</v>
      </c>
      <c r="M348" s="49" t="n">
        <v>3</v>
      </c>
      <c r="N348" s="49" t="n">
        <v>2</v>
      </c>
      <c r="O348" s="49" t="n">
        <v>2</v>
      </c>
      <c r="P348" s="49" t="n">
        <v>3</v>
      </c>
      <c r="Q348" s="49" t="n">
        <v>3</v>
      </c>
      <c r="R348" s="49" t="n">
        <v>3</v>
      </c>
      <c r="S348" s="50" t="n">
        <v>0</v>
      </c>
      <c r="T348" s="50" t="n">
        <v>37</v>
      </c>
      <c r="U348" s="50" t="n">
        <v>83082</v>
      </c>
      <c r="V348" s="51" t="n">
        <v>1</v>
      </c>
      <c r="W348" s="51" t="n">
        <v>4</v>
      </c>
      <c r="X348" s="51" t="n">
        <v>1</v>
      </c>
      <c r="Y348" s="51" t="n">
        <v>1</v>
      </c>
      <c r="Z348" s="3" t="str">
        <f aca="false">VLOOKUP(A348,'Data Prep'!$A$5:$B$44,2,FALSE())</f>
        <v>In-n-out</v>
      </c>
      <c r="AA348" s="4" t="n">
        <f aca="false">COUNTBLANK(A348:Y348)</f>
        <v>0</v>
      </c>
    </row>
    <row r="349" customFormat="false" ht="12.75" hidden="false" customHeight="true" outlineLevel="0" collapsed="false">
      <c r="A349" s="45" t="s">
        <v>33</v>
      </c>
      <c r="B349" s="46" t="n">
        <v>0</v>
      </c>
      <c r="C349" s="46" t="n">
        <v>0</v>
      </c>
      <c r="D349" s="46" t="n">
        <v>1</v>
      </c>
      <c r="E349" s="46" t="n">
        <v>0</v>
      </c>
      <c r="F349" s="47" t="n">
        <v>0</v>
      </c>
      <c r="G349" s="48" t="n">
        <v>5</v>
      </c>
      <c r="H349" s="48" t="n">
        <v>5</v>
      </c>
      <c r="I349" s="48" t="n">
        <v>5</v>
      </c>
      <c r="J349" s="48" t="n">
        <v>5</v>
      </c>
      <c r="K349" s="48" t="n">
        <v>5</v>
      </c>
      <c r="L349" s="48" t="n">
        <v>4</v>
      </c>
      <c r="M349" s="49" t="n">
        <v>5</v>
      </c>
      <c r="N349" s="49" t="n">
        <v>3</v>
      </c>
      <c r="O349" s="49" t="n">
        <v>2</v>
      </c>
      <c r="P349" s="49" t="n">
        <v>4</v>
      </c>
      <c r="Q349" s="49" t="n">
        <v>5</v>
      </c>
      <c r="R349" s="49" t="n">
        <v>5</v>
      </c>
      <c r="S349" s="50" t="n">
        <v>0</v>
      </c>
      <c r="T349" s="50" t="n">
        <v>29</v>
      </c>
      <c r="U349" s="50" t="n">
        <v>26778</v>
      </c>
      <c r="V349" s="51" t="n">
        <v>1</v>
      </c>
      <c r="W349" s="51" t="n">
        <v>4</v>
      </c>
      <c r="X349" s="51" t="n">
        <v>2</v>
      </c>
      <c r="Y349" s="51" t="n">
        <v>1</v>
      </c>
      <c r="Z349" s="3" t="str">
        <f aca="false">VLOOKUP(A349,'Data Prep'!$A$5:$B$44,2,FALSE())</f>
        <v>In-n-out</v>
      </c>
      <c r="AA349" s="4" t="n">
        <f aca="false">COUNTBLANK(A349:Y349)</f>
        <v>0</v>
      </c>
    </row>
    <row r="350" customFormat="false" ht="12.75" hidden="false" customHeight="true" outlineLevel="0" collapsed="false">
      <c r="A350" s="45" t="s">
        <v>166</v>
      </c>
      <c r="B350" s="46" t="n">
        <v>1</v>
      </c>
      <c r="C350" s="46" t="n">
        <v>0</v>
      </c>
      <c r="D350" s="46" t="n">
        <v>0</v>
      </c>
      <c r="E350" s="46" t="n">
        <v>0</v>
      </c>
      <c r="F350" s="47" t="n">
        <v>0</v>
      </c>
      <c r="G350" s="48" t="n">
        <v>4</v>
      </c>
      <c r="H350" s="48" t="n">
        <v>4</v>
      </c>
      <c r="I350" s="48" t="n">
        <v>5</v>
      </c>
      <c r="J350" s="48" t="n">
        <v>4</v>
      </c>
      <c r="K350" s="48" t="n">
        <v>5</v>
      </c>
      <c r="L350" s="48" t="n">
        <v>4</v>
      </c>
      <c r="M350" s="49" t="n">
        <v>4</v>
      </c>
      <c r="N350" s="49" t="n">
        <v>4</v>
      </c>
      <c r="O350" s="49" t="n">
        <v>3</v>
      </c>
      <c r="P350" s="49" t="n">
        <v>5</v>
      </c>
      <c r="Q350" s="49" t="n">
        <v>5</v>
      </c>
      <c r="R350" s="49" t="n">
        <v>3</v>
      </c>
      <c r="S350" s="50" t="n">
        <v>1</v>
      </c>
      <c r="T350" s="50" t="n">
        <v>59</v>
      </c>
      <c r="U350" s="50" t="n">
        <v>75777</v>
      </c>
      <c r="V350" s="51" t="n">
        <v>2</v>
      </c>
      <c r="W350" s="51" t="n">
        <v>3</v>
      </c>
      <c r="X350" s="51" t="n">
        <v>2</v>
      </c>
      <c r="Y350" s="51" t="n">
        <v>2</v>
      </c>
      <c r="Z350" s="3" t="str">
        <f aca="false">VLOOKUP(A350,'Data Prep'!$A$5:$B$44,2,FALSE())</f>
        <v>Chipotle</v>
      </c>
      <c r="AA350" s="4" t="n">
        <f aca="false">COUNTBLANK(A350:Y350)</f>
        <v>0</v>
      </c>
    </row>
    <row r="351" customFormat="false" ht="12.75" hidden="false" customHeight="true" outlineLevel="0" collapsed="false">
      <c r="A351" s="45" t="s">
        <v>33</v>
      </c>
      <c r="B351" s="46" t="n">
        <v>0</v>
      </c>
      <c r="C351" s="46" t="n">
        <v>0</v>
      </c>
      <c r="D351" s="46" t="n">
        <v>1</v>
      </c>
      <c r="E351" s="46" t="n">
        <v>0</v>
      </c>
      <c r="F351" s="47" t="n">
        <v>0</v>
      </c>
      <c r="G351" s="48" t="n">
        <v>5</v>
      </c>
      <c r="H351" s="48" t="n">
        <v>5</v>
      </c>
      <c r="I351" s="48" t="n">
        <v>5</v>
      </c>
      <c r="J351" s="48" t="n">
        <v>3</v>
      </c>
      <c r="K351" s="48" t="n">
        <v>5</v>
      </c>
      <c r="L351" s="48" t="n">
        <v>5</v>
      </c>
      <c r="M351" s="49" t="n">
        <v>5</v>
      </c>
      <c r="N351" s="49" t="n">
        <v>5</v>
      </c>
      <c r="O351" s="49" t="n">
        <v>3</v>
      </c>
      <c r="P351" s="49" t="n">
        <v>5</v>
      </c>
      <c r="Q351" s="49" t="n">
        <v>5</v>
      </c>
      <c r="R351" s="49" t="n">
        <v>5</v>
      </c>
      <c r="S351" s="50" t="n">
        <v>0</v>
      </c>
      <c r="T351" s="50" t="n">
        <v>54</v>
      </c>
      <c r="U351" s="50" t="n">
        <v>58036</v>
      </c>
      <c r="V351" s="51" t="n">
        <v>1</v>
      </c>
      <c r="W351" s="51" t="n">
        <v>4</v>
      </c>
      <c r="X351" s="51" t="n">
        <v>2</v>
      </c>
      <c r="Y351" s="51" t="n">
        <v>1</v>
      </c>
      <c r="Z351" s="3" t="str">
        <f aca="false">VLOOKUP(A351,'Data Prep'!$A$5:$B$44,2,FALSE())</f>
        <v>In-n-out</v>
      </c>
      <c r="AA351" s="4" t="n">
        <f aca="false">COUNTBLANK(A351:Y351)</f>
        <v>0</v>
      </c>
    </row>
    <row r="352" customFormat="false" ht="12.75" hidden="false" customHeight="true" outlineLevel="0" collapsed="false">
      <c r="A352" s="45" t="s">
        <v>173</v>
      </c>
      <c r="B352" s="46" t="n">
        <v>1</v>
      </c>
      <c r="C352" s="46" t="n">
        <v>0</v>
      </c>
      <c r="D352" s="46" t="n">
        <v>0</v>
      </c>
      <c r="E352" s="46" t="n">
        <v>0</v>
      </c>
      <c r="F352" s="47" t="n">
        <v>0</v>
      </c>
      <c r="G352" s="48" t="n">
        <v>5</v>
      </c>
      <c r="H352" s="48" t="n">
        <v>5</v>
      </c>
      <c r="I352" s="48" t="n">
        <v>5</v>
      </c>
      <c r="J352" s="48" t="n">
        <v>5</v>
      </c>
      <c r="K352" s="48" t="n">
        <v>5</v>
      </c>
      <c r="L352" s="48" t="n">
        <v>4</v>
      </c>
      <c r="M352" s="49" t="n">
        <v>2</v>
      </c>
      <c r="N352" s="49" t="n">
        <v>3</v>
      </c>
      <c r="O352" s="49" t="n">
        <v>4</v>
      </c>
      <c r="P352" s="49" t="n">
        <v>3</v>
      </c>
      <c r="Q352" s="49" t="n">
        <v>3</v>
      </c>
      <c r="R352" s="49" t="n">
        <v>3</v>
      </c>
      <c r="S352" s="50" t="n">
        <v>0</v>
      </c>
      <c r="T352" s="50" t="n">
        <v>57</v>
      </c>
      <c r="U352" s="50" t="n">
        <v>82425</v>
      </c>
      <c r="V352" s="51" t="n">
        <v>2</v>
      </c>
      <c r="W352" s="51" t="n">
        <v>4</v>
      </c>
      <c r="X352" s="51" t="n">
        <v>2</v>
      </c>
      <c r="Y352" s="51" t="n">
        <v>1</v>
      </c>
      <c r="Z352" s="3" t="str">
        <f aca="false">VLOOKUP(A352,'Data Prep'!$A$5:$B$44,2,FALSE())</f>
        <v>McDonalds</v>
      </c>
      <c r="AA352" s="4" t="n">
        <f aca="false">COUNTBLANK(A352:Y352)</f>
        <v>0</v>
      </c>
    </row>
    <row r="353" customFormat="false" ht="12.75" hidden="false" customHeight="true" outlineLevel="0" collapsed="false">
      <c r="A353" s="45" t="s">
        <v>33</v>
      </c>
      <c r="B353" s="46" t="n">
        <v>1</v>
      </c>
      <c r="C353" s="46" t="n">
        <v>1</v>
      </c>
      <c r="D353" s="46" t="n">
        <v>1</v>
      </c>
      <c r="E353" s="46" t="n">
        <v>0</v>
      </c>
      <c r="F353" s="47" t="n">
        <v>0</v>
      </c>
      <c r="G353" s="48" t="n">
        <v>5</v>
      </c>
      <c r="H353" s="48" t="n">
        <v>5</v>
      </c>
      <c r="I353" s="48" t="n">
        <v>5</v>
      </c>
      <c r="J353" s="48" t="n">
        <v>5</v>
      </c>
      <c r="K353" s="48" t="n">
        <v>5</v>
      </c>
      <c r="L353" s="48" t="n">
        <v>5</v>
      </c>
      <c r="M353" s="49" t="n">
        <v>5</v>
      </c>
      <c r="N353" s="49" t="n">
        <v>4</v>
      </c>
      <c r="O353" s="49" t="n">
        <v>5</v>
      </c>
      <c r="P353" s="49" t="n">
        <v>5</v>
      </c>
      <c r="Q353" s="49" t="n">
        <v>5</v>
      </c>
      <c r="R353" s="49" t="n">
        <v>4</v>
      </c>
      <c r="S353" s="50" t="n">
        <v>0</v>
      </c>
      <c r="T353" s="50" t="n">
        <v>29</v>
      </c>
      <c r="U353" s="50" t="n">
        <v>14472</v>
      </c>
      <c r="V353" s="51" t="n">
        <v>1</v>
      </c>
      <c r="W353" s="51" t="n">
        <v>3</v>
      </c>
      <c r="X353" s="51" t="n">
        <v>1</v>
      </c>
      <c r="Y353" s="51" t="n">
        <v>2</v>
      </c>
      <c r="Z353" s="3" t="str">
        <f aca="false">VLOOKUP(A353,'Data Prep'!$A$5:$B$44,2,FALSE())</f>
        <v>In-n-out</v>
      </c>
      <c r="AA353" s="4" t="n">
        <f aca="false">COUNTBLANK(A353:Y353)</f>
        <v>0</v>
      </c>
    </row>
    <row r="354" customFormat="false" ht="12.75" hidden="false" customHeight="true" outlineLevel="0" collapsed="false">
      <c r="A354" s="45" t="s">
        <v>186</v>
      </c>
      <c r="B354" s="46" t="n">
        <v>0</v>
      </c>
      <c r="C354" s="46" t="n">
        <v>0</v>
      </c>
      <c r="D354" s="46" t="n">
        <v>1</v>
      </c>
      <c r="E354" s="46" t="n">
        <v>0</v>
      </c>
      <c r="F354" s="47" t="n">
        <v>0</v>
      </c>
      <c r="G354" s="48" t="n">
        <v>4</v>
      </c>
      <c r="H354" s="48" t="n">
        <v>4</v>
      </c>
      <c r="I354" s="48" t="n">
        <v>4</v>
      </c>
      <c r="J354" s="48" t="n">
        <v>5</v>
      </c>
      <c r="K354" s="48" t="n">
        <v>5</v>
      </c>
      <c r="L354" s="48" t="n">
        <v>4</v>
      </c>
      <c r="M354" s="49" t="n">
        <v>4</v>
      </c>
      <c r="N354" s="49" t="n">
        <v>4</v>
      </c>
      <c r="O354" s="49" t="n">
        <v>2</v>
      </c>
      <c r="P354" s="49" t="n">
        <v>5</v>
      </c>
      <c r="Q354" s="49" t="n">
        <v>5</v>
      </c>
      <c r="R354" s="49" t="n">
        <v>4</v>
      </c>
      <c r="S354" s="50" t="n">
        <v>1</v>
      </c>
      <c r="T354" s="50" t="n">
        <v>33</v>
      </c>
      <c r="U354" s="50" t="n">
        <v>80682</v>
      </c>
      <c r="V354" s="51" t="n">
        <v>5</v>
      </c>
      <c r="W354" s="51" t="n">
        <v>3</v>
      </c>
      <c r="X354" s="51" t="n">
        <v>2</v>
      </c>
      <c r="Y354" s="51" t="n">
        <v>1</v>
      </c>
      <c r="Z354" s="3" t="str">
        <f aca="false">VLOOKUP(A354,'Data Prep'!$A$5:$B$44,2,FALSE())</f>
        <v>Panera Bread</v>
      </c>
      <c r="AA354" s="4" t="n">
        <f aca="false">COUNTBLANK(A354:Y354)</f>
        <v>0</v>
      </c>
    </row>
    <row r="355" customFormat="false" ht="12.75" hidden="false" customHeight="true" outlineLevel="0" collapsed="false">
      <c r="A355" s="45" t="s">
        <v>35</v>
      </c>
      <c r="B355" s="46" t="n">
        <v>1</v>
      </c>
      <c r="C355" s="46" t="n">
        <v>0</v>
      </c>
      <c r="D355" s="46" t="n">
        <v>0</v>
      </c>
      <c r="E355" s="46" t="n">
        <v>0</v>
      </c>
      <c r="F355" s="47" t="n">
        <v>0</v>
      </c>
      <c r="G355" s="48" t="n">
        <v>4</v>
      </c>
      <c r="H355" s="48" t="n">
        <v>4</v>
      </c>
      <c r="I355" s="48" t="n">
        <v>5</v>
      </c>
      <c r="J355" s="48" t="n">
        <v>5</v>
      </c>
      <c r="K355" s="48" t="n">
        <v>5</v>
      </c>
      <c r="L355" s="48" t="n">
        <v>4</v>
      </c>
      <c r="M355" s="49" t="n">
        <v>4</v>
      </c>
      <c r="N355" s="49" t="n">
        <v>3</v>
      </c>
      <c r="O355" s="49" t="n">
        <v>3</v>
      </c>
      <c r="P355" s="49" t="n">
        <v>5</v>
      </c>
      <c r="Q355" s="49" t="n">
        <v>4</v>
      </c>
      <c r="R355" s="49" t="n">
        <v>4</v>
      </c>
      <c r="S355" s="50" t="n">
        <v>0</v>
      </c>
      <c r="T355" s="50" t="n">
        <v>21</v>
      </c>
      <c r="U355" s="50" t="n">
        <v>28482</v>
      </c>
      <c r="V355" s="51" t="n">
        <v>1</v>
      </c>
      <c r="W355" s="51" t="n">
        <v>4</v>
      </c>
      <c r="X355" s="51" t="n">
        <v>1</v>
      </c>
      <c r="Y355" s="51" t="n">
        <v>1</v>
      </c>
      <c r="Z355" s="3" t="str">
        <f aca="false">VLOOKUP(A355,'Data Prep'!$A$5:$B$44,2,FALSE())</f>
        <v>KFC</v>
      </c>
      <c r="AA355" s="4" t="n">
        <f aca="false">COUNTBLANK(A355:Y355)</f>
        <v>0</v>
      </c>
    </row>
    <row r="356" customFormat="false" ht="12.75" hidden="false" customHeight="true" outlineLevel="0" collapsed="false">
      <c r="A356" s="45" t="s">
        <v>33</v>
      </c>
      <c r="B356" s="46" t="n">
        <v>0</v>
      </c>
      <c r="C356" s="46" t="n">
        <v>0</v>
      </c>
      <c r="D356" s="46" t="n">
        <v>1</v>
      </c>
      <c r="E356" s="46" t="n">
        <v>0</v>
      </c>
      <c r="F356" s="47" t="n">
        <v>0</v>
      </c>
      <c r="G356" s="48" t="n">
        <v>5</v>
      </c>
      <c r="H356" s="48" t="n">
        <v>5</v>
      </c>
      <c r="I356" s="48" t="n">
        <v>5</v>
      </c>
      <c r="J356" s="48" t="n">
        <v>5</v>
      </c>
      <c r="K356" s="48" t="n">
        <v>5</v>
      </c>
      <c r="L356" s="48" t="n">
        <v>5</v>
      </c>
      <c r="M356" s="49" t="n">
        <v>3</v>
      </c>
      <c r="N356" s="49" t="n">
        <v>3</v>
      </c>
      <c r="O356" s="49" t="n">
        <v>3</v>
      </c>
      <c r="P356" s="49" t="n">
        <v>3</v>
      </c>
      <c r="Q356" s="49" t="n">
        <v>3</v>
      </c>
      <c r="R356" s="49" t="n">
        <v>3</v>
      </c>
      <c r="S356" s="50"/>
      <c r="T356" s="50"/>
      <c r="U356" s="50"/>
      <c r="V356" s="51"/>
      <c r="W356" s="51"/>
      <c r="X356" s="51"/>
      <c r="Y356" s="51"/>
      <c r="Z356" s="3" t="str">
        <f aca="false">VLOOKUP(A356,'Data Prep'!$A$5:$B$44,2,FALSE())</f>
        <v>In-n-out</v>
      </c>
      <c r="AA356" s="4" t="n">
        <f aca="false">COUNTBLANK(A356:Y356)</f>
        <v>7</v>
      </c>
    </row>
    <row r="357" customFormat="false" ht="12.75" hidden="false" customHeight="true" outlineLevel="0" collapsed="false">
      <c r="A357" s="45" t="s">
        <v>33</v>
      </c>
      <c r="B357" s="46" t="n">
        <v>0</v>
      </c>
      <c r="C357" s="46" t="n">
        <v>1</v>
      </c>
      <c r="D357" s="46" t="n">
        <v>0</v>
      </c>
      <c r="E357" s="46" t="n">
        <v>0</v>
      </c>
      <c r="F357" s="47" t="n">
        <v>0</v>
      </c>
      <c r="G357" s="48" t="n">
        <v>4</v>
      </c>
      <c r="H357" s="48" t="n">
        <v>4</v>
      </c>
      <c r="I357" s="48" t="n">
        <v>4</v>
      </c>
      <c r="J357" s="48" t="n">
        <v>4</v>
      </c>
      <c r="K357" s="48" t="n">
        <v>5</v>
      </c>
      <c r="L357" s="48" t="n">
        <v>4</v>
      </c>
      <c r="M357" s="49" t="n">
        <v>3</v>
      </c>
      <c r="N357" s="49" t="n">
        <v>4</v>
      </c>
      <c r="O357" s="49" t="n">
        <v>3</v>
      </c>
      <c r="P357" s="49" t="n">
        <v>5</v>
      </c>
      <c r="Q357" s="49" t="n">
        <v>5</v>
      </c>
      <c r="R357" s="49" t="n">
        <v>5</v>
      </c>
      <c r="S357" s="50" t="n">
        <v>0</v>
      </c>
      <c r="T357" s="50" t="n">
        <v>60</v>
      </c>
      <c r="U357" s="50" t="n">
        <v>74211</v>
      </c>
      <c r="V357" s="51" t="n">
        <v>3</v>
      </c>
      <c r="W357" s="51" t="n">
        <v>3</v>
      </c>
      <c r="X357" s="51" t="n">
        <v>2</v>
      </c>
      <c r="Y357" s="51" t="n">
        <v>2</v>
      </c>
      <c r="Z357" s="3" t="str">
        <f aca="false">VLOOKUP(A357,'Data Prep'!$A$5:$B$44,2,FALSE())</f>
        <v>In-n-out</v>
      </c>
      <c r="AA357" s="4" t="n">
        <f aca="false">COUNTBLANK(A357:Y357)</f>
        <v>0</v>
      </c>
    </row>
    <row r="358" customFormat="false" ht="12.75" hidden="false" customHeight="true" outlineLevel="0" collapsed="false">
      <c r="A358" s="45" t="s">
        <v>174</v>
      </c>
      <c r="B358" s="46" t="n">
        <v>0</v>
      </c>
      <c r="C358" s="46" t="n">
        <v>0</v>
      </c>
      <c r="D358" s="46" t="n">
        <v>1</v>
      </c>
      <c r="E358" s="46" t="n">
        <v>0</v>
      </c>
      <c r="F358" s="47" t="n">
        <v>0</v>
      </c>
      <c r="G358" s="48" t="n">
        <v>5</v>
      </c>
      <c r="H358" s="48" t="n">
        <v>5</v>
      </c>
      <c r="I358" s="48" t="n">
        <v>4</v>
      </c>
      <c r="J358" s="48" t="n">
        <v>4</v>
      </c>
      <c r="K358" s="48" t="n">
        <v>5</v>
      </c>
      <c r="L358" s="48" t="n">
        <v>4</v>
      </c>
      <c r="M358" s="49" t="n">
        <v>2</v>
      </c>
      <c r="N358" s="49" t="n">
        <v>5</v>
      </c>
      <c r="O358" s="49" t="n">
        <v>5</v>
      </c>
      <c r="P358" s="49" t="n">
        <v>5</v>
      </c>
      <c r="Q358" s="49" t="n">
        <v>5</v>
      </c>
      <c r="R358" s="49" t="n">
        <v>5</v>
      </c>
      <c r="S358" s="50" t="n">
        <v>0</v>
      </c>
      <c r="T358" s="50" t="n">
        <v>43</v>
      </c>
      <c r="U358" s="50" t="n">
        <v>42644</v>
      </c>
      <c r="V358" s="51" t="n">
        <v>1</v>
      </c>
      <c r="W358" s="51" t="n">
        <v>2</v>
      </c>
      <c r="X358" s="51" t="n">
        <v>2</v>
      </c>
      <c r="Y358" s="51" t="n">
        <v>2</v>
      </c>
      <c r="Z358" s="3" t="str">
        <f aca="false">VLOOKUP(A358,'Data Prep'!$A$5:$B$44,2,FALSE())</f>
        <v>McDonalds</v>
      </c>
      <c r="AA358" s="4" t="n">
        <f aca="false">COUNTBLANK(A358:Y358)</f>
        <v>0</v>
      </c>
    </row>
    <row r="359" customFormat="false" ht="12.75" hidden="false" customHeight="true" outlineLevel="0" collapsed="false">
      <c r="A359" s="45"/>
      <c r="B359" s="46"/>
      <c r="C359" s="46"/>
      <c r="D359" s="46"/>
      <c r="E359" s="46"/>
      <c r="F359" s="47"/>
      <c r="G359" s="48"/>
      <c r="H359" s="48"/>
      <c r="I359" s="48"/>
      <c r="J359" s="48"/>
      <c r="K359" s="48"/>
      <c r="L359" s="48"/>
      <c r="M359" s="49"/>
      <c r="N359" s="49"/>
      <c r="O359" s="49"/>
      <c r="P359" s="49"/>
      <c r="Q359" s="49"/>
      <c r="R359" s="49"/>
      <c r="S359" s="50"/>
      <c r="T359" s="50"/>
      <c r="U359" s="50"/>
      <c r="V359" s="51"/>
      <c r="W359" s="51"/>
      <c r="X359" s="51"/>
      <c r="Y359" s="51"/>
    </row>
    <row r="360" customFormat="false" ht="12.75" hidden="false" customHeight="true" outlineLevel="0" collapsed="false">
      <c r="A360" s="45"/>
      <c r="B360" s="46"/>
      <c r="C360" s="46"/>
      <c r="D360" s="46"/>
      <c r="E360" s="46"/>
      <c r="F360" s="47"/>
      <c r="G360" s="48"/>
      <c r="H360" s="48"/>
      <c r="I360" s="48"/>
      <c r="J360" s="48"/>
      <c r="K360" s="48"/>
      <c r="L360" s="48"/>
      <c r="M360" s="49"/>
      <c r="N360" s="49"/>
      <c r="O360" s="49"/>
      <c r="P360" s="49"/>
      <c r="Q360" s="49"/>
      <c r="R360" s="49"/>
      <c r="S360" s="50"/>
      <c r="T360" s="50"/>
      <c r="U360" s="50"/>
      <c r="V360" s="51"/>
      <c r="W360" s="51"/>
      <c r="X360" s="51"/>
      <c r="Y360" s="51"/>
    </row>
    <row r="361" customFormat="false" ht="12.75" hidden="false" customHeight="true" outlineLevel="0" collapsed="false">
      <c r="A361" s="45"/>
      <c r="B361" s="46"/>
      <c r="C361" s="46"/>
      <c r="D361" s="46"/>
      <c r="E361" s="46"/>
      <c r="F361" s="47"/>
      <c r="G361" s="48"/>
      <c r="H361" s="48"/>
      <c r="I361" s="48"/>
      <c r="J361" s="48"/>
      <c r="K361" s="48"/>
      <c r="L361" s="48"/>
      <c r="M361" s="49"/>
      <c r="N361" s="49"/>
      <c r="O361" s="49"/>
      <c r="P361" s="49"/>
      <c r="Q361" s="49"/>
      <c r="R361" s="49"/>
      <c r="S361" s="50"/>
      <c r="T361" s="50"/>
      <c r="U361" s="50"/>
      <c r="V361" s="51"/>
      <c r="W361" s="51"/>
      <c r="X361" s="51"/>
      <c r="Y361" s="51"/>
    </row>
    <row r="362" customFormat="false" ht="12.75" hidden="false" customHeight="true" outlineLevel="0" collapsed="false">
      <c r="A362" s="45"/>
      <c r="B362" s="46"/>
      <c r="C362" s="46"/>
      <c r="D362" s="46"/>
      <c r="E362" s="46"/>
      <c r="F362" s="47"/>
      <c r="G362" s="48"/>
      <c r="H362" s="48"/>
      <c r="I362" s="48"/>
      <c r="J362" s="48"/>
      <c r="K362" s="48"/>
      <c r="L362" s="48"/>
      <c r="M362" s="49"/>
      <c r="N362" s="49"/>
      <c r="O362" s="49"/>
      <c r="P362" s="49"/>
      <c r="Q362" s="49"/>
      <c r="R362" s="49"/>
      <c r="S362" s="50"/>
      <c r="T362" s="50"/>
      <c r="U362" s="50"/>
      <c r="V362" s="51"/>
      <c r="W362" s="51"/>
      <c r="X362" s="51"/>
      <c r="Y362" s="51"/>
    </row>
    <row r="363" customFormat="false" ht="12.75" hidden="false" customHeight="true" outlineLevel="0" collapsed="false">
      <c r="A363" s="45"/>
      <c r="B363" s="46"/>
      <c r="C363" s="46"/>
      <c r="D363" s="46"/>
      <c r="E363" s="46"/>
      <c r="F363" s="47"/>
      <c r="G363" s="48"/>
      <c r="H363" s="48"/>
      <c r="I363" s="48"/>
      <c r="J363" s="48"/>
      <c r="K363" s="48"/>
      <c r="L363" s="48"/>
      <c r="M363" s="49"/>
      <c r="N363" s="49"/>
      <c r="O363" s="49"/>
      <c r="P363" s="49"/>
      <c r="Q363" s="49"/>
      <c r="R363" s="49"/>
      <c r="S363" s="50"/>
      <c r="T363" s="50"/>
      <c r="U363" s="50"/>
      <c r="V363" s="51"/>
      <c r="W363" s="51"/>
      <c r="X363" s="51"/>
      <c r="Y363" s="51"/>
    </row>
    <row r="364" customFormat="false" ht="12.75" hidden="false" customHeight="true" outlineLevel="0" collapsed="false">
      <c r="A364" s="45"/>
      <c r="B364" s="46"/>
      <c r="C364" s="46"/>
      <c r="D364" s="46"/>
      <c r="E364" s="46"/>
      <c r="F364" s="47"/>
      <c r="G364" s="48"/>
      <c r="H364" s="48"/>
      <c r="I364" s="48"/>
      <c r="J364" s="48"/>
      <c r="K364" s="48"/>
      <c r="L364" s="48"/>
      <c r="M364" s="49"/>
      <c r="N364" s="49"/>
      <c r="O364" s="49"/>
      <c r="P364" s="49"/>
      <c r="Q364" s="49"/>
      <c r="R364" s="49"/>
      <c r="S364" s="50"/>
      <c r="T364" s="50"/>
      <c r="U364" s="50"/>
      <c r="V364" s="51"/>
      <c r="W364" s="51"/>
      <c r="X364" s="51"/>
      <c r="Y364" s="51"/>
    </row>
    <row r="365" customFormat="false" ht="12.75" hidden="false" customHeight="true" outlineLevel="0" collapsed="false">
      <c r="A365" s="45"/>
      <c r="B365" s="46"/>
      <c r="C365" s="46"/>
      <c r="D365" s="46"/>
      <c r="E365" s="46"/>
      <c r="F365" s="47"/>
      <c r="G365" s="48"/>
      <c r="H365" s="48"/>
      <c r="I365" s="48"/>
      <c r="J365" s="48"/>
      <c r="K365" s="48"/>
      <c r="L365" s="48"/>
      <c r="M365" s="49"/>
      <c r="N365" s="49"/>
      <c r="O365" s="49"/>
      <c r="P365" s="49"/>
      <c r="Q365" s="49"/>
      <c r="R365" s="49"/>
      <c r="S365" s="50"/>
      <c r="T365" s="50"/>
      <c r="U365" s="50"/>
      <c r="V365" s="51"/>
      <c r="W365" s="51"/>
      <c r="X365" s="51"/>
      <c r="Y365" s="51"/>
    </row>
    <row r="366" customFormat="false" ht="12.75" hidden="false" customHeight="true" outlineLevel="0" collapsed="false">
      <c r="A366" s="45"/>
      <c r="B366" s="46"/>
      <c r="C366" s="46"/>
      <c r="D366" s="46"/>
      <c r="E366" s="46"/>
      <c r="F366" s="47"/>
      <c r="G366" s="48"/>
      <c r="H366" s="48"/>
      <c r="I366" s="48"/>
      <c r="J366" s="48"/>
      <c r="K366" s="48"/>
      <c r="L366" s="48"/>
      <c r="M366" s="49"/>
      <c r="N366" s="49"/>
      <c r="O366" s="49"/>
      <c r="P366" s="49"/>
      <c r="Q366" s="49"/>
      <c r="R366" s="49"/>
      <c r="S366" s="50"/>
      <c r="T366" s="50"/>
      <c r="U366" s="50"/>
      <c r="V366" s="51"/>
      <c r="W366" s="51"/>
      <c r="X366" s="51"/>
      <c r="Y366" s="51"/>
    </row>
    <row r="367" customFormat="false" ht="12.75" hidden="false" customHeight="true" outlineLevel="0" collapsed="false">
      <c r="A367" s="45"/>
      <c r="B367" s="46"/>
      <c r="C367" s="46"/>
      <c r="D367" s="46"/>
      <c r="E367" s="46"/>
      <c r="F367" s="47"/>
      <c r="G367" s="48"/>
      <c r="H367" s="48"/>
      <c r="I367" s="48"/>
      <c r="J367" s="48"/>
      <c r="K367" s="48"/>
      <c r="L367" s="48"/>
      <c r="M367" s="49"/>
      <c r="N367" s="49"/>
      <c r="O367" s="49"/>
      <c r="P367" s="49"/>
      <c r="Q367" s="49"/>
      <c r="R367" s="49"/>
      <c r="S367" s="50"/>
      <c r="T367" s="50"/>
      <c r="U367" s="50"/>
      <c r="V367" s="51"/>
      <c r="W367" s="51"/>
      <c r="X367" s="51"/>
      <c r="Y367" s="51"/>
    </row>
    <row r="368" customFormat="false" ht="12.75" hidden="false" customHeight="true" outlineLevel="0" collapsed="false">
      <c r="A368" s="45"/>
      <c r="B368" s="46"/>
      <c r="C368" s="46"/>
      <c r="D368" s="46"/>
      <c r="E368" s="46"/>
      <c r="F368" s="47"/>
      <c r="G368" s="48"/>
      <c r="H368" s="48"/>
      <c r="I368" s="48"/>
      <c r="J368" s="48"/>
      <c r="K368" s="48"/>
      <c r="L368" s="48"/>
      <c r="M368" s="49"/>
      <c r="N368" s="49"/>
      <c r="O368" s="49"/>
      <c r="P368" s="49"/>
      <c r="Q368" s="49"/>
      <c r="R368" s="49"/>
      <c r="S368" s="50"/>
      <c r="T368" s="50"/>
      <c r="U368" s="50"/>
      <c r="V368" s="51"/>
      <c r="W368" s="51"/>
      <c r="X368" s="51"/>
      <c r="Y368" s="51"/>
    </row>
    <row r="369" customFormat="false" ht="12.75" hidden="false" customHeight="true" outlineLevel="0" collapsed="false">
      <c r="A369" s="45"/>
      <c r="B369" s="46"/>
      <c r="C369" s="46"/>
      <c r="D369" s="46"/>
      <c r="E369" s="46"/>
      <c r="F369" s="47"/>
      <c r="G369" s="48"/>
      <c r="H369" s="48"/>
      <c r="I369" s="48"/>
      <c r="J369" s="48"/>
      <c r="K369" s="48"/>
      <c r="L369" s="48"/>
      <c r="M369" s="49"/>
      <c r="N369" s="49"/>
      <c r="O369" s="49"/>
      <c r="P369" s="49"/>
      <c r="Q369" s="49"/>
      <c r="R369" s="49"/>
      <c r="S369" s="50"/>
      <c r="T369" s="50"/>
      <c r="U369" s="50"/>
      <c r="V369" s="51"/>
      <c r="W369" s="51"/>
      <c r="X369" s="51"/>
      <c r="Y369" s="51"/>
    </row>
    <row r="370" customFormat="false" ht="12.75" hidden="false" customHeight="true" outlineLevel="0" collapsed="false">
      <c r="A370" s="45"/>
      <c r="B370" s="46"/>
      <c r="C370" s="46"/>
      <c r="D370" s="46"/>
      <c r="E370" s="46"/>
      <c r="F370" s="47"/>
      <c r="G370" s="48"/>
      <c r="H370" s="48"/>
      <c r="I370" s="48"/>
      <c r="J370" s="48"/>
      <c r="K370" s="48"/>
      <c r="L370" s="48"/>
      <c r="M370" s="49"/>
      <c r="N370" s="49"/>
      <c r="O370" s="49"/>
      <c r="P370" s="49"/>
      <c r="Q370" s="49"/>
      <c r="R370" s="49"/>
      <c r="S370" s="50"/>
      <c r="T370" s="50"/>
      <c r="U370" s="50"/>
      <c r="V370" s="51"/>
      <c r="W370" s="51"/>
      <c r="X370" s="51"/>
      <c r="Y370" s="51"/>
    </row>
    <row r="371" customFormat="false" ht="12.75" hidden="false" customHeight="true" outlineLevel="0" collapsed="false">
      <c r="A371" s="45"/>
      <c r="B371" s="46"/>
      <c r="C371" s="46"/>
      <c r="D371" s="46"/>
      <c r="E371" s="46"/>
      <c r="F371" s="47"/>
      <c r="G371" s="48"/>
      <c r="H371" s="48"/>
      <c r="I371" s="48"/>
      <c r="J371" s="48"/>
      <c r="K371" s="48"/>
      <c r="L371" s="48"/>
      <c r="M371" s="49"/>
      <c r="N371" s="49"/>
      <c r="O371" s="49"/>
      <c r="P371" s="49"/>
      <c r="Q371" s="49"/>
      <c r="R371" s="49"/>
      <c r="S371" s="50"/>
      <c r="T371" s="50"/>
      <c r="U371" s="50"/>
      <c r="V371" s="51"/>
      <c r="W371" s="51"/>
      <c r="X371" s="51"/>
      <c r="Y371" s="51"/>
    </row>
    <row r="372" customFormat="false" ht="12.75" hidden="false" customHeight="true" outlineLevel="0" collapsed="false">
      <c r="A372" s="45"/>
      <c r="B372" s="46"/>
      <c r="C372" s="46"/>
      <c r="D372" s="46"/>
      <c r="E372" s="46"/>
      <c r="F372" s="47"/>
      <c r="G372" s="48"/>
      <c r="H372" s="48"/>
      <c r="I372" s="48"/>
      <c r="J372" s="48"/>
      <c r="K372" s="48"/>
      <c r="L372" s="48"/>
      <c r="M372" s="49"/>
      <c r="N372" s="49"/>
      <c r="O372" s="49"/>
      <c r="P372" s="49"/>
      <c r="Q372" s="49"/>
      <c r="R372" s="49"/>
      <c r="S372" s="50"/>
      <c r="T372" s="50"/>
      <c r="U372" s="50"/>
      <c r="V372" s="51"/>
      <c r="W372" s="51"/>
      <c r="X372" s="51"/>
      <c r="Y372" s="51"/>
    </row>
    <row r="373" customFormat="false" ht="12.75" hidden="false" customHeight="true" outlineLevel="0" collapsed="false">
      <c r="A373" s="45"/>
      <c r="B373" s="46"/>
      <c r="C373" s="46"/>
      <c r="D373" s="46"/>
      <c r="E373" s="46"/>
      <c r="F373" s="47"/>
      <c r="G373" s="48"/>
      <c r="H373" s="48"/>
      <c r="I373" s="48"/>
      <c r="J373" s="48"/>
      <c r="K373" s="48"/>
      <c r="L373" s="48"/>
      <c r="M373" s="49"/>
      <c r="N373" s="49"/>
      <c r="O373" s="49"/>
      <c r="P373" s="49"/>
      <c r="Q373" s="49"/>
      <c r="R373" s="49"/>
      <c r="S373" s="50"/>
      <c r="T373" s="50"/>
      <c r="U373" s="50"/>
      <c r="V373" s="51"/>
      <c r="W373" s="51"/>
      <c r="X373" s="51"/>
      <c r="Y373" s="51"/>
    </row>
    <row r="374" customFormat="false" ht="12.75" hidden="false" customHeight="true" outlineLevel="0" collapsed="false">
      <c r="A374" s="45"/>
      <c r="B374" s="46"/>
      <c r="C374" s="46"/>
      <c r="D374" s="46"/>
      <c r="E374" s="46"/>
      <c r="F374" s="47"/>
      <c r="G374" s="48"/>
      <c r="H374" s="48"/>
      <c r="I374" s="48"/>
      <c r="J374" s="48"/>
      <c r="K374" s="48"/>
      <c r="L374" s="48"/>
      <c r="M374" s="49"/>
      <c r="N374" s="49"/>
      <c r="O374" s="49"/>
      <c r="P374" s="49"/>
      <c r="Q374" s="49"/>
      <c r="R374" s="49"/>
      <c r="S374" s="50"/>
      <c r="T374" s="50"/>
      <c r="U374" s="50"/>
      <c r="V374" s="51"/>
      <c r="W374" s="51"/>
      <c r="X374" s="51"/>
      <c r="Y374" s="51"/>
    </row>
    <row r="375" customFormat="false" ht="12.75" hidden="false" customHeight="true" outlineLevel="0" collapsed="false">
      <c r="A375" s="45"/>
      <c r="B375" s="46"/>
      <c r="C375" s="46"/>
      <c r="D375" s="46"/>
      <c r="E375" s="46"/>
      <c r="F375" s="47"/>
      <c r="G375" s="48"/>
      <c r="H375" s="48"/>
      <c r="I375" s="48"/>
      <c r="J375" s="48"/>
      <c r="K375" s="48"/>
      <c r="L375" s="48"/>
      <c r="M375" s="49"/>
      <c r="N375" s="49"/>
      <c r="O375" s="49"/>
      <c r="P375" s="49"/>
      <c r="Q375" s="49"/>
      <c r="R375" s="49"/>
      <c r="S375" s="50"/>
      <c r="T375" s="50"/>
      <c r="U375" s="50"/>
      <c r="V375" s="51"/>
      <c r="W375" s="51"/>
      <c r="X375" s="51"/>
      <c r="Y375" s="51"/>
    </row>
    <row r="376" customFormat="false" ht="12.75" hidden="false" customHeight="true" outlineLevel="0" collapsed="false">
      <c r="A376" s="45"/>
      <c r="B376" s="46"/>
      <c r="C376" s="46"/>
      <c r="D376" s="46"/>
      <c r="E376" s="46"/>
      <c r="F376" s="47"/>
      <c r="G376" s="48"/>
      <c r="H376" s="48"/>
      <c r="I376" s="48"/>
      <c r="J376" s="48"/>
      <c r="K376" s="48"/>
      <c r="L376" s="48"/>
      <c r="M376" s="49"/>
      <c r="N376" s="49"/>
      <c r="O376" s="49"/>
      <c r="P376" s="49"/>
      <c r="Q376" s="49"/>
      <c r="R376" s="49"/>
      <c r="S376" s="50"/>
      <c r="T376" s="50"/>
      <c r="U376" s="50"/>
      <c r="V376" s="51"/>
      <c r="W376" s="51"/>
      <c r="X376" s="51"/>
      <c r="Y376" s="51"/>
    </row>
    <row r="377" customFormat="false" ht="12.75" hidden="false" customHeight="true" outlineLevel="0" collapsed="false">
      <c r="A377" s="45"/>
      <c r="B377" s="46"/>
      <c r="C377" s="46"/>
      <c r="D377" s="46"/>
      <c r="E377" s="46"/>
      <c r="F377" s="47"/>
      <c r="G377" s="48"/>
      <c r="H377" s="48"/>
      <c r="I377" s="48"/>
      <c r="J377" s="48"/>
      <c r="K377" s="48"/>
      <c r="L377" s="48"/>
      <c r="M377" s="49"/>
      <c r="N377" s="49"/>
      <c r="O377" s="49"/>
      <c r="P377" s="49"/>
      <c r="Q377" s="49"/>
      <c r="R377" s="49"/>
      <c r="S377" s="50"/>
      <c r="T377" s="50"/>
      <c r="U377" s="50"/>
      <c r="V377" s="51"/>
      <c r="W377" s="51"/>
      <c r="X377" s="51"/>
      <c r="Y377" s="51"/>
    </row>
    <row r="378" customFormat="false" ht="12.75" hidden="false" customHeight="true" outlineLevel="0" collapsed="false">
      <c r="A378" s="45"/>
      <c r="B378" s="46"/>
      <c r="C378" s="46"/>
      <c r="D378" s="46"/>
      <c r="E378" s="46"/>
      <c r="F378" s="47"/>
      <c r="G378" s="48"/>
      <c r="H378" s="48"/>
      <c r="I378" s="48"/>
      <c r="J378" s="48"/>
      <c r="K378" s="48"/>
      <c r="L378" s="48"/>
      <c r="M378" s="49"/>
      <c r="N378" s="49"/>
      <c r="O378" s="49"/>
      <c r="P378" s="49"/>
      <c r="Q378" s="49"/>
      <c r="R378" s="49"/>
      <c r="S378" s="50"/>
      <c r="T378" s="50"/>
      <c r="U378" s="50"/>
      <c r="V378" s="51"/>
      <c r="W378" s="51"/>
      <c r="X378" s="51"/>
      <c r="Y378" s="51"/>
    </row>
    <row r="379" customFormat="false" ht="12.75" hidden="false" customHeight="true" outlineLevel="0" collapsed="false">
      <c r="A379" s="45"/>
      <c r="B379" s="46"/>
      <c r="C379" s="46"/>
      <c r="D379" s="46"/>
      <c r="E379" s="46"/>
      <c r="F379" s="47"/>
      <c r="G379" s="48"/>
      <c r="H379" s="48"/>
      <c r="I379" s="48"/>
      <c r="J379" s="48"/>
      <c r="K379" s="48"/>
      <c r="L379" s="48"/>
      <c r="M379" s="49"/>
      <c r="N379" s="49"/>
      <c r="O379" s="49"/>
      <c r="P379" s="49"/>
      <c r="Q379" s="49"/>
      <c r="R379" s="49"/>
      <c r="S379" s="50"/>
      <c r="T379" s="50"/>
      <c r="U379" s="50"/>
      <c r="V379" s="51"/>
      <c r="W379" s="51"/>
      <c r="X379" s="51"/>
      <c r="Y379" s="51"/>
    </row>
    <row r="380" customFormat="false" ht="12.75" hidden="false" customHeight="true" outlineLevel="0" collapsed="false">
      <c r="A380" s="45"/>
      <c r="B380" s="46"/>
      <c r="C380" s="46"/>
      <c r="D380" s="46"/>
      <c r="E380" s="46"/>
      <c r="F380" s="47"/>
      <c r="G380" s="48"/>
      <c r="H380" s="48"/>
      <c r="I380" s="48"/>
      <c r="J380" s="48"/>
      <c r="K380" s="48"/>
      <c r="L380" s="48"/>
      <c r="M380" s="49"/>
      <c r="N380" s="49"/>
      <c r="O380" s="49"/>
      <c r="P380" s="49"/>
      <c r="Q380" s="49"/>
      <c r="R380" s="49"/>
      <c r="S380" s="50"/>
      <c r="T380" s="50"/>
      <c r="U380" s="50"/>
      <c r="V380" s="51"/>
      <c r="W380" s="51"/>
      <c r="X380" s="51"/>
      <c r="Y380" s="51"/>
    </row>
    <row r="381" customFormat="false" ht="12.75" hidden="false" customHeight="true" outlineLevel="0" collapsed="false">
      <c r="A381" s="45"/>
      <c r="B381" s="46"/>
      <c r="C381" s="46"/>
      <c r="D381" s="46"/>
      <c r="E381" s="46"/>
      <c r="F381" s="47"/>
      <c r="G381" s="48"/>
      <c r="H381" s="48"/>
      <c r="I381" s="48"/>
      <c r="J381" s="48"/>
      <c r="K381" s="48"/>
      <c r="L381" s="48"/>
      <c r="M381" s="49"/>
      <c r="N381" s="49"/>
      <c r="O381" s="49"/>
      <c r="P381" s="49"/>
      <c r="Q381" s="49"/>
      <c r="R381" s="49"/>
      <c r="S381" s="50"/>
      <c r="T381" s="50"/>
      <c r="U381" s="50"/>
      <c r="V381" s="51"/>
      <c r="W381" s="51"/>
      <c r="X381" s="51"/>
      <c r="Y381" s="51"/>
    </row>
    <row r="382" customFormat="false" ht="12.75" hidden="false" customHeight="true" outlineLevel="0" collapsed="false">
      <c r="A382" s="45"/>
      <c r="B382" s="46"/>
      <c r="C382" s="46"/>
      <c r="D382" s="46"/>
      <c r="E382" s="46"/>
      <c r="F382" s="47"/>
      <c r="G382" s="48"/>
      <c r="H382" s="48"/>
      <c r="I382" s="48"/>
      <c r="J382" s="48"/>
      <c r="K382" s="48"/>
      <c r="L382" s="48"/>
      <c r="M382" s="49"/>
      <c r="N382" s="49"/>
      <c r="O382" s="49"/>
      <c r="P382" s="49"/>
      <c r="Q382" s="49"/>
      <c r="R382" s="49"/>
      <c r="S382" s="50"/>
      <c r="T382" s="50"/>
      <c r="U382" s="50"/>
      <c r="V382" s="51"/>
      <c r="W382" s="51"/>
      <c r="X382" s="51"/>
      <c r="Y382" s="51"/>
    </row>
    <row r="383" customFormat="false" ht="12.75" hidden="false" customHeight="true" outlineLevel="0" collapsed="false">
      <c r="A383" s="45"/>
      <c r="B383" s="46"/>
      <c r="C383" s="46"/>
      <c r="D383" s="46"/>
      <c r="E383" s="46"/>
      <c r="F383" s="47"/>
      <c r="G383" s="48"/>
      <c r="H383" s="48"/>
      <c r="I383" s="48"/>
      <c r="J383" s="48"/>
      <c r="K383" s="48"/>
      <c r="L383" s="48"/>
      <c r="M383" s="49"/>
      <c r="N383" s="49"/>
      <c r="O383" s="49"/>
      <c r="P383" s="49"/>
      <c r="Q383" s="49"/>
      <c r="R383" s="49"/>
      <c r="S383" s="50"/>
      <c r="T383" s="50"/>
      <c r="U383" s="50"/>
      <c r="V383" s="51"/>
      <c r="W383" s="51"/>
      <c r="X383" s="51"/>
      <c r="Y383" s="51"/>
    </row>
    <row r="384" customFormat="false" ht="12.75" hidden="false" customHeight="true" outlineLevel="0" collapsed="false">
      <c r="A384" s="45"/>
      <c r="B384" s="46"/>
      <c r="C384" s="46"/>
      <c r="D384" s="46"/>
      <c r="E384" s="46"/>
      <c r="F384" s="47"/>
      <c r="G384" s="48"/>
      <c r="H384" s="48"/>
      <c r="I384" s="48"/>
      <c r="J384" s="48"/>
      <c r="K384" s="48"/>
      <c r="L384" s="48"/>
      <c r="M384" s="49"/>
      <c r="N384" s="49"/>
      <c r="O384" s="49"/>
      <c r="P384" s="49"/>
      <c r="Q384" s="49"/>
      <c r="R384" s="49"/>
      <c r="S384" s="50"/>
      <c r="T384" s="50"/>
      <c r="U384" s="50"/>
      <c r="V384" s="51"/>
      <c r="W384" s="51"/>
      <c r="X384" s="51"/>
      <c r="Y384" s="51"/>
    </row>
    <row r="385" customFormat="false" ht="12.75" hidden="false" customHeight="true" outlineLevel="0" collapsed="false">
      <c r="A385" s="45"/>
      <c r="B385" s="46"/>
      <c r="C385" s="46"/>
      <c r="D385" s="46"/>
      <c r="E385" s="46"/>
      <c r="F385" s="47"/>
      <c r="G385" s="48"/>
      <c r="H385" s="48"/>
      <c r="I385" s="48"/>
      <c r="J385" s="48"/>
      <c r="K385" s="48"/>
      <c r="L385" s="48"/>
      <c r="M385" s="49"/>
      <c r="N385" s="49"/>
      <c r="O385" s="49"/>
      <c r="P385" s="49"/>
      <c r="Q385" s="49"/>
      <c r="R385" s="49"/>
      <c r="S385" s="50"/>
      <c r="T385" s="50"/>
      <c r="U385" s="50"/>
      <c r="V385" s="51"/>
      <c r="W385" s="51"/>
      <c r="X385" s="51"/>
      <c r="Y385" s="51"/>
    </row>
    <row r="386" customFormat="false" ht="12.75" hidden="false" customHeight="true" outlineLevel="0" collapsed="false">
      <c r="A386" s="45"/>
      <c r="B386" s="46"/>
      <c r="C386" s="46"/>
      <c r="D386" s="46"/>
      <c r="E386" s="46"/>
      <c r="F386" s="47"/>
      <c r="G386" s="48"/>
      <c r="H386" s="48"/>
      <c r="I386" s="48"/>
      <c r="J386" s="48"/>
      <c r="K386" s="48"/>
      <c r="L386" s="48"/>
      <c r="M386" s="49"/>
      <c r="N386" s="49"/>
      <c r="O386" s="49"/>
      <c r="P386" s="49"/>
      <c r="Q386" s="49"/>
      <c r="R386" s="49"/>
      <c r="S386" s="50"/>
      <c r="T386" s="50"/>
      <c r="U386" s="50"/>
      <c r="V386" s="51"/>
      <c r="W386" s="51"/>
      <c r="X386" s="51"/>
      <c r="Y386" s="51"/>
    </row>
    <row r="387" customFormat="false" ht="12.75" hidden="false" customHeight="true" outlineLevel="0" collapsed="false">
      <c r="A387" s="45"/>
      <c r="B387" s="46"/>
      <c r="C387" s="46"/>
      <c r="D387" s="46"/>
      <c r="E387" s="46"/>
      <c r="F387" s="47"/>
      <c r="G387" s="48"/>
      <c r="H387" s="48"/>
      <c r="I387" s="48"/>
      <c r="J387" s="48"/>
      <c r="K387" s="48"/>
      <c r="L387" s="48"/>
      <c r="M387" s="49"/>
      <c r="N387" s="49"/>
      <c r="O387" s="49"/>
      <c r="P387" s="49"/>
      <c r="Q387" s="49"/>
      <c r="R387" s="49"/>
      <c r="S387" s="50"/>
      <c r="T387" s="50"/>
      <c r="U387" s="50"/>
      <c r="V387" s="51"/>
      <c r="W387" s="51"/>
      <c r="X387" s="51"/>
      <c r="Y387" s="51"/>
    </row>
    <row r="388" customFormat="false" ht="12.75" hidden="false" customHeight="true" outlineLevel="0" collapsed="false">
      <c r="A388" s="45"/>
      <c r="B388" s="46"/>
      <c r="C388" s="46"/>
      <c r="D388" s="46"/>
      <c r="E388" s="46"/>
      <c r="F388" s="47"/>
      <c r="G388" s="48"/>
      <c r="H388" s="48"/>
      <c r="I388" s="48"/>
      <c r="J388" s="48"/>
      <c r="K388" s="48"/>
      <c r="L388" s="48"/>
      <c r="M388" s="49"/>
      <c r="N388" s="49"/>
      <c r="O388" s="49"/>
      <c r="P388" s="49"/>
      <c r="Q388" s="49"/>
      <c r="R388" s="49"/>
      <c r="S388" s="50"/>
      <c r="T388" s="50"/>
      <c r="U388" s="50"/>
      <c r="V388" s="51"/>
      <c r="W388" s="51"/>
      <c r="X388" s="51"/>
      <c r="Y388" s="51"/>
    </row>
    <row r="389" customFormat="false" ht="12.75" hidden="false" customHeight="true" outlineLevel="0" collapsed="false">
      <c r="A389" s="45"/>
      <c r="B389" s="46"/>
      <c r="C389" s="46"/>
      <c r="D389" s="46"/>
      <c r="E389" s="46"/>
      <c r="F389" s="47"/>
      <c r="G389" s="48"/>
      <c r="H389" s="48"/>
      <c r="I389" s="48"/>
      <c r="J389" s="48"/>
      <c r="K389" s="48"/>
      <c r="L389" s="48"/>
      <c r="M389" s="49"/>
      <c r="N389" s="49"/>
      <c r="O389" s="49"/>
      <c r="P389" s="49"/>
      <c r="Q389" s="49"/>
      <c r="R389" s="49"/>
      <c r="S389" s="50"/>
      <c r="T389" s="50"/>
      <c r="U389" s="50"/>
      <c r="V389" s="51"/>
      <c r="W389" s="51"/>
      <c r="X389" s="51"/>
      <c r="Y389" s="51"/>
    </row>
    <row r="390" customFormat="false" ht="12.75" hidden="false" customHeight="true" outlineLevel="0" collapsed="false">
      <c r="A390" s="45"/>
      <c r="B390" s="46"/>
      <c r="C390" s="46"/>
      <c r="D390" s="46"/>
      <c r="E390" s="46"/>
      <c r="F390" s="47"/>
      <c r="G390" s="48"/>
      <c r="H390" s="48"/>
      <c r="I390" s="48"/>
      <c r="J390" s="48"/>
      <c r="K390" s="48"/>
      <c r="L390" s="48"/>
      <c r="M390" s="49"/>
      <c r="N390" s="49"/>
      <c r="O390" s="49"/>
      <c r="P390" s="49"/>
      <c r="Q390" s="49"/>
      <c r="R390" s="49"/>
      <c r="S390" s="50"/>
      <c r="T390" s="50"/>
      <c r="U390" s="50"/>
      <c r="V390" s="51"/>
      <c r="W390" s="51"/>
      <c r="X390" s="51"/>
      <c r="Y390" s="51"/>
    </row>
    <row r="391" customFormat="false" ht="12.75" hidden="false" customHeight="true" outlineLevel="0" collapsed="false">
      <c r="A391" s="45"/>
      <c r="B391" s="46"/>
      <c r="C391" s="46"/>
      <c r="D391" s="46"/>
      <c r="E391" s="46"/>
      <c r="F391" s="47"/>
      <c r="G391" s="48"/>
      <c r="H391" s="48"/>
      <c r="I391" s="48"/>
      <c r="J391" s="48"/>
      <c r="K391" s="48"/>
      <c r="L391" s="48"/>
      <c r="M391" s="49"/>
      <c r="N391" s="49"/>
      <c r="O391" s="49"/>
      <c r="P391" s="49"/>
      <c r="Q391" s="49"/>
      <c r="R391" s="49"/>
      <c r="S391" s="50"/>
      <c r="T391" s="50"/>
      <c r="U391" s="50"/>
      <c r="V391" s="51"/>
      <c r="W391" s="51"/>
      <c r="X391" s="51"/>
      <c r="Y391" s="51"/>
    </row>
    <row r="392" customFormat="false" ht="12.75" hidden="false" customHeight="true" outlineLevel="0" collapsed="false">
      <c r="A392" s="45"/>
      <c r="B392" s="46"/>
      <c r="C392" s="46"/>
      <c r="D392" s="46"/>
      <c r="E392" s="46"/>
      <c r="F392" s="47"/>
      <c r="G392" s="48"/>
      <c r="H392" s="48"/>
      <c r="I392" s="48"/>
      <c r="J392" s="48"/>
      <c r="K392" s="48"/>
      <c r="L392" s="48"/>
      <c r="M392" s="49"/>
      <c r="N392" s="49"/>
      <c r="O392" s="49"/>
      <c r="P392" s="49"/>
      <c r="Q392" s="49"/>
      <c r="R392" s="49"/>
      <c r="S392" s="50"/>
      <c r="T392" s="50"/>
      <c r="U392" s="50"/>
      <c r="V392" s="51"/>
      <c r="W392" s="51"/>
      <c r="X392" s="51"/>
      <c r="Y392" s="51"/>
    </row>
    <row r="393" customFormat="false" ht="12.75" hidden="false" customHeight="true" outlineLevel="0" collapsed="false">
      <c r="A393" s="45"/>
      <c r="B393" s="46"/>
      <c r="C393" s="46"/>
      <c r="D393" s="46"/>
      <c r="E393" s="46"/>
      <c r="F393" s="47"/>
      <c r="G393" s="48"/>
      <c r="H393" s="48"/>
      <c r="I393" s="48"/>
      <c r="J393" s="48"/>
      <c r="K393" s="48"/>
      <c r="L393" s="48"/>
      <c r="M393" s="49"/>
      <c r="N393" s="49"/>
      <c r="O393" s="49"/>
      <c r="P393" s="49"/>
      <c r="Q393" s="49"/>
      <c r="R393" s="49"/>
      <c r="S393" s="50"/>
      <c r="T393" s="50"/>
      <c r="U393" s="50"/>
      <c r="V393" s="51"/>
      <c r="W393" s="51"/>
      <c r="X393" s="51"/>
      <c r="Y393" s="51"/>
    </row>
    <row r="394" customFormat="false" ht="12.75" hidden="false" customHeight="true" outlineLevel="0" collapsed="false">
      <c r="A394" s="45"/>
      <c r="B394" s="46"/>
      <c r="C394" s="46"/>
      <c r="D394" s="46"/>
      <c r="E394" s="46"/>
      <c r="F394" s="47"/>
      <c r="G394" s="48"/>
      <c r="H394" s="48"/>
      <c r="I394" s="48"/>
      <c r="J394" s="48"/>
      <c r="K394" s="48"/>
      <c r="L394" s="48"/>
      <c r="M394" s="49"/>
      <c r="N394" s="49"/>
      <c r="O394" s="49"/>
      <c r="P394" s="49"/>
      <c r="Q394" s="49"/>
      <c r="R394" s="49"/>
      <c r="S394" s="50"/>
      <c r="T394" s="50"/>
      <c r="U394" s="50"/>
      <c r="V394" s="51"/>
      <c r="W394" s="51"/>
      <c r="X394" s="51"/>
      <c r="Y394" s="51"/>
    </row>
    <row r="395" customFormat="false" ht="12.75" hidden="false" customHeight="true" outlineLevel="0" collapsed="false">
      <c r="A395" s="45"/>
      <c r="B395" s="46"/>
      <c r="C395" s="46"/>
      <c r="D395" s="46"/>
      <c r="E395" s="46"/>
      <c r="F395" s="47"/>
      <c r="G395" s="48"/>
      <c r="H395" s="48"/>
      <c r="I395" s="48"/>
      <c r="J395" s="48"/>
      <c r="K395" s="48"/>
      <c r="L395" s="48"/>
      <c r="M395" s="49"/>
      <c r="N395" s="49"/>
      <c r="O395" s="49"/>
      <c r="P395" s="49"/>
      <c r="Q395" s="49"/>
      <c r="R395" s="49"/>
      <c r="S395" s="50"/>
      <c r="T395" s="50"/>
      <c r="U395" s="50"/>
      <c r="V395" s="51"/>
      <c r="W395" s="51"/>
      <c r="X395" s="51"/>
      <c r="Y395" s="51"/>
    </row>
    <row r="396" customFormat="false" ht="12.75" hidden="false" customHeight="true" outlineLevel="0" collapsed="false">
      <c r="A396" s="45"/>
      <c r="B396" s="46"/>
      <c r="C396" s="46"/>
      <c r="D396" s="46"/>
      <c r="E396" s="46"/>
      <c r="F396" s="47"/>
      <c r="G396" s="48"/>
      <c r="H396" s="48"/>
      <c r="I396" s="48"/>
      <c r="J396" s="48"/>
      <c r="K396" s="48"/>
      <c r="L396" s="48"/>
      <c r="M396" s="49"/>
      <c r="N396" s="49"/>
      <c r="O396" s="49"/>
      <c r="P396" s="49"/>
      <c r="Q396" s="49"/>
      <c r="R396" s="49"/>
      <c r="S396" s="50"/>
      <c r="T396" s="50"/>
      <c r="U396" s="50"/>
      <c r="V396" s="51"/>
      <c r="W396" s="51"/>
      <c r="X396" s="51"/>
      <c r="Y396" s="51"/>
    </row>
    <row r="397" customFormat="false" ht="12.75" hidden="false" customHeight="true" outlineLevel="0" collapsed="false">
      <c r="A397" s="45"/>
      <c r="B397" s="46"/>
      <c r="C397" s="46"/>
      <c r="D397" s="46"/>
      <c r="E397" s="46"/>
      <c r="F397" s="47"/>
      <c r="G397" s="48"/>
      <c r="H397" s="48"/>
      <c r="I397" s="48"/>
      <c r="J397" s="48"/>
      <c r="K397" s="48"/>
      <c r="L397" s="48"/>
      <c r="M397" s="49"/>
      <c r="N397" s="49"/>
      <c r="O397" s="49"/>
      <c r="P397" s="49"/>
      <c r="Q397" s="49"/>
      <c r="R397" s="49"/>
      <c r="S397" s="50"/>
      <c r="T397" s="50"/>
      <c r="U397" s="50"/>
      <c r="V397" s="51"/>
      <c r="W397" s="51"/>
      <c r="X397" s="51"/>
      <c r="Y397" s="51"/>
    </row>
    <row r="398" customFormat="false" ht="12.75" hidden="false" customHeight="true" outlineLevel="0" collapsed="false">
      <c r="A398" s="45"/>
      <c r="B398" s="46"/>
      <c r="C398" s="46"/>
      <c r="D398" s="46"/>
      <c r="E398" s="46"/>
      <c r="F398" s="47"/>
      <c r="G398" s="48"/>
      <c r="H398" s="48"/>
      <c r="I398" s="48"/>
      <c r="J398" s="48"/>
      <c r="K398" s="48"/>
      <c r="L398" s="48"/>
      <c r="M398" s="49"/>
      <c r="N398" s="49"/>
      <c r="O398" s="49"/>
      <c r="P398" s="49"/>
      <c r="Q398" s="49"/>
      <c r="R398" s="49"/>
      <c r="S398" s="50"/>
      <c r="T398" s="50"/>
      <c r="U398" s="50"/>
      <c r="V398" s="51"/>
      <c r="W398" s="51"/>
      <c r="X398" s="51"/>
      <c r="Y398" s="51"/>
    </row>
    <row r="399" customFormat="false" ht="12.75" hidden="false" customHeight="true" outlineLevel="0" collapsed="false">
      <c r="A399" s="45"/>
      <c r="B399" s="46"/>
      <c r="C399" s="46"/>
      <c r="D399" s="46"/>
      <c r="E399" s="46"/>
      <c r="F399" s="47"/>
      <c r="G399" s="48"/>
      <c r="H399" s="48"/>
      <c r="I399" s="48"/>
      <c r="J399" s="48"/>
      <c r="K399" s="48"/>
      <c r="L399" s="48"/>
      <c r="M399" s="49"/>
      <c r="N399" s="49"/>
      <c r="O399" s="49"/>
      <c r="P399" s="49"/>
      <c r="Q399" s="49"/>
      <c r="R399" s="49"/>
      <c r="S399" s="50"/>
      <c r="T399" s="50"/>
      <c r="U399" s="50"/>
      <c r="V399" s="51"/>
      <c r="W399" s="51"/>
      <c r="X399" s="51"/>
      <c r="Y399" s="51"/>
    </row>
    <row r="400" customFormat="false" ht="12.75" hidden="false" customHeight="true" outlineLevel="0" collapsed="false">
      <c r="A400" s="45"/>
      <c r="B400" s="46"/>
      <c r="C400" s="46"/>
      <c r="D400" s="46"/>
      <c r="E400" s="46"/>
      <c r="F400" s="47"/>
      <c r="G400" s="48"/>
      <c r="H400" s="48"/>
      <c r="I400" s="48"/>
      <c r="J400" s="48"/>
      <c r="K400" s="48"/>
      <c r="L400" s="48"/>
      <c r="M400" s="49"/>
      <c r="N400" s="49"/>
      <c r="O400" s="49"/>
      <c r="P400" s="49"/>
      <c r="Q400" s="49"/>
      <c r="R400" s="49"/>
      <c r="S400" s="50"/>
      <c r="T400" s="50"/>
      <c r="U400" s="50"/>
      <c r="V400" s="51"/>
      <c r="W400" s="51"/>
      <c r="X400" s="51"/>
      <c r="Y400" s="51"/>
    </row>
    <row r="401" customFormat="false" ht="12.75" hidden="false" customHeight="true" outlineLevel="0" collapsed="false">
      <c r="A401" s="45"/>
      <c r="B401" s="46"/>
      <c r="C401" s="46"/>
      <c r="D401" s="46"/>
      <c r="E401" s="46"/>
      <c r="F401" s="47"/>
      <c r="G401" s="48"/>
      <c r="H401" s="48"/>
      <c r="I401" s="48"/>
      <c r="J401" s="48"/>
      <c r="K401" s="48"/>
      <c r="L401" s="48"/>
      <c r="M401" s="49"/>
      <c r="N401" s="49"/>
      <c r="O401" s="49"/>
      <c r="P401" s="49"/>
      <c r="Q401" s="49"/>
      <c r="R401" s="49"/>
      <c r="S401" s="50"/>
      <c r="T401" s="50"/>
      <c r="U401" s="50"/>
      <c r="V401" s="51"/>
      <c r="W401" s="51"/>
      <c r="X401" s="51"/>
      <c r="Y401" s="51"/>
    </row>
    <row r="402" customFormat="false" ht="12.75" hidden="false" customHeight="true" outlineLevel="0" collapsed="false">
      <c r="A402" s="45"/>
      <c r="B402" s="46"/>
      <c r="C402" s="46"/>
      <c r="D402" s="46"/>
      <c r="E402" s="46"/>
      <c r="F402" s="47"/>
      <c r="G402" s="48"/>
      <c r="H402" s="48"/>
      <c r="I402" s="48"/>
      <c r="J402" s="48"/>
      <c r="K402" s="48"/>
      <c r="L402" s="48"/>
      <c r="M402" s="49"/>
      <c r="N402" s="49"/>
      <c r="O402" s="49"/>
      <c r="P402" s="49"/>
      <c r="Q402" s="49"/>
      <c r="R402" s="49"/>
      <c r="S402" s="50"/>
      <c r="T402" s="50"/>
      <c r="U402" s="50"/>
      <c r="V402" s="51"/>
      <c r="W402" s="51"/>
      <c r="X402" s="51"/>
      <c r="Y402" s="51"/>
    </row>
    <row r="403" customFormat="false" ht="12.75" hidden="false" customHeight="true" outlineLevel="0" collapsed="false">
      <c r="A403" s="45"/>
      <c r="B403" s="46"/>
      <c r="C403" s="46"/>
      <c r="D403" s="46"/>
      <c r="E403" s="46"/>
      <c r="F403" s="47"/>
      <c r="G403" s="48"/>
      <c r="H403" s="48"/>
      <c r="I403" s="48"/>
      <c r="J403" s="48"/>
      <c r="K403" s="48"/>
      <c r="L403" s="48"/>
      <c r="M403" s="49"/>
      <c r="N403" s="49"/>
      <c r="O403" s="49"/>
      <c r="P403" s="49"/>
      <c r="Q403" s="49"/>
      <c r="R403" s="49"/>
      <c r="S403" s="50"/>
      <c r="T403" s="50"/>
      <c r="U403" s="50"/>
      <c r="V403" s="51"/>
      <c r="W403" s="51"/>
      <c r="X403" s="51"/>
      <c r="Y403" s="51"/>
    </row>
    <row r="404" customFormat="false" ht="12.75" hidden="false" customHeight="true" outlineLevel="0" collapsed="false">
      <c r="A404" s="45"/>
      <c r="B404" s="46"/>
      <c r="C404" s="46"/>
      <c r="D404" s="46"/>
      <c r="E404" s="46"/>
      <c r="F404" s="47"/>
      <c r="G404" s="48"/>
      <c r="H404" s="48"/>
      <c r="I404" s="48"/>
      <c r="J404" s="48"/>
      <c r="K404" s="48"/>
      <c r="L404" s="48"/>
      <c r="M404" s="49"/>
      <c r="N404" s="49"/>
      <c r="O404" s="49"/>
      <c r="P404" s="49"/>
      <c r="Q404" s="49"/>
      <c r="R404" s="49"/>
      <c r="S404" s="50"/>
      <c r="T404" s="50"/>
      <c r="U404" s="50"/>
      <c r="V404" s="51"/>
      <c r="W404" s="51"/>
      <c r="X404" s="51"/>
      <c r="Y404" s="51"/>
    </row>
    <row r="405" customFormat="false" ht="12.75" hidden="false" customHeight="true" outlineLevel="0" collapsed="false">
      <c r="A405" s="45"/>
      <c r="B405" s="46"/>
      <c r="C405" s="46"/>
      <c r="D405" s="46"/>
      <c r="E405" s="46"/>
      <c r="F405" s="47"/>
      <c r="G405" s="48"/>
      <c r="H405" s="48"/>
      <c r="I405" s="48"/>
      <c r="J405" s="48"/>
      <c r="K405" s="48"/>
      <c r="L405" s="48"/>
      <c r="M405" s="49"/>
      <c r="N405" s="49"/>
      <c r="O405" s="49"/>
      <c r="P405" s="49"/>
      <c r="Q405" s="49"/>
      <c r="R405" s="49"/>
      <c r="S405" s="50"/>
      <c r="T405" s="50"/>
      <c r="U405" s="50"/>
      <c r="V405" s="51"/>
      <c r="W405" s="51"/>
      <c r="X405" s="51"/>
      <c r="Y405" s="51"/>
    </row>
    <row r="406" customFormat="false" ht="12.75" hidden="false" customHeight="true" outlineLevel="0" collapsed="false">
      <c r="A406" s="45"/>
      <c r="B406" s="46"/>
      <c r="C406" s="46"/>
      <c r="D406" s="46"/>
      <c r="E406" s="46"/>
      <c r="F406" s="47"/>
      <c r="G406" s="48"/>
      <c r="H406" s="48"/>
      <c r="I406" s="48"/>
      <c r="J406" s="48"/>
      <c r="K406" s="48"/>
      <c r="L406" s="48"/>
      <c r="M406" s="49"/>
      <c r="N406" s="49"/>
      <c r="O406" s="49"/>
      <c r="P406" s="49"/>
      <c r="Q406" s="49"/>
      <c r="R406" s="49"/>
      <c r="S406" s="50"/>
      <c r="T406" s="50"/>
      <c r="U406" s="50"/>
      <c r="V406" s="51"/>
      <c r="W406" s="51"/>
      <c r="X406" s="51"/>
      <c r="Y406" s="51"/>
    </row>
    <row r="407" customFormat="false" ht="12.75" hidden="false" customHeight="true" outlineLevel="0" collapsed="false">
      <c r="A407" s="45"/>
      <c r="B407" s="46"/>
      <c r="C407" s="46"/>
      <c r="D407" s="46"/>
      <c r="E407" s="46"/>
      <c r="F407" s="47"/>
      <c r="G407" s="48"/>
      <c r="H407" s="48"/>
      <c r="I407" s="48"/>
      <c r="J407" s="48"/>
      <c r="K407" s="48"/>
      <c r="L407" s="48"/>
      <c r="M407" s="49"/>
      <c r="N407" s="49"/>
      <c r="O407" s="49"/>
      <c r="P407" s="49"/>
      <c r="Q407" s="49"/>
      <c r="R407" s="49"/>
      <c r="S407" s="50"/>
      <c r="T407" s="50"/>
      <c r="U407" s="50"/>
      <c r="V407" s="51"/>
      <c r="W407" s="51"/>
      <c r="X407" s="51"/>
      <c r="Y407" s="51"/>
    </row>
    <row r="408" customFormat="false" ht="12.75" hidden="false" customHeight="true" outlineLevel="0" collapsed="false">
      <c r="A408" s="45"/>
      <c r="B408" s="46"/>
      <c r="C408" s="46"/>
      <c r="D408" s="46"/>
      <c r="E408" s="46"/>
      <c r="F408" s="47"/>
      <c r="G408" s="48"/>
      <c r="H408" s="48"/>
      <c r="I408" s="48"/>
      <c r="J408" s="48"/>
      <c r="K408" s="48"/>
      <c r="L408" s="48"/>
      <c r="M408" s="49"/>
      <c r="N408" s="49"/>
      <c r="O408" s="49"/>
      <c r="P408" s="49"/>
      <c r="Q408" s="49"/>
      <c r="R408" s="49"/>
      <c r="S408" s="50"/>
      <c r="T408" s="50"/>
      <c r="U408" s="50"/>
      <c r="V408" s="51"/>
      <c r="W408" s="51"/>
      <c r="X408" s="51"/>
      <c r="Y408" s="51"/>
    </row>
    <row r="409" customFormat="false" ht="12.75" hidden="false" customHeight="true" outlineLevel="0" collapsed="false">
      <c r="A409" s="45"/>
      <c r="B409" s="46"/>
      <c r="C409" s="46"/>
      <c r="D409" s="46"/>
      <c r="E409" s="46"/>
      <c r="F409" s="47"/>
      <c r="G409" s="48"/>
      <c r="H409" s="48"/>
      <c r="I409" s="48"/>
      <c r="J409" s="48"/>
      <c r="K409" s="48"/>
      <c r="L409" s="48"/>
      <c r="M409" s="49"/>
      <c r="N409" s="49"/>
      <c r="O409" s="49"/>
      <c r="P409" s="49"/>
      <c r="Q409" s="49"/>
      <c r="R409" s="49"/>
      <c r="S409" s="50"/>
      <c r="T409" s="50"/>
      <c r="U409" s="50"/>
      <c r="V409" s="51"/>
      <c r="W409" s="51"/>
      <c r="X409" s="51"/>
      <c r="Y409" s="51"/>
    </row>
    <row r="410" customFormat="false" ht="12.75" hidden="false" customHeight="true" outlineLevel="0" collapsed="false">
      <c r="A410" s="45"/>
      <c r="B410" s="46"/>
      <c r="C410" s="46"/>
      <c r="D410" s="46"/>
      <c r="E410" s="46"/>
      <c r="F410" s="47"/>
      <c r="G410" s="48"/>
      <c r="H410" s="48"/>
      <c r="I410" s="48"/>
      <c r="J410" s="48"/>
      <c r="K410" s="48"/>
      <c r="L410" s="48"/>
      <c r="M410" s="49"/>
      <c r="N410" s="49"/>
      <c r="O410" s="49"/>
      <c r="P410" s="49"/>
      <c r="Q410" s="49"/>
      <c r="R410" s="49"/>
      <c r="S410" s="50"/>
      <c r="T410" s="50"/>
      <c r="U410" s="50"/>
      <c r="V410" s="51"/>
      <c r="W410" s="51"/>
      <c r="X410" s="51"/>
      <c r="Y410" s="51"/>
    </row>
    <row r="411" customFormat="false" ht="12.75" hidden="false" customHeight="true" outlineLevel="0" collapsed="false">
      <c r="A411" s="45"/>
      <c r="B411" s="46"/>
      <c r="C411" s="46"/>
      <c r="D411" s="46"/>
      <c r="E411" s="46"/>
      <c r="F411" s="47"/>
      <c r="G411" s="48"/>
      <c r="H411" s="48"/>
      <c r="I411" s="48"/>
      <c r="J411" s="48"/>
      <c r="K411" s="48"/>
      <c r="L411" s="48"/>
      <c r="M411" s="49"/>
      <c r="N411" s="49"/>
      <c r="O411" s="49"/>
      <c r="P411" s="49"/>
      <c r="Q411" s="49"/>
      <c r="R411" s="49"/>
      <c r="S411" s="50"/>
      <c r="T411" s="50"/>
      <c r="U411" s="50"/>
      <c r="V411" s="51"/>
      <c r="W411" s="51"/>
      <c r="X411" s="51"/>
      <c r="Y411" s="51"/>
    </row>
    <row r="412" customFormat="false" ht="12.75" hidden="false" customHeight="true" outlineLevel="0" collapsed="false">
      <c r="A412" s="45"/>
      <c r="B412" s="46"/>
      <c r="C412" s="46"/>
      <c r="D412" s="46"/>
      <c r="E412" s="46"/>
      <c r="F412" s="47"/>
      <c r="G412" s="48"/>
      <c r="H412" s="48"/>
      <c r="I412" s="48"/>
      <c r="J412" s="48"/>
      <c r="K412" s="48"/>
      <c r="L412" s="48"/>
      <c r="M412" s="49"/>
      <c r="N412" s="49"/>
      <c r="O412" s="49"/>
      <c r="P412" s="49"/>
      <c r="Q412" s="49"/>
      <c r="R412" s="49"/>
      <c r="S412" s="50"/>
      <c r="T412" s="50"/>
      <c r="U412" s="50"/>
      <c r="V412" s="51"/>
      <c r="W412" s="51"/>
      <c r="X412" s="51"/>
      <c r="Y412" s="51"/>
    </row>
    <row r="413" customFormat="false" ht="12.75" hidden="false" customHeight="true" outlineLevel="0" collapsed="false">
      <c r="A413" s="45"/>
      <c r="B413" s="46"/>
      <c r="C413" s="46"/>
      <c r="D413" s="46"/>
      <c r="E413" s="46"/>
      <c r="F413" s="47"/>
      <c r="G413" s="48"/>
      <c r="H413" s="48"/>
      <c r="I413" s="48"/>
      <c r="J413" s="48"/>
      <c r="K413" s="48"/>
      <c r="L413" s="48"/>
      <c r="M413" s="49"/>
      <c r="N413" s="49"/>
      <c r="O413" s="49"/>
      <c r="P413" s="49"/>
      <c r="Q413" s="49"/>
      <c r="R413" s="49"/>
      <c r="S413" s="50"/>
      <c r="T413" s="50"/>
      <c r="U413" s="50"/>
      <c r="V413" s="51"/>
      <c r="W413" s="51"/>
      <c r="X413" s="51"/>
      <c r="Y413" s="51"/>
    </row>
    <row r="414" customFormat="false" ht="12.75" hidden="false" customHeight="true" outlineLevel="0" collapsed="false">
      <c r="A414" s="45"/>
      <c r="B414" s="46"/>
      <c r="C414" s="46"/>
      <c r="D414" s="46"/>
      <c r="E414" s="46"/>
      <c r="F414" s="47"/>
      <c r="G414" s="48"/>
      <c r="H414" s="48"/>
      <c r="I414" s="48"/>
      <c r="J414" s="48"/>
      <c r="K414" s="48"/>
      <c r="L414" s="48"/>
      <c r="M414" s="49"/>
      <c r="N414" s="49"/>
      <c r="O414" s="49"/>
      <c r="P414" s="49"/>
      <c r="Q414" s="49"/>
      <c r="R414" s="49"/>
      <c r="S414" s="50"/>
      <c r="T414" s="50"/>
      <c r="U414" s="50"/>
      <c r="V414" s="51"/>
      <c r="W414" s="51"/>
      <c r="X414" s="51"/>
      <c r="Y414" s="51"/>
    </row>
    <row r="415" customFormat="false" ht="12.75" hidden="false" customHeight="true" outlineLevel="0" collapsed="false">
      <c r="A415" s="45"/>
      <c r="B415" s="46"/>
      <c r="C415" s="46"/>
      <c r="D415" s="46"/>
      <c r="E415" s="46"/>
      <c r="F415" s="47"/>
      <c r="G415" s="48"/>
      <c r="H415" s="48"/>
      <c r="I415" s="48"/>
      <c r="J415" s="48"/>
      <c r="K415" s="48"/>
      <c r="L415" s="48"/>
      <c r="M415" s="49"/>
      <c r="N415" s="49"/>
      <c r="O415" s="49"/>
      <c r="P415" s="49"/>
      <c r="Q415" s="49"/>
      <c r="R415" s="49"/>
      <c r="S415" s="50"/>
      <c r="T415" s="50"/>
      <c r="U415" s="50"/>
      <c r="V415" s="51"/>
      <c r="W415" s="51"/>
      <c r="X415" s="51"/>
      <c r="Y415" s="51"/>
    </row>
    <row r="416" customFormat="false" ht="12.75" hidden="false" customHeight="true" outlineLevel="0" collapsed="false">
      <c r="A416" s="45"/>
      <c r="B416" s="46"/>
      <c r="C416" s="46"/>
      <c r="D416" s="46"/>
      <c r="E416" s="46"/>
      <c r="F416" s="47"/>
      <c r="G416" s="48"/>
      <c r="H416" s="48"/>
      <c r="I416" s="48"/>
      <c r="J416" s="48"/>
      <c r="K416" s="48"/>
      <c r="L416" s="48"/>
      <c r="M416" s="49"/>
      <c r="N416" s="49"/>
      <c r="O416" s="49"/>
      <c r="P416" s="49"/>
      <c r="Q416" s="49"/>
      <c r="R416" s="49"/>
      <c r="S416" s="50"/>
      <c r="T416" s="50"/>
      <c r="U416" s="50"/>
      <c r="V416" s="51"/>
      <c r="W416" s="51"/>
      <c r="X416" s="51"/>
      <c r="Y416" s="51"/>
    </row>
    <row r="417" customFormat="false" ht="12.75" hidden="false" customHeight="true" outlineLevel="0" collapsed="false">
      <c r="A417" s="45"/>
      <c r="B417" s="46"/>
      <c r="C417" s="46"/>
      <c r="D417" s="46"/>
      <c r="E417" s="46"/>
      <c r="F417" s="47"/>
      <c r="G417" s="48"/>
      <c r="H417" s="48"/>
      <c r="I417" s="48"/>
      <c r="J417" s="48"/>
      <c r="K417" s="48"/>
      <c r="L417" s="48"/>
      <c r="M417" s="49"/>
      <c r="N417" s="49"/>
      <c r="O417" s="49"/>
      <c r="P417" s="49"/>
      <c r="Q417" s="49"/>
      <c r="R417" s="49"/>
      <c r="S417" s="50"/>
      <c r="T417" s="50"/>
      <c r="U417" s="50"/>
      <c r="V417" s="51"/>
      <c r="W417" s="51"/>
      <c r="X417" s="51"/>
      <c r="Y417" s="51"/>
    </row>
    <row r="418" customFormat="false" ht="12.75" hidden="false" customHeight="true" outlineLevel="0" collapsed="false">
      <c r="A418" s="45"/>
      <c r="B418" s="46"/>
      <c r="C418" s="46"/>
      <c r="D418" s="46"/>
      <c r="E418" s="46"/>
      <c r="F418" s="47"/>
      <c r="G418" s="48"/>
      <c r="H418" s="48"/>
      <c r="I418" s="48"/>
      <c r="J418" s="48"/>
      <c r="K418" s="48"/>
      <c r="L418" s="48"/>
      <c r="M418" s="49"/>
      <c r="N418" s="49"/>
      <c r="O418" s="49"/>
      <c r="P418" s="49"/>
      <c r="Q418" s="49"/>
      <c r="R418" s="49"/>
      <c r="S418" s="50"/>
      <c r="T418" s="50"/>
      <c r="U418" s="50"/>
      <c r="V418" s="51"/>
      <c r="W418" s="51"/>
      <c r="X418" s="51"/>
      <c r="Y418" s="51"/>
    </row>
    <row r="419" customFormat="false" ht="12.75" hidden="false" customHeight="true" outlineLevel="0" collapsed="false">
      <c r="A419" s="45"/>
      <c r="B419" s="46"/>
      <c r="C419" s="46"/>
      <c r="D419" s="46"/>
      <c r="E419" s="46"/>
      <c r="F419" s="47"/>
      <c r="G419" s="48"/>
      <c r="H419" s="48"/>
      <c r="I419" s="48"/>
      <c r="J419" s="48"/>
      <c r="K419" s="48"/>
      <c r="L419" s="48"/>
      <c r="M419" s="49"/>
      <c r="N419" s="49"/>
      <c r="O419" s="49"/>
      <c r="P419" s="49"/>
      <c r="Q419" s="49"/>
      <c r="R419" s="49"/>
      <c r="S419" s="50"/>
      <c r="T419" s="50"/>
      <c r="U419" s="50"/>
      <c r="V419" s="51"/>
      <c r="W419" s="51"/>
      <c r="X419" s="51"/>
      <c r="Y419" s="51"/>
    </row>
    <row r="420" customFormat="false" ht="12.75" hidden="false" customHeight="true" outlineLevel="0" collapsed="false">
      <c r="A420" s="45"/>
      <c r="B420" s="46"/>
      <c r="C420" s="46"/>
      <c r="D420" s="46"/>
      <c r="E420" s="46"/>
      <c r="F420" s="47"/>
      <c r="G420" s="48"/>
      <c r="H420" s="48"/>
      <c r="I420" s="48"/>
      <c r="J420" s="48"/>
      <c r="K420" s="48"/>
      <c r="L420" s="48"/>
      <c r="M420" s="49"/>
      <c r="N420" s="49"/>
      <c r="O420" s="49"/>
      <c r="P420" s="49"/>
      <c r="Q420" s="49"/>
      <c r="R420" s="49"/>
      <c r="S420" s="50"/>
      <c r="T420" s="50"/>
      <c r="U420" s="50"/>
      <c r="V420" s="51"/>
      <c r="W420" s="51"/>
      <c r="X420" s="51"/>
      <c r="Y420" s="51"/>
    </row>
    <row r="421" customFormat="false" ht="12.75" hidden="false" customHeight="true" outlineLevel="0" collapsed="false">
      <c r="A421" s="45"/>
      <c r="B421" s="46"/>
      <c r="C421" s="46"/>
      <c r="D421" s="46"/>
      <c r="E421" s="46"/>
      <c r="F421" s="47"/>
      <c r="G421" s="48"/>
      <c r="H421" s="48"/>
      <c r="I421" s="48"/>
      <c r="J421" s="48"/>
      <c r="K421" s="48"/>
      <c r="L421" s="48"/>
      <c r="M421" s="49"/>
      <c r="N421" s="49"/>
      <c r="O421" s="49"/>
      <c r="P421" s="49"/>
      <c r="Q421" s="49"/>
      <c r="R421" s="49"/>
      <c r="S421" s="50"/>
      <c r="T421" s="50"/>
      <c r="U421" s="50"/>
      <c r="V421" s="51"/>
      <c r="W421" s="51"/>
      <c r="X421" s="51"/>
      <c r="Y421" s="51"/>
    </row>
    <row r="422" customFormat="false" ht="12.75" hidden="false" customHeight="true" outlineLevel="0" collapsed="false">
      <c r="A422" s="45"/>
      <c r="B422" s="46"/>
      <c r="C422" s="46"/>
      <c r="D422" s="46"/>
      <c r="E422" s="46"/>
      <c r="F422" s="47"/>
      <c r="G422" s="48"/>
      <c r="H422" s="48"/>
      <c r="I422" s="48"/>
      <c r="J422" s="48"/>
      <c r="K422" s="48"/>
      <c r="L422" s="48"/>
      <c r="M422" s="49"/>
      <c r="N422" s="49"/>
      <c r="O422" s="49"/>
      <c r="P422" s="49"/>
      <c r="Q422" s="49"/>
      <c r="R422" s="49"/>
      <c r="S422" s="50"/>
      <c r="T422" s="50"/>
      <c r="U422" s="50"/>
      <c r="V422" s="51"/>
      <c r="W422" s="51"/>
      <c r="X422" s="51"/>
      <c r="Y422" s="51"/>
    </row>
    <row r="423" customFormat="false" ht="12.75" hidden="false" customHeight="true" outlineLevel="0" collapsed="false">
      <c r="A423" s="45"/>
      <c r="B423" s="46"/>
      <c r="C423" s="46"/>
      <c r="D423" s="46"/>
      <c r="E423" s="46"/>
      <c r="F423" s="47"/>
      <c r="G423" s="48"/>
      <c r="H423" s="48"/>
      <c r="I423" s="48"/>
      <c r="J423" s="48"/>
      <c r="K423" s="48"/>
      <c r="L423" s="48"/>
      <c r="M423" s="49"/>
      <c r="N423" s="49"/>
      <c r="O423" s="49"/>
      <c r="P423" s="49"/>
      <c r="Q423" s="49"/>
      <c r="R423" s="49"/>
      <c r="S423" s="50"/>
      <c r="T423" s="50"/>
      <c r="U423" s="50"/>
      <c r="V423" s="51"/>
      <c r="W423" s="51"/>
      <c r="X423" s="51"/>
      <c r="Y423" s="51"/>
    </row>
    <row r="424" customFormat="false" ht="12.75" hidden="false" customHeight="true" outlineLevel="0" collapsed="false">
      <c r="A424" s="45"/>
      <c r="B424" s="46"/>
      <c r="C424" s="46"/>
      <c r="D424" s="46"/>
      <c r="E424" s="46"/>
      <c r="F424" s="47"/>
      <c r="G424" s="48"/>
      <c r="H424" s="48"/>
      <c r="I424" s="48"/>
      <c r="J424" s="48"/>
      <c r="K424" s="48"/>
      <c r="L424" s="48"/>
      <c r="M424" s="49"/>
      <c r="N424" s="49"/>
      <c r="O424" s="49"/>
      <c r="P424" s="49"/>
      <c r="Q424" s="49"/>
      <c r="R424" s="49"/>
      <c r="S424" s="50"/>
      <c r="T424" s="50"/>
      <c r="U424" s="50"/>
      <c r="V424" s="51"/>
      <c r="W424" s="51"/>
      <c r="X424" s="51"/>
      <c r="Y424" s="51"/>
    </row>
    <row r="425" customFormat="false" ht="12.75" hidden="false" customHeight="true" outlineLevel="0" collapsed="false">
      <c r="A425" s="45"/>
      <c r="B425" s="46"/>
      <c r="C425" s="46"/>
      <c r="D425" s="46"/>
      <c r="E425" s="46"/>
      <c r="F425" s="47"/>
      <c r="G425" s="48"/>
      <c r="H425" s="48"/>
      <c r="I425" s="48"/>
      <c r="J425" s="48"/>
      <c r="K425" s="48"/>
      <c r="L425" s="48"/>
      <c r="M425" s="49"/>
      <c r="N425" s="49"/>
      <c r="O425" s="49"/>
      <c r="P425" s="49"/>
      <c r="Q425" s="49"/>
      <c r="R425" s="49"/>
      <c r="S425" s="50"/>
      <c r="T425" s="50"/>
      <c r="U425" s="50"/>
      <c r="V425" s="51"/>
      <c r="W425" s="51"/>
      <c r="X425" s="51"/>
      <c r="Y425" s="51"/>
    </row>
    <row r="426" customFormat="false" ht="12.75" hidden="false" customHeight="true" outlineLevel="0" collapsed="false">
      <c r="A426" s="45"/>
      <c r="B426" s="46"/>
      <c r="C426" s="46"/>
      <c r="D426" s="46"/>
      <c r="E426" s="46"/>
      <c r="F426" s="47"/>
      <c r="G426" s="48"/>
      <c r="H426" s="48"/>
      <c r="I426" s="48"/>
      <c r="J426" s="48"/>
      <c r="K426" s="48"/>
      <c r="L426" s="48"/>
      <c r="M426" s="49"/>
      <c r="N426" s="49"/>
      <c r="O426" s="49"/>
      <c r="P426" s="49"/>
      <c r="Q426" s="49"/>
      <c r="R426" s="49"/>
      <c r="S426" s="50"/>
      <c r="T426" s="50"/>
      <c r="U426" s="50"/>
      <c r="V426" s="51"/>
      <c r="W426" s="51"/>
      <c r="X426" s="51"/>
      <c r="Y426" s="51"/>
    </row>
    <row r="427" customFormat="false" ht="12.75" hidden="false" customHeight="true" outlineLevel="0" collapsed="false">
      <c r="A427" s="45"/>
      <c r="B427" s="46"/>
      <c r="C427" s="46"/>
      <c r="D427" s="46"/>
      <c r="E427" s="46"/>
      <c r="F427" s="47"/>
      <c r="G427" s="48"/>
      <c r="H427" s="48"/>
      <c r="I427" s="48"/>
      <c r="J427" s="48"/>
      <c r="K427" s="48"/>
      <c r="L427" s="48"/>
      <c r="M427" s="49"/>
      <c r="N427" s="49"/>
      <c r="O427" s="49"/>
      <c r="P427" s="49"/>
      <c r="Q427" s="49"/>
      <c r="R427" s="49"/>
      <c r="S427" s="50"/>
      <c r="T427" s="50"/>
      <c r="U427" s="50"/>
      <c r="V427" s="51"/>
      <c r="W427" s="51"/>
      <c r="X427" s="51"/>
      <c r="Y427" s="51"/>
    </row>
    <row r="428" customFormat="false" ht="12.75" hidden="false" customHeight="true" outlineLevel="0" collapsed="false">
      <c r="A428" s="45"/>
      <c r="B428" s="46"/>
      <c r="C428" s="46"/>
      <c r="D428" s="46"/>
      <c r="E428" s="46"/>
      <c r="F428" s="47"/>
      <c r="G428" s="48"/>
      <c r="H428" s="48"/>
      <c r="I428" s="48"/>
      <c r="J428" s="48"/>
      <c r="K428" s="48"/>
      <c r="L428" s="48"/>
      <c r="M428" s="49"/>
      <c r="N428" s="49"/>
      <c r="O428" s="49"/>
      <c r="P428" s="49"/>
      <c r="Q428" s="49"/>
      <c r="R428" s="49"/>
      <c r="S428" s="50"/>
      <c r="T428" s="50"/>
      <c r="U428" s="50"/>
      <c r="V428" s="51"/>
      <c r="W428" s="51"/>
      <c r="X428" s="51"/>
      <c r="Y428" s="51"/>
    </row>
    <row r="429" customFormat="false" ht="12.75" hidden="false" customHeight="true" outlineLevel="0" collapsed="false">
      <c r="A429" s="45"/>
      <c r="B429" s="46"/>
      <c r="C429" s="46"/>
      <c r="D429" s="46"/>
      <c r="E429" s="46"/>
      <c r="F429" s="47"/>
      <c r="G429" s="48"/>
      <c r="H429" s="48"/>
      <c r="I429" s="48"/>
      <c r="J429" s="48"/>
      <c r="K429" s="48"/>
      <c r="L429" s="48"/>
      <c r="M429" s="49"/>
      <c r="N429" s="49"/>
      <c r="O429" s="49"/>
      <c r="P429" s="49"/>
      <c r="Q429" s="49"/>
      <c r="R429" s="49"/>
      <c r="S429" s="50"/>
      <c r="T429" s="50"/>
      <c r="U429" s="50"/>
      <c r="V429" s="51"/>
      <c r="W429" s="51"/>
      <c r="X429" s="51"/>
      <c r="Y429" s="51"/>
    </row>
    <row r="430" customFormat="false" ht="12.75" hidden="false" customHeight="true" outlineLevel="0" collapsed="false">
      <c r="A430" s="45"/>
      <c r="B430" s="46"/>
      <c r="C430" s="46"/>
      <c r="D430" s="46"/>
      <c r="E430" s="46"/>
      <c r="F430" s="47"/>
      <c r="G430" s="48"/>
      <c r="H430" s="48"/>
      <c r="I430" s="48"/>
      <c r="J430" s="48"/>
      <c r="K430" s="48"/>
      <c r="L430" s="48"/>
      <c r="M430" s="49"/>
      <c r="N430" s="49"/>
      <c r="O430" s="49"/>
      <c r="P430" s="49"/>
      <c r="Q430" s="49"/>
      <c r="R430" s="49"/>
      <c r="S430" s="50"/>
      <c r="T430" s="50"/>
      <c r="U430" s="50"/>
      <c r="V430" s="51"/>
      <c r="W430" s="51"/>
      <c r="X430" s="51"/>
      <c r="Y430" s="51"/>
    </row>
    <row r="431" customFormat="false" ht="12.75" hidden="false" customHeight="true" outlineLevel="0" collapsed="false">
      <c r="A431" s="45"/>
      <c r="B431" s="46"/>
      <c r="C431" s="46"/>
      <c r="D431" s="46"/>
      <c r="E431" s="46"/>
      <c r="F431" s="47"/>
      <c r="G431" s="48"/>
      <c r="H431" s="48"/>
      <c r="I431" s="48"/>
      <c r="J431" s="48"/>
      <c r="K431" s="48"/>
      <c r="L431" s="48"/>
      <c r="M431" s="49"/>
      <c r="N431" s="49"/>
      <c r="O431" s="49"/>
      <c r="P431" s="49"/>
      <c r="Q431" s="49"/>
      <c r="R431" s="49"/>
      <c r="S431" s="50"/>
      <c r="T431" s="50"/>
      <c r="U431" s="50"/>
      <c r="V431" s="51"/>
      <c r="W431" s="51"/>
      <c r="X431" s="51"/>
      <c r="Y431" s="51"/>
    </row>
    <row r="432" customFormat="false" ht="12.75" hidden="false" customHeight="true" outlineLevel="0" collapsed="false">
      <c r="A432" s="45"/>
      <c r="B432" s="46"/>
      <c r="C432" s="46"/>
      <c r="D432" s="46"/>
      <c r="E432" s="46"/>
      <c r="F432" s="47"/>
      <c r="G432" s="48"/>
      <c r="H432" s="48"/>
      <c r="I432" s="48"/>
      <c r="J432" s="48"/>
      <c r="K432" s="48"/>
      <c r="L432" s="48"/>
      <c r="M432" s="49"/>
      <c r="N432" s="49"/>
      <c r="O432" s="49"/>
      <c r="P432" s="49"/>
      <c r="Q432" s="49"/>
      <c r="R432" s="49"/>
      <c r="S432" s="50"/>
      <c r="T432" s="50"/>
      <c r="U432" s="50"/>
      <c r="V432" s="51"/>
      <c r="W432" s="51"/>
      <c r="X432" s="51"/>
      <c r="Y432" s="51"/>
    </row>
    <row r="433" customFormat="false" ht="12.75" hidden="false" customHeight="true" outlineLevel="0" collapsed="false">
      <c r="A433" s="45"/>
      <c r="B433" s="46"/>
      <c r="C433" s="46"/>
      <c r="D433" s="46"/>
      <c r="E433" s="46"/>
      <c r="F433" s="47"/>
      <c r="G433" s="48"/>
      <c r="H433" s="48"/>
      <c r="I433" s="48"/>
      <c r="J433" s="48"/>
      <c r="K433" s="48"/>
      <c r="L433" s="48"/>
      <c r="M433" s="49"/>
      <c r="N433" s="49"/>
      <c r="O433" s="49"/>
      <c r="P433" s="49"/>
      <c r="Q433" s="49"/>
      <c r="R433" s="49"/>
      <c r="S433" s="50"/>
      <c r="T433" s="50"/>
      <c r="U433" s="50"/>
      <c r="V433" s="51"/>
      <c r="W433" s="51"/>
      <c r="X433" s="51"/>
      <c r="Y433" s="51"/>
    </row>
    <row r="434" customFormat="false" ht="12.75" hidden="false" customHeight="true" outlineLevel="0" collapsed="false">
      <c r="A434" s="45"/>
      <c r="B434" s="46"/>
      <c r="C434" s="46"/>
      <c r="D434" s="46"/>
      <c r="E434" s="46"/>
      <c r="F434" s="47"/>
      <c r="G434" s="48"/>
      <c r="H434" s="48"/>
      <c r="I434" s="48"/>
      <c r="J434" s="48"/>
      <c r="K434" s="48"/>
      <c r="L434" s="48"/>
      <c r="M434" s="49"/>
      <c r="N434" s="49"/>
      <c r="O434" s="49"/>
      <c r="P434" s="49"/>
      <c r="Q434" s="49"/>
      <c r="R434" s="49"/>
      <c r="S434" s="50"/>
      <c r="T434" s="50"/>
      <c r="U434" s="50"/>
      <c r="V434" s="51"/>
      <c r="W434" s="51"/>
      <c r="X434" s="51"/>
      <c r="Y434" s="51"/>
    </row>
    <row r="435" customFormat="false" ht="12.75" hidden="false" customHeight="true" outlineLevel="0" collapsed="false">
      <c r="A435" s="45"/>
      <c r="B435" s="46"/>
      <c r="C435" s="46"/>
      <c r="D435" s="46"/>
      <c r="E435" s="46"/>
      <c r="F435" s="47"/>
      <c r="G435" s="48"/>
      <c r="H435" s="48"/>
      <c r="I435" s="48"/>
      <c r="J435" s="48"/>
      <c r="K435" s="48"/>
      <c r="L435" s="48"/>
      <c r="M435" s="49"/>
      <c r="N435" s="49"/>
      <c r="O435" s="49"/>
      <c r="P435" s="49"/>
      <c r="Q435" s="49"/>
      <c r="R435" s="49"/>
      <c r="S435" s="50"/>
      <c r="T435" s="50"/>
      <c r="U435" s="50"/>
      <c r="V435" s="51"/>
      <c r="W435" s="51"/>
      <c r="X435" s="51"/>
      <c r="Y435" s="51"/>
    </row>
    <row r="436" customFormat="false" ht="12.75" hidden="false" customHeight="true" outlineLevel="0" collapsed="false">
      <c r="A436" s="45"/>
      <c r="B436" s="46"/>
      <c r="C436" s="46"/>
      <c r="D436" s="46"/>
      <c r="E436" s="46"/>
      <c r="F436" s="47"/>
      <c r="G436" s="48"/>
      <c r="H436" s="48"/>
      <c r="I436" s="48"/>
      <c r="J436" s="48"/>
      <c r="K436" s="48"/>
      <c r="L436" s="48"/>
      <c r="M436" s="49"/>
      <c r="N436" s="49"/>
      <c r="O436" s="49"/>
      <c r="P436" s="49"/>
      <c r="Q436" s="49"/>
      <c r="R436" s="49"/>
      <c r="S436" s="50"/>
      <c r="T436" s="50"/>
      <c r="U436" s="50"/>
      <c r="V436" s="51"/>
      <c r="W436" s="51"/>
      <c r="X436" s="51"/>
      <c r="Y436" s="51"/>
    </row>
    <row r="437" customFormat="false" ht="12.75" hidden="false" customHeight="true" outlineLevel="0" collapsed="false">
      <c r="A437" s="45"/>
      <c r="B437" s="46"/>
      <c r="C437" s="46"/>
      <c r="D437" s="46"/>
      <c r="E437" s="46"/>
      <c r="F437" s="47"/>
      <c r="G437" s="48"/>
      <c r="H437" s="48"/>
      <c r="I437" s="48"/>
      <c r="J437" s="48"/>
      <c r="K437" s="48"/>
      <c r="L437" s="48"/>
      <c r="M437" s="49"/>
      <c r="N437" s="49"/>
      <c r="O437" s="49"/>
      <c r="P437" s="49"/>
      <c r="Q437" s="49"/>
      <c r="R437" s="49"/>
      <c r="S437" s="50"/>
      <c r="T437" s="50"/>
      <c r="U437" s="50"/>
      <c r="V437" s="51"/>
      <c r="W437" s="51"/>
      <c r="X437" s="51"/>
      <c r="Y437" s="51"/>
    </row>
    <row r="438" customFormat="false" ht="12.75" hidden="false" customHeight="true" outlineLevel="0" collapsed="false">
      <c r="A438" s="45"/>
      <c r="B438" s="46"/>
      <c r="C438" s="46"/>
      <c r="D438" s="46"/>
      <c r="E438" s="46"/>
      <c r="F438" s="47"/>
      <c r="G438" s="48"/>
      <c r="H438" s="48"/>
      <c r="I438" s="48"/>
      <c r="J438" s="48"/>
      <c r="K438" s="48"/>
      <c r="L438" s="48"/>
      <c r="M438" s="49"/>
      <c r="N438" s="49"/>
      <c r="O438" s="49"/>
      <c r="P438" s="49"/>
      <c r="Q438" s="49"/>
      <c r="R438" s="49"/>
      <c r="S438" s="50"/>
      <c r="T438" s="50"/>
      <c r="U438" s="50"/>
      <c r="V438" s="51"/>
      <c r="W438" s="51"/>
      <c r="X438" s="51"/>
      <c r="Y438" s="51"/>
    </row>
    <row r="439" customFormat="false" ht="12.75" hidden="false" customHeight="true" outlineLevel="0" collapsed="false">
      <c r="A439" s="45"/>
      <c r="B439" s="46"/>
      <c r="C439" s="46"/>
      <c r="D439" s="46"/>
      <c r="E439" s="46"/>
      <c r="F439" s="47"/>
      <c r="G439" s="48"/>
      <c r="H439" s="48"/>
      <c r="I439" s="48"/>
      <c r="J439" s="48"/>
      <c r="K439" s="48"/>
      <c r="L439" s="48"/>
      <c r="M439" s="49"/>
      <c r="N439" s="49"/>
      <c r="O439" s="49"/>
      <c r="P439" s="49"/>
      <c r="Q439" s="49"/>
      <c r="R439" s="49"/>
      <c r="S439" s="50"/>
      <c r="T439" s="50"/>
      <c r="U439" s="50"/>
      <c r="V439" s="51"/>
      <c r="W439" s="51"/>
      <c r="X439" s="51"/>
      <c r="Y439" s="51"/>
    </row>
    <row r="440" customFormat="false" ht="12.75" hidden="false" customHeight="true" outlineLevel="0" collapsed="false">
      <c r="A440" s="45"/>
      <c r="B440" s="46"/>
      <c r="C440" s="46"/>
      <c r="D440" s="46"/>
      <c r="E440" s="46"/>
      <c r="F440" s="47"/>
      <c r="G440" s="48"/>
      <c r="H440" s="48"/>
      <c r="I440" s="48"/>
      <c r="J440" s="48"/>
      <c r="K440" s="48"/>
      <c r="L440" s="48"/>
      <c r="M440" s="49"/>
      <c r="N440" s="49"/>
      <c r="O440" s="49"/>
      <c r="P440" s="49"/>
      <c r="Q440" s="49"/>
      <c r="R440" s="49"/>
      <c r="S440" s="50"/>
      <c r="T440" s="50"/>
      <c r="U440" s="50"/>
      <c r="V440" s="51"/>
      <c r="W440" s="51"/>
      <c r="X440" s="51"/>
      <c r="Y440" s="51"/>
    </row>
    <row r="441" customFormat="false" ht="12.75" hidden="false" customHeight="true" outlineLevel="0" collapsed="false">
      <c r="A441" s="45"/>
      <c r="B441" s="46"/>
      <c r="C441" s="46"/>
      <c r="D441" s="46"/>
      <c r="E441" s="46"/>
      <c r="F441" s="47"/>
      <c r="G441" s="48"/>
      <c r="H441" s="48"/>
      <c r="I441" s="48"/>
      <c r="J441" s="48"/>
      <c r="K441" s="48"/>
      <c r="L441" s="48"/>
      <c r="M441" s="49"/>
      <c r="N441" s="49"/>
      <c r="O441" s="49"/>
      <c r="P441" s="49"/>
      <c r="Q441" s="49"/>
      <c r="R441" s="49"/>
      <c r="S441" s="50"/>
      <c r="T441" s="50"/>
      <c r="U441" s="50"/>
      <c r="V441" s="51"/>
      <c r="W441" s="51"/>
      <c r="X441" s="51"/>
      <c r="Y441" s="51"/>
    </row>
    <row r="442" customFormat="false" ht="12.75" hidden="false" customHeight="true" outlineLevel="0" collapsed="false">
      <c r="A442" s="45"/>
      <c r="B442" s="46"/>
      <c r="C442" s="46"/>
      <c r="D442" s="46"/>
      <c r="E442" s="46"/>
      <c r="F442" s="47"/>
      <c r="G442" s="48"/>
      <c r="H442" s="48"/>
      <c r="I442" s="48"/>
      <c r="J442" s="48"/>
      <c r="K442" s="48"/>
      <c r="L442" s="48"/>
      <c r="M442" s="49"/>
      <c r="N442" s="49"/>
      <c r="O442" s="49"/>
      <c r="P442" s="49"/>
      <c r="Q442" s="49"/>
      <c r="R442" s="49"/>
      <c r="S442" s="50"/>
      <c r="T442" s="50"/>
      <c r="U442" s="50"/>
      <c r="V442" s="51"/>
      <c r="W442" s="51"/>
      <c r="X442" s="51"/>
      <c r="Y442" s="51"/>
    </row>
    <row r="443" customFormat="false" ht="12.75" hidden="false" customHeight="true" outlineLevel="0" collapsed="false">
      <c r="A443" s="45"/>
      <c r="B443" s="46"/>
      <c r="C443" s="46"/>
      <c r="D443" s="46"/>
      <c r="E443" s="46"/>
      <c r="F443" s="47"/>
      <c r="G443" s="48"/>
      <c r="H443" s="48"/>
      <c r="I443" s="48"/>
      <c r="J443" s="48"/>
      <c r="K443" s="48"/>
      <c r="L443" s="48"/>
      <c r="M443" s="49"/>
      <c r="N443" s="49"/>
      <c r="O443" s="49"/>
      <c r="P443" s="49"/>
      <c r="Q443" s="49"/>
      <c r="R443" s="49"/>
      <c r="S443" s="50"/>
      <c r="T443" s="50"/>
      <c r="U443" s="50"/>
      <c r="V443" s="51"/>
      <c r="W443" s="51"/>
      <c r="X443" s="51"/>
      <c r="Y443" s="51"/>
    </row>
    <row r="444" customFormat="false" ht="12.75" hidden="false" customHeight="true" outlineLevel="0" collapsed="false">
      <c r="A444" s="45"/>
      <c r="B444" s="46"/>
      <c r="C444" s="46"/>
      <c r="D444" s="46"/>
      <c r="E444" s="46"/>
      <c r="F444" s="47"/>
      <c r="G444" s="48"/>
      <c r="H444" s="48"/>
      <c r="I444" s="48"/>
      <c r="J444" s="48"/>
      <c r="K444" s="48"/>
      <c r="L444" s="48"/>
      <c r="M444" s="49"/>
      <c r="N444" s="49"/>
      <c r="O444" s="49"/>
      <c r="P444" s="49"/>
      <c r="Q444" s="49"/>
      <c r="R444" s="49"/>
      <c r="S444" s="50"/>
      <c r="T444" s="50"/>
      <c r="U444" s="50"/>
      <c r="V444" s="51"/>
      <c r="W444" s="51"/>
      <c r="X444" s="51"/>
      <c r="Y444" s="51"/>
    </row>
    <row r="445" customFormat="false" ht="12.75" hidden="false" customHeight="true" outlineLevel="0" collapsed="false">
      <c r="A445" s="45"/>
      <c r="B445" s="46"/>
      <c r="C445" s="46"/>
      <c r="D445" s="46"/>
      <c r="E445" s="46"/>
      <c r="F445" s="47"/>
      <c r="G445" s="48"/>
      <c r="H445" s="48"/>
      <c r="I445" s="48"/>
      <c r="J445" s="48"/>
      <c r="K445" s="48"/>
      <c r="L445" s="48"/>
      <c r="M445" s="49"/>
      <c r="N445" s="49"/>
      <c r="O445" s="49"/>
      <c r="P445" s="49"/>
      <c r="Q445" s="49"/>
      <c r="R445" s="49"/>
      <c r="S445" s="50"/>
      <c r="T445" s="50"/>
      <c r="U445" s="50"/>
      <c r="V445" s="51"/>
      <c r="W445" s="51"/>
      <c r="X445" s="51"/>
      <c r="Y445" s="51"/>
    </row>
    <row r="446" customFormat="false" ht="12.75" hidden="false" customHeight="true" outlineLevel="0" collapsed="false">
      <c r="A446" s="45"/>
      <c r="B446" s="46"/>
      <c r="C446" s="46"/>
      <c r="D446" s="46"/>
      <c r="E446" s="46"/>
      <c r="F446" s="47"/>
      <c r="G446" s="48"/>
      <c r="H446" s="48"/>
      <c r="I446" s="48"/>
      <c r="J446" s="48"/>
      <c r="K446" s="48"/>
      <c r="L446" s="48"/>
      <c r="M446" s="49"/>
      <c r="N446" s="49"/>
      <c r="O446" s="49"/>
      <c r="P446" s="49"/>
      <c r="Q446" s="49"/>
      <c r="R446" s="49"/>
      <c r="S446" s="50"/>
      <c r="T446" s="50"/>
      <c r="U446" s="50"/>
      <c r="V446" s="51"/>
      <c r="W446" s="51"/>
      <c r="X446" s="51"/>
      <c r="Y446" s="51"/>
    </row>
    <row r="447" customFormat="false" ht="12.75" hidden="false" customHeight="true" outlineLevel="0" collapsed="false">
      <c r="A447" s="45"/>
      <c r="B447" s="46"/>
      <c r="C447" s="46"/>
      <c r="D447" s="46"/>
      <c r="E447" s="46"/>
      <c r="F447" s="47"/>
      <c r="G447" s="48"/>
      <c r="H447" s="48"/>
      <c r="I447" s="48"/>
      <c r="J447" s="48"/>
      <c r="K447" s="48"/>
      <c r="L447" s="48"/>
      <c r="M447" s="49"/>
      <c r="N447" s="49"/>
      <c r="O447" s="49"/>
      <c r="P447" s="49"/>
      <c r="Q447" s="49"/>
      <c r="R447" s="49"/>
      <c r="S447" s="50"/>
      <c r="T447" s="50"/>
      <c r="U447" s="50"/>
      <c r="V447" s="51"/>
      <c r="W447" s="51"/>
      <c r="X447" s="51"/>
      <c r="Y447" s="51"/>
    </row>
    <row r="448" customFormat="false" ht="12.75" hidden="false" customHeight="true" outlineLevel="0" collapsed="false">
      <c r="A448" s="45"/>
      <c r="B448" s="46"/>
      <c r="C448" s="46"/>
      <c r="D448" s="46"/>
      <c r="E448" s="46"/>
      <c r="F448" s="47"/>
      <c r="G448" s="48"/>
      <c r="H448" s="48"/>
      <c r="I448" s="48"/>
      <c r="J448" s="48"/>
      <c r="K448" s="48"/>
      <c r="L448" s="48"/>
      <c r="M448" s="49"/>
      <c r="N448" s="49"/>
      <c r="O448" s="49"/>
      <c r="P448" s="49"/>
      <c r="Q448" s="49"/>
      <c r="R448" s="49"/>
      <c r="S448" s="50"/>
      <c r="T448" s="50"/>
      <c r="U448" s="50"/>
      <c r="V448" s="51"/>
      <c r="W448" s="51"/>
      <c r="X448" s="51"/>
      <c r="Y448" s="51"/>
    </row>
    <row r="449" customFormat="false" ht="12.75" hidden="false" customHeight="true" outlineLevel="0" collapsed="false">
      <c r="A449" s="45"/>
      <c r="B449" s="46"/>
      <c r="C449" s="46"/>
      <c r="D449" s="46"/>
      <c r="E449" s="46"/>
      <c r="F449" s="47"/>
      <c r="G449" s="48"/>
      <c r="H449" s="48"/>
      <c r="I449" s="48"/>
      <c r="J449" s="48"/>
      <c r="K449" s="48"/>
      <c r="L449" s="48"/>
      <c r="M449" s="49"/>
      <c r="N449" s="49"/>
      <c r="O449" s="49"/>
      <c r="P449" s="49"/>
      <c r="Q449" s="49"/>
      <c r="R449" s="49"/>
      <c r="S449" s="50"/>
      <c r="T449" s="50"/>
      <c r="U449" s="50"/>
      <c r="V449" s="51"/>
      <c r="W449" s="51"/>
      <c r="X449" s="51"/>
      <c r="Y449" s="51"/>
    </row>
    <row r="450" customFormat="false" ht="12.75" hidden="false" customHeight="true" outlineLevel="0" collapsed="false">
      <c r="A450" s="45"/>
      <c r="B450" s="46"/>
      <c r="C450" s="46"/>
      <c r="D450" s="46"/>
      <c r="E450" s="46"/>
      <c r="F450" s="47"/>
      <c r="G450" s="48"/>
      <c r="H450" s="48"/>
      <c r="I450" s="48"/>
      <c r="J450" s="48"/>
      <c r="K450" s="48"/>
      <c r="L450" s="48"/>
      <c r="M450" s="49"/>
      <c r="N450" s="49"/>
      <c r="O450" s="49"/>
      <c r="P450" s="49"/>
      <c r="Q450" s="49"/>
      <c r="R450" s="49"/>
      <c r="S450" s="50"/>
      <c r="T450" s="50"/>
      <c r="U450" s="50"/>
      <c r="V450" s="51"/>
      <c r="W450" s="51"/>
      <c r="X450" s="51"/>
      <c r="Y450" s="51"/>
    </row>
    <row r="451" customFormat="false" ht="12.75" hidden="false" customHeight="true" outlineLevel="0" collapsed="false">
      <c r="A451" s="45"/>
      <c r="B451" s="46"/>
      <c r="C451" s="46"/>
      <c r="D451" s="46"/>
      <c r="E451" s="46"/>
      <c r="F451" s="47"/>
      <c r="G451" s="48"/>
      <c r="H451" s="48"/>
      <c r="I451" s="48"/>
      <c r="J451" s="48"/>
      <c r="K451" s="48"/>
      <c r="L451" s="48"/>
      <c r="M451" s="49"/>
      <c r="N451" s="49"/>
      <c r="O451" s="49"/>
      <c r="P451" s="49"/>
      <c r="Q451" s="49"/>
      <c r="R451" s="49"/>
      <c r="S451" s="50"/>
      <c r="T451" s="50"/>
      <c r="U451" s="50"/>
      <c r="V451" s="51"/>
      <c r="W451" s="51"/>
      <c r="X451" s="51"/>
      <c r="Y451" s="51"/>
    </row>
    <row r="452" customFormat="false" ht="12.75" hidden="false" customHeight="true" outlineLevel="0" collapsed="false">
      <c r="A452" s="45"/>
      <c r="B452" s="46"/>
      <c r="C452" s="46"/>
      <c r="D452" s="46"/>
      <c r="E452" s="46"/>
      <c r="F452" s="47"/>
      <c r="G452" s="48"/>
      <c r="H452" s="48"/>
      <c r="I452" s="48"/>
      <c r="J452" s="48"/>
      <c r="K452" s="48"/>
      <c r="L452" s="48"/>
      <c r="M452" s="49"/>
      <c r="N452" s="49"/>
      <c r="O452" s="49"/>
      <c r="P452" s="49"/>
      <c r="Q452" s="49"/>
      <c r="R452" s="49"/>
      <c r="S452" s="50"/>
      <c r="T452" s="50"/>
      <c r="U452" s="50"/>
      <c r="V452" s="51"/>
      <c r="W452" s="51"/>
      <c r="X452" s="51"/>
      <c r="Y452" s="51"/>
    </row>
    <row r="453" customFormat="false" ht="12.75" hidden="false" customHeight="true" outlineLevel="0" collapsed="false">
      <c r="A453" s="45"/>
      <c r="B453" s="46"/>
      <c r="C453" s="46"/>
      <c r="D453" s="46"/>
      <c r="E453" s="46"/>
      <c r="F453" s="47"/>
      <c r="G453" s="48"/>
      <c r="H453" s="48"/>
      <c r="I453" s="48"/>
      <c r="J453" s="48"/>
      <c r="K453" s="48"/>
      <c r="L453" s="48"/>
      <c r="M453" s="49"/>
      <c r="N453" s="49"/>
      <c r="O453" s="49"/>
      <c r="P453" s="49"/>
      <c r="Q453" s="49"/>
      <c r="R453" s="49"/>
      <c r="S453" s="50"/>
      <c r="T453" s="50"/>
      <c r="U453" s="50"/>
      <c r="V453" s="51"/>
      <c r="W453" s="51"/>
      <c r="X453" s="51"/>
      <c r="Y453" s="51"/>
    </row>
    <row r="454" customFormat="false" ht="12.75" hidden="false" customHeight="true" outlineLevel="0" collapsed="false">
      <c r="A454" s="45"/>
      <c r="B454" s="46"/>
      <c r="C454" s="46"/>
      <c r="D454" s="46"/>
      <c r="E454" s="46"/>
      <c r="F454" s="47"/>
      <c r="G454" s="48"/>
      <c r="H454" s="48"/>
      <c r="I454" s="48"/>
      <c r="J454" s="48"/>
      <c r="K454" s="48"/>
      <c r="L454" s="48"/>
      <c r="M454" s="49"/>
      <c r="N454" s="49"/>
      <c r="O454" s="49"/>
      <c r="P454" s="49"/>
      <c r="Q454" s="49"/>
      <c r="R454" s="49"/>
      <c r="S454" s="50"/>
      <c r="T454" s="50"/>
      <c r="U454" s="50"/>
      <c r="V454" s="51"/>
      <c r="W454" s="51"/>
      <c r="X454" s="51"/>
      <c r="Y454" s="51"/>
    </row>
    <row r="455" customFormat="false" ht="12.75" hidden="false" customHeight="true" outlineLevel="0" collapsed="false">
      <c r="A455" s="45"/>
      <c r="B455" s="46"/>
      <c r="C455" s="46"/>
      <c r="D455" s="46"/>
      <c r="E455" s="46"/>
      <c r="F455" s="47"/>
      <c r="G455" s="48"/>
      <c r="H455" s="48"/>
      <c r="I455" s="48"/>
      <c r="J455" s="48"/>
      <c r="K455" s="48"/>
      <c r="L455" s="48"/>
      <c r="M455" s="49"/>
      <c r="N455" s="49"/>
      <c r="O455" s="49"/>
      <c r="P455" s="49"/>
      <c r="Q455" s="49"/>
      <c r="R455" s="49"/>
      <c r="S455" s="50"/>
      <c r="T455" s="50"/>
      <c r="U455" s="50"/>
      <c r="V455" s="51"/>
      <c r="W455" s="51"/>
      <c r="X455" s="51"/>
      <c r="Y455" s="51"/>
    </row>
    <row r="456" customFormat="false" ht="12.75" hidden="false" customHeight="true" outlineLevel="0" collapsed="false">
      <c r="A456" s="45"/>
      <c r="B456" s="46"/>
      <c r="C456" s="46"/>
      <c r="D456" s="46"/>
      <c r="E456" s="46"/>
      <c r="F456" s="47"/>
      <c r="G456" s="48"/>
      <c r="H456" s="48"/>
      <c r="I456" s="48"/>
      <c r="J456" s="48"/>
      <c r="K456" s="48"/>
      <c r="L456" s="48"/>
      <c r="M456" s="49"/>
      <c r="N456" s="49"/>
      <c r="O456" s="49"/>
      <c r="P456" s="49"/>
      <c r="Q456" s="49"/>
      <c r="R456" s="49"/>
      <c r="S456" s="50"/>
      <c r="T456" s="50"/>
      <c r="U456" s="50"/>
      <c r="V456" s="51"/>
      <c r="W456" s="51"/>
      <c r="X456" s="51"/>
      <c r="Y456" s="51"/>
    </row>
    <row r="457" customFormat="false" ht="12.75" hidden="false" customHeight="true" outlineLevel="0" collapsed="false">
      <c r="A457" s="45"/>
      <c r="B457" s="46"/>
      <c r="C457" s="46"/>
      <c r="D457" s="46"/>
      <c r="E457" s="46"/>
      <c r="F457" s="47"/>
      <c r="G457" s="48"/>
      <c r="H457" s="48"/>
      <c r="I457" s="48"/>
      <c r="J457" s="48"/>
      <c r="K457" s="48"/>
      <c r="L457" s="48"/>
      <c r="M457" s="49"/>
      <c r="N457" s="49"/>
      <c r="O457" s="49"/>
      <c r="P457" s="49"/>
      <c r="Q457" s="49"/>
      <c r="R457" s="49"/>
      <c r="S457" s="50"/>
      <c r="T457" s="50"/>
      <c r="U457" s="50"/>
      <c r="V457" s="51"/>
      <c r="W457" s="51"/>
      <c r="X457" s="51"/>
      <c r="Y457" s="51"/>
    </row>
    <row r="458" customFormat="false" ht="12.75" hidden="false" customHeight="true" outlineLevel="0" collapsed="false">
      <c r="A458" s="45"/>
      <c r="B458" s="46"/>
      <c r="C458" s="46"/>
      <c r="D458" s="46"/>
      <c r="E458" s="46"/>
      <c r="F458" s="47"/>
      <c r="G458" s="48"/>
      <c r="H458" s="48"/>
      <c r="I458" s="48"/>
      <c r="J458" s="48"/>
      <c r="K458" s="48"/>
      <c r="L458" s="48"/>
      <c r="M458" s="49"/>
      <c r="N458" s="49"/>
      <c r="O458" s="49"/>
      <c r="P458" s="49"/>
      <c r="Q458" s="49"/>
      <c r="R458" s="49"/>
      <c r="S458" s="50"/>
      <c r="T458" s="50"/>
      <c r="U458" s="50"/>
      <c r="V458" s="51"/>
      <c r="W458" s="51"/>
      <c r="X458" s="51"/>
      <c r="Y458" s="51"/>
    </row>
    <row r="459" customFormat="false" ht="12.75" hidden="false" customHeight="true" outlineLevel="0" collapsed="false">
      <c r="A459" s="45"/>
      <c r="B459" s="46"/>
      <c r="C459" s="46"/>
      <c r="D459" s="46"/>
      <c r="E459" s="46"/>
      <c r="F459" s="47"/>
      <c r="G459" s="48"/>
      <c r="H459" s="48"/>
      <c r="I459" s="48"/>
      <c r="J459" s="48"/>
      <c r="K459" s="48"/>
      <c r="L459" s="48"/>
      <c r="M459" s="49"/>
      <c r="N459" s="49"/>
      <c r="O459" s="49"/>
      <c r="P459" s="49"/>
      <c r="Q459" s="49"/>
      <c r="R459" s="49"/>
      <c r="S459" s="50"/>
      <c r="T459" s="50"/>
      <c r="U459" s="50"/>
      <c r="V459" s="51"/>
      <c r="W459" s="51"/>
      <c r="X459" s="51"/>
      <c r="Y459" s="51"/>
    </row>
    <row r="460" customFormat="false" ht="12.75" hidden="false" customHeight="true" outlineLevel="0" collapsed="false">
      <c r="A460" s="45"/>
      <c r="B460" s="46"/>
      <c r="C460" s="46"/>
      <c r="D460" s="46"/>
      <c r="E460" s="46"/>
      <c r="F460" s="47"/>
      <c r="G460" s="48"/>
      <c r="H460" s="48"/>
      <c r="I460" s="48"/>
      <c r="J460" s="48"/>
      <c r="K460" s="48"/>
      <c r="L460" s="48"/>
      <c r="M460" s="49"/>
      <c r="N460" s="49"/>
      <c r="O460" s="49"/>
      <c r="P460" s="49"/>
      <c r="Q460" s="49"/>
      <c r="R460" s="49"/>
      <c r="S460" s="50"/>
      <c r="T460" s="50"/>
      <c r="U460" s="50"/>
      <c r="V460" s="51"/>
      <c r="W460" s="51"/>
      <c r="X460" s="51"/>
      <c r="Y460" s="51"/>
    </row>
    <row r="461" customFormat="false" ht="12.75" hidden="false" customHeight="true" outlineLevel="0" collapsed="false">
      <c r="A461" s="45"/>
      <c r="B461" s="46"/>
      <c r="C461" s="46"/>
      <c r="D461" s="46"/>
      <c r="E461" s="46"/>
      <c r="F461" s="47"/>
      <c r="G461" s="48"/>
      <c r="H461" s="48"/>
      <c r="I461" s="48"/>
      <c r="J461" s="48"/>
      <c r="K461" s="48"/>
      <c r="L461" s="48"/>
      <c r="M461" s="49"/>
      <c r="N461" s="49"/>
      <c r="O461" s="49"/>
      <c r="P461" s="49"/>
      <c r="Q461" s="49"/>
      <c r="R461" s="49"/>
      <c r="S461" s="50"/>
      <c r="T461" s="50"/>
      <c r="U461" s="50"/>
      <c r="V461" s="51"/>
      <c r="W461" s="51"/>
      <c r="X461" s="51"/>
      <c r="Y461" s="51"/>
    </row>
    <row r="462" customFormat="false" ht="12.75" hidden="false" customHeight="true" outlineLevel="0" collapsed="false">
      <c r="A462" s="45"/>
      <c r="B462" s="46"/>
      <c r="C462" s="46"/>
      <c r="D462" s="46"/>
      <c r="E462" s="46"/>
      <c r="F462" s="47"/>
      <c r="G462" s="48"/>
      <c r="H462" s="48"/>
      <c r="I462" s="48"/>
      <c r="J462" s="48"/>
      <c r="K462" s="48"/>
      <c r="L462" s="48"/>
      <c r="M462" s="49"/>
      <c r="N462" s="49"/>
      <c r="O462" s="49"/>
      <c r="P462" s="49"/>
      <c r="Q462" s="49"/>
      <c r="R462" s="49"/>
      <c r="S462" s="50"/>
      <c r="T462" s="50"/>
      <c r="U462" s="50"/>
      <c r="V462" s="51"/>
      <c r="W462" s="51"/>
      <c r="X462" s="51"/>
      <c r="Y462" s="51"/>
    </row>
    <row r="463" customFormat="false" ht="12.75" hidden="false" customHeight="true" outlineLevel="0" collapsed="false">
      <c r="A463" s="45"/>
      <c r="B463" s="46"/>
      <c r="C463" s="46"/>
      <c r="D463" s="46"/>
      <c r="E463" s="46"/>
      <c r="F463" s="47"/>
      <c r="G463" s="48"/>
      <c r="H463" s="48"/>
      <c r="I463" s="48"/>
      <c r="J463" s="48"/>
      <c r="K463" s="48"/>
      <c r="L463" s="48"/>
      <c r="M463" s="49"/>
      <c r="N463" s="49"/>
      <c r="O463" s="49"/>
      <c r="P463" s="49"/>
      <c r="Q463" s="49"/>
      <c r="R463" s="49"/>
      <c r="S463" s="50"/>
      <c r="T463" s="50"/>
      <c r="U463" s="50"/>
      <c r="V463" s="51"/>
      <c r="W463" s="51"/>
      <c r="X463" s="51"/>
      <c r="Y463" s="51"/>
    </row>
    <row r="464" customFormat="false" ht="12.75" hidden="false" customHeight="true" outlineLevel="0" collapsed="false">
      <c r="A464" s="45"/>
      <c r="B464" s="46"/>
      <c r="C464" s="46"/>
      <c r="D464" s="46"/>
      <c r="E464" s="46"/>
      <c r="F464" s="47"/>
      <c r="G464" s="48"/>
      <c r="H464" s="48"/>
      <c r="I464" s="48"/>
      <c r="J464" s="48"/>
      <c r="K464" s="48"/>
      <c r="L464" s="48"/>
      <c r="M464" s="49"/>
      <c r="N464" s="49"/>
      <c r="O464" s="49"/>
      <c r="P464" s="49"/>
      <c r="Q464" s="49"/>
      <c r="R464" s="49"/>
      <c r="S464" s="50"/>
      <c r="T464" s="50"/>
      <c r="U464" s="50"/>
      <c r="V464" s="51"/>
      <c r="W464" s="51"/>
      <c r="X464" s="51"/>
      <c r="Y464" s="51"/>
    </row>
    <row r="465" customFormat="false" ht="12.75" hidden="false" customHeight="true" outlineLevel="0" collapsed="false">
      <c r="A465" s="45"/>
      <c r="B465" s="46"/>
      <c r="C465" s="46"/>
      <c r="D465" s="46"/>
      <c r="E465" s="46"/>
      <c r="F465" s="47"/>
      <c r="G465" s="48"/>
      <c r="H465" s="48"/>
      <c r="I465" s="48"/>
      <c r="J465" s="48"/>
      <c r="K465" s="48"/>
      <c r="L465" s="48"/>
      <c r="M465" s="49"/>
      <c r="N465" s="49"/>
      <c r="O465" s="49"/>
      <c r="P465" s="49"/>
      <c r="Q465" s="49"/>
      <c r="R465" s="49"/>
      <c r="S465" s="50"/>
      <c r="T465" s="50"/>
      <c r="U465" s="50"/>
      <c r="V465" s="51"/>
      <c r="W465" s="51"/>
      <c r="X465" s="51"/>
      <c r="Y465" s="51"/>
    </row>
    <row r="466" customFormat="false" ht="12.75" hidden="false" customHeight="true" outlineLevel="0" collapsed="false">
      <c r="A466" s="45"/>
      <c r="B466" s="46"/>
      <c r="C466" s="46"/>
      <c r="D466" s="46"/>
      <c r="E466" s="46"/>
      <c r="F466" s="47"/>
      <c r="G466" s="48"/>
      <c r="H466" s="48"/>
      <c r="I466" s="48"/>
      <c r="J466" s="48"/>
      <c r="K466" s="48"/>
      <c r="L466" s="48"/>
      <c r="M466" s="49"/>
      <c r="N466" s="49"/>
      <c r="O466" s="49"/>
      <c r="P466" s="49"/>
      <c r="Q466" s="49"/>
      <c r="R466" s="49"/>
      <c r="S466" s="50"/>
      <c r="T466" s="50"/>
      <c r="U466" s="50"/>
      <c r="V466" s="51"/>
      <c r="W466" s="51"/>
      <c r="X466" s="51"/>
      <c r="Y466" s="51"/>
    </row>
    <row r="467" customFormat="false" ht="12.75" hidden="false" customHeight="true" outlineLevel="0" collapsed="false">
      <c r="A467" s="45"/>
      <c r="B467" s="46"/>
      <c r="C467" s="46"/>
      <c r="D467" s="46"/>
      <c r="E467" s="46"/>
      <c r="F467" s="47"/>
      <c r="G467" s="48"/>
      <c r="H467" s="48"/>
      <c r="I467" s="48"/>
      <c r="J467" s="48"/>
      <c r="K467" s="48"/>
      <c r="L467" s="48"/>
      <c r="M467" s="49"/>
      <c r="N467" s="49"/>
      <c r="O467" s="49"/>
      <c r="P467" s="49"/>
      <c r="Q467" s="49"/>
      <c r="R467" s="49"/>
      <c r="S467" s="50"/>
      <c r="T467" s="50"/>
      <c r="U467" s="50"/>
      <c r="V467" s="51"/>
      <c r="W467" s="51"/>
      <c r="X467" s="51"/>
      <c r="Y467" s="51"/>
    </row>
    <row r="468" customFormat="false" ht="12.75" hidden="false" customHeight="true" outlineLevel="0" collapsed="false">
      <c r="A468" s="45"/>
      <c r="B468" s="46"/>
      <c r="C468" s="46"/>
      <c r="D468" s="46"/>
      <c r="E468" s="46"/>
      <c r="F468" s="47"/>
      <c r="G468" s="48"/>
      <c r="H468" s="48"/>
      <c r="I468" s="48"/>
      <c r="J468" s="48"/>
      <c r="K468" s="48"/>
      <c r="L468" s="48"/>
      <c r="M468" s="49"/>
      <c r="N468" s="49"/>
      <c r="O468" s="49"/>
      <c r="P468" s="49"/>
      <c r="Q468" s="49"/>
      <c r="R468" s="49"/>
      <c r="S468" s="50"/>
      <c r="T468" s="50"/>
      <c r="U468" s="50"/>
      <c r="V468" s="51"/>
      <c r="W468" s="51"/>
      <c r="X468" s="51"/>
      <c r="Y468" s="51"/>
    </row>
    <row r="469" customFormat="false" ht="12.75" hidden="false" customHeight="true" outlineLevel="0" collapsed="false">
      <c r="A469" s="45"/>
      <c r="B469" s="46"/>
      <c r="C469" s="46"/>
      <c r="D469" s="46"/>
      <c r="E469" s="46"/>
      <c r="F469" s="47"/>
      <c r="G469" s="48"/>
      <c r="H469" s="48"/>
      <c r="I469" s="48"/>
      <c r="J469" s="48"/>
      <c r="K469" s="48"/>
      <c r="L469" s="48"/>
      <c r="M469" s="49"/>
      <c r="N469" s="49"/>
      <c r="O469" s="49"/>
      <c r="P469" s="49"/>
      <c r="Q469" s="49"/>
      <c r="R469" s="49"/>
      <c r="S469" s="50"/>
      <c r="T469" s="50"/>
      <c r="U469" s="50"/>
      <c r="V469" s="51"/>
      <c r="W469" s="51"/>
      <c r="X469" s="51"/>
      <c r="Y469" s="51"/>
    </row>
    <row r="470" customFormat="false" ht="12.75" hidden="false" customHeight="true" outlineLevel="0" collapsed="false">
      <c r="A470" s="45"/>
      <c r="B470" s="46"/>
      <c r="C470" s="46"/>
      <c r="D470" s="46"/>
      <c r="E470" s="46"/>
      <c r="F470" s="47"/>
      <c r="G470" s="48"/>
      <c r="H470" s="48"/>
      <c r="I470" s="48"/>
      <c r="J470" s="48"/>
      <c r="K470" s="48"/>
      <c r="L470" s="48"/>
      <c r="M470" s="49"/>
      <c r="N470" s="49"/>
      <c r="O470" s="49"/>
      <c r="P470" s="49"/>
      <c r="Q470" s="49"/>
      <c r="R470" s="49"/>
      <c r="S470" s="50"/>
      <c r="T470" s="50"/>
      <c r="U470" s="50"/>
      <c r="V470" s="51"/>
      <c r="W470" s="51"/>
      <c r="X470" s="51"/>
      <c r="Y470" s="51"/>
    </row>
    <row r="471" customFormat="false" ht="12.75" hidden="false" customHeight="true" outlineLevel="0" collapsed="false">
      <c r="A471" s="45"/>
      <c r="B471" s="46"/>
      <c r="C471" s="46"/>
      <c r="D471" s="46"/>
      <c r="E471" s="46"/>
      <c r="F471" s="47"/>
      <c r="G471" s="48"/>
      <c r="H471" s="48"/>
      <c r="I471" s="48"/>
      <c r="J471" s="48"/>
      <c r="K471" s="48"/>
      <c r="L471" s="48"/>
      <c r="M471" s="49"/>
      <c r="N471" s="49"/>
      <c r="O471" s="49"/>
      <c r="P471" s="49"/>
      <c r="Q471" s="49"/>
      <c r="R471" s="49"/>
      <c r="S471" s="50"/>
      <c r="T471" s="50"/>
      <c r="U471" s="50"/>
      <c r="V471" s="51"/>
      <c r="W471" s="51"/>
      <c r="X471" s="51"/>
      <c r="Y471" s="51"/>
    </row>
    <row r="472" customFormat="false" ht="12.75" hidden="false" customHeight="true" outlineLevel="0" collapsed="false">
      <c r="A472" s="45"/>
      <c r="B472" s="46"/>
      <c r="C472" s="46"/>
      <c r="D472" s="46"/>
      <c r="E472" s="46"/>
      <c r="F472" s="47"/>
      <c r="G472" s="48"/>
      <c r="H472" s="48"/>
      <c r="I472" s="48"/>
      <c r="J472" s="48"/>
      <c r="K472" s="48"/>
      <c r="L472" s="48"/>
      <c r="M472" s="49"/>
      <c r="N472" s="49"/>
      <c r="O472" s="49"/>
      <c r="P472" s="49"/>
      <c r="Q472" s="49"/>
      <c r="R472" s="49"/>
      <c r="S472" s="50"/>
      <c r="T472" s="50"/>
      <c r="U472" s="50"/>
      <c r="V472" s="51"/>
      <c r="W472" s="51"/>
      <c r="X472" s="51"/>
      <c r="Y472" s="51"/>
    </row>
    <row r="473" customFormat="false" ht="12.75" hidden="false" customHeight="true" outlineLevel="0" collapsed="false">
      <c r="A473" s="45"/>
      <c r="B473" s="46"/>
      <c r="C473" s="46"/>
      <c r="D473" s="46"/>
      <c r="E473" s="46"/>
      <c r="F473" s="47"/>
      <c r="G473" s="48"/>
      <c r="H473" s="48"/>
      <c r="I473" s="48"/>
      <c r="J473" s="48"/>
      <c r="K473" s="48"/>
      <c r="L473" s="48"/>
      <c r="M473" s="49"/>
      <c r="N473" s="49"/>
      <c r="O473" s="49"/>
      <c r="P473" s="49"/>
      <c r="Q473" s="49"/>
      <c r="R473" s="49"/>
      <c r="S473" s="50"/>
      <c r="T473" s="50"/>
      <c r="U473" s="50"/>
      <c r="V473" s="51"/>
      <c r="W473" s="51"/>
      <c r="X473" s="51"/>
      <c r="Y473" s="51"/>
    </row>
    <row r="474" customFormat="false" ht="12.75" hidden="false" customHeight="true" outlineLevel="0" collapsed="false">
      <c r="A474" s="45"/>
      <c r="B474" s="46"/>
      <c r="C474" s="46"/>
      <c r="D474" s="46"/>
      <c r="E474" s="46"/>
      <c r="F474" s="47"/>
      <c r="G474" s="48"/>
      <c r="H474" s="48"/>
      <c r="I474" s="48"/>
      <c r="J474" s="48"/>
      <c r="K474" s="48"/>
      <c r="L474" s="48"/>
      <c r="M474" s="49"/>
      <c r="N474" s="49"/>
      <c r="O474" s="49"/>
      <c r="P474" s="49"/>
      <c r="Q474" s="49"/>
      <c r="R474" s="49"/>
      <c r="S474" s="50"/>
      <c r="T474" s="50"/>
      <c r="U474" s="50"/>
      <c r="V474" s="51"/>
      <c r="W474" s="51"/>
      <c r="X474" s="51"/>
      <c r="Y474" s="51"/>
    </row>
    <row r="475" customFormat="false" ht="12.75" hidden="false" customHeight="true" outlineLevel="0" collapsed="false">
      <c r="A475" s="45"/>
      <c r="B475" s="46"/>
      <c r="C475" s="46"/>
      <c r="D475" s="46"/>
      <c r="E475" s="46"/>
      <c r="F475" s="47"/>
      <c r="G475" s="48"/>
      <c r="H475" s="48"/>
      <c r="I475" s="48"/>
      <c r="J475" s="48"/>
      <c r="K475" s="48"/>
      <c r="L475" s="48"/>
      <c r="M475" s="49"/>
      <c r="N475" s="49"/>
      <c r="O475" s="49"/>
      <c r="P475" s="49"/>
      <c r="Q475" s="49"/>
      <c r="R475" s="49"/>
      <c r="S475" s="50"/>
      <c r="T475" s="50"/>
      <c r="U475" s="50"/>
      <c r="V475" s="51"/>
      <c r="W475" s="51"/>
      <c r="X475" s="51"/>
      <c r="Y475" s="51"/>
    </row>
    <row r="476" customFormat="false" ht="12.75" hidden="false" customHeight="true" outlineLevel="0" collapsed="false">
      <c r="A476" s="45"/>
      <c r="B476" s="46"/>
      <c r="C476" s="46"/>
      <c r="D476" s="46"/>
      <c r="E476" s="46"/>
      <c r="F476" s="47"/>
      <c r="G476" s="48"/>
      <c r="H476" s="48"/>
      <c r="I476" s="48"/>
      <c r="J476" s="48"/>
      <c r="K476" s="48"/>
      <c r="L476" s="48"/>
      <c r="M476" s="49"/>
      <c r="N476" s="49"/>
      <c r="O476" s="49"/>
      <c r="P476" s="49"/>
      <c r="Q476" s="49"/>
      <c r="R476" s="49"/>
      <c r="S476" s="50"/>
      <c r="T476" s="50"/>
      <c r="U476" s="50"/>
      <c r="V476" s="51"/>
      <c r="W476" s="51"/>
      <c r="X476" s="51"/>
      <c r="Y476" s="51"/>
    </row>
    <row r="477" customFormat="false" ht="12.75" hidden="false" customHeight="true" outlineLevel="0" collapsed="false">
      <c r="A477" s="45"/>
      <c r="B477" s="46"/>
      <c r="C477" s="46"/>
      <c r="D477" s="46"/>
      <c r="E477" s="46"/>
      <c r="F477" s="47"/>
      <c r="G477" s="48"/>
      <c r="H477" s="48"/>
      <c r="I477" s="48"/>
      <c r="J477" s="48"/>
      <c r="K477" s="48"/>
      <c r="L477" s="48"/>
      <c r="M477" s="49"/>
      <c r="N477" s="49"/>
      <c r="O477" s="49"/>
      <c r="P477" s="49"/>
      <c r="Q477" s="49"/>
      <c r="R477" s="49"/>
      <c r="S477" s="50"/>
      <c r="T477" s="50"/>
      <c r="U477" s="50"/>
      <c r="V477" s="51"/>
      <c r="W477" s="51"/>
      <c r="X477" s="51"/>
      <c r="Y477" s="51"/>
    </row>
    <row r="478" customFormat="false" ht="12.75" hidden="false" customHeight="true" outlineLevel="0" collapsed="false">
      <c r="A478" s="45"/>
      <c r="B478" s="46"/>
      <c r="C478" s="46"/>
      <c r="D478" s="46"/>
      <c r="E478" s="46"/>
      <c r="F478" s="47"/>
      <c r="G478" s="48"/>
      <c r="H478" s="48"/>
      <c r="I478" s="48"/>
      <c r="J478" s="48"/>
      <c r="K478" s="48"/>
      <c r="L478" s="48"/>
      <c r="M478" s="49"/>
      <c r="N478" s="49"/>
      <c r="O478" s="49"/>
      <c r="P478" s="49"/>
      <c r="Q478" s="49"/>
      <c r="R478" s="49"/>
      <c r="S478" s="50"/>
      <c r="T478" s="50"/>
      <c r="U478" s="50"/>
      <c r="V478" s="51"/>
      <c r="W478" s="51"/>
      <c r="X478" s="51"/>
      <c r="Y478" s="51"/>
    </row>
    <row r="479" customFormat="false" ht="12.75" hidden="false" customHeight="true" outlineLevel="0" collapsed="false">
      <c r="A479" s="45"/>
      <c r="B479" s="46"/>
      <c r="C479" s="46"/>
      <c r="D479" s="46"/>
      <c r="E479" s="46"/>
      <c r="F479" s="47"/>
      <c r="G479" s="48"/>
      <c r="H479" s="48"/>
      <c r="I479" s="48"/>
      <c r="J479" s="48"/>
      <c r="K479" s="48"/>
      <c r="L479" s="48"/>
      <c r="M479" s="49"/>
      <c r="N479" s="49"/>
      <c r="O479" s="49"/>
      <c r="P479" s="49"/>
      <c r="Q479" s="49"/>
      <c r="R479" s="49"/>
      <c r="S479" s="50"/>
      <c r="T479" s="50"/>
      <c r="U479" s="50"/>
      <c r="V479" s="51"/>
      <c r="W479" s="51"/>
      <c r="X479" s="51"/>
      <c r="Y479" s="51"/>
    </row>
    <row r="480" customFormat="false" ht="12.75" hidden="false" customHeight="true" outlineLevel="0" collapsed="false">
      <c r="A480" s="45"/>
      <c r="B480" s="46"/>
      <c r="C480" s="46"/>
      <c r="D480" s="46"/>
      <c r="E480" s="46"/>
      <c r="F480" s="47"/>
      <c r="G480" s="48"/>
      <c r="H480" s="48"/>
      <c r="I480" s="48"/>
      <c r="J480" s="48"/>
      <c r="K480" s="48"/>
      <c r="L480" s="48"/>
      <c r="M480" s="49"/>
      <c r="N480" s="49"/>
      <c r="O480" s="49"/>
      <c r="P480" s="49"/>
      <c r="Q480" s="49"/>
      <c r="R480" s="49"/>
      <c r="S480" s="50"/>
      <c r="T480" s="50"/>
      <c r="U480" s="50"/>
      <c r="V480" s="51"/>
      <c r="W480" s="51"/>
      <c r="X480" s="51"/>
      <c r="Y480" s="51"/>
    </row>
    <row r="481" customFormat="false" ht="12.75" hidden="false" customHeight="true" outlineLevel="0" collapsed="false">
      <c r="A481" s="45"/>
      <c r="B481" s="46"/>
      <c r="C481" s="46"/>
      <c r="D481" s="46"/>
      <c r="E481" s="46"/>
      <c r="F481" s="47"/>
      <c r="G481" s="48"/>
      <c r="H481" s="48"/>
      <c r="I481" s="48"/>
      <c r="J481" s="48"/>
      <c r="K481" s="48"/>
      <c r="L481" s="48"/>
      <c r="M481" s="49"/>
      <c r="N481" s="49"/>
      <c r="O481" s="49"/>
      <c r="P481" s="49"/>
      <c r="Q481" s="49"/>
      <c r="R481" s="49"/>
      <c r="S481" s="50"/>
      <c r="T481" s="50"/>
      <c r="U481" s="50"/>
      <c r="V481" s="51"/>
      <c r="W481" s="51"/>
      <c r="X481" s="51"/>
      <c r="Y481" s="51"/>
    </row>
    <row r="482" customFormat="false" ht="12.75" hidden="false" customHeight="true" outlineLevel="0" collapsed="false">
      <c r="A482" s="45"/>
      <c r="B482" s="46"/>
      <c r="C482" s="46"/>
      <c r="D482" s="46"/>
      <c r="E482" s="46"/>
      <c r="F482" s="47"/>
      <c r="G482" s="48"/>
      <c r="H482" s="48"/>
      <c r="I482" s="48"/>
      <c r="J482" s="48"/>
      <c r="K482" s="48"/>
      <c r="L482" s="48"/>
      <c r="M482" s="49"/>
      <c r="N482" s="49"/>
      <c r="O482" s="49"/>
      <c r="P482" s="49"/>
      <c r="Q482" s="49"/>
      <c r="R482" s="49"/>
      <c r="S482" s="50"/>
      <c r="T482" s="50"/>
      <c r="U482" s="50"/>
      <c r="V482" s="51"/>
      <c r="W482" s="51"/>
      <c r="X482" s="51"/>
      <c r="Y482" s="51"/>
    </row>
    <row r="483" customFormat="false" ht="12.75" hidden="false" customHeight="true" outlineLevel="0" collapsed="false">
      <c r="A483" s="45"/>
      <c r="B483" s="46"/>
      <c r="C483" s="46"/>
      <c r="D483" s="46"/>
      <c r="E483" s="46"/>
      <c r="F483" s="47"/>
      <c r="G483" s="48"/>
      <c r="H483" s="48"/>
      <c r="I483" s="48"/>
      <c r="J483" s="48"/>
      <c r="K483" s="48"/>
      <c r="L483" s="48"/>
      <c r="M483" s="49"/>
      <c r="N483" s="49"/>
      <c r="O483" s="49"/>
      <c r="P483" s="49"/>
      <c r="Q483" s="49"/>
      <c r="R483" s="49"/>
      <c r="S483" s="50"/>
      <c r="T483" s="50"/>
      <c r="U483" s="50"/>
      <c r="V483" s="51"/>
      <c r="W483" s="51"/>
      <c r="X483" s="51"/>
      <c r="Y483" s="51"/>
    </row>
    <row r="484" customFormat="false" ht="12.75" hidden="false" customHeight="true" outlineLevel="0" collapsed="false">
      <c r="A484" s="45"/>
      <c r="B484" s="46"/>
      <c r="C484" s="46"/>
      <c r="D484" s="46"/>
      <c r="E484" s="46"/>
      <c r="F484" s="47"/>
      <c r="G484" s="48"/>
      <c r="H484" s="48"/>
      <c r="I484" s="48"/>
      <c r="J484" s="48"/>
      <c r="K484" s="48"/>
      <c r="L484" s="48"/>
      <c r="M484" s="49"/>
      <c r="N484" s="49"/>
      <c r="O484" s="49"/>
      <c r="P484" s="49"/>
      <c r="Q484" s="49"/>
      <c r="R484" s="49"/>
      <c r="S484" s="50"/>
      <c r="T484" s="50"/>
      <c r="U484" s="50"/>
      <c r="V484" s="51"/>
      <c r="W484" s="51"/>
      <c r="X484" s="51"/>
      <c r="Y484" s="51"/>
    </row>
    <row r="485" customFormat="false" ht="12.75" hidden="false" customHeight="true" outlineLevel="0" collapsed="false">
      <c r="A485" s="45"/>
      <c r="B485" s="46"/>
      <c r="C485" s="46"/>
      <c r="D485" s="46"/>
      <c r="E485" s="46"/>
      <c r="F485" s="47"/>
      <c r="G485" s="48"/>
      <c r="H485" s="48"/>
      <c r="I485" s="48"/>
      <c r="J485" s="48"/>
      <c r="K485" s="48"/>
      <c r="L485" s="48"/>
      <c r="M485" s="49"/>
      <c r="N485" s="49"/>
      <c r="O485" s="49"/>
      <c r="P485" s="49"/>
      <c r="Q485" s="49"/>
      <c r="R485" s="49"/>
      <c r="S485" s="50"/>
      <c r="T485" s="50"/>
      <c r="U485" s="50"/>
      <c r="V485" s="51"/>
      <c r="W485" s="51"/>
      <c r="X485" s="51"/>
      <c r="Y485" s="51"/>
    </row>
    <row r="486" customFormat="false" ht="12.75" hidden="false" customHeight="true" outlineLevel="0" collapsed="false">
      <c r="A486" s="45"/>
      <c r="B486" s="46"/>
      <c r="C486" s="46"/>
      <c r="D486" s="46"/>
      <c r="E486" s="46"/>
      <c r="F486" s="47"/>
      <c r="G486" s="48"/>
      <c r="H486" s="48"/>
      <c r="I486" s="48"/>
      <c r="J486" s="48"/>
      <c r="K486" s="48"/>
      <c r="L486" s="48"/>
      <c r="M486" s="49"/>
      <c r="N486" s="49"/>
      <c r="O486" s="49"/>
      <c r="P486" s="49"/>
      <c r="Q486" s="49"/>
      <c r="R486" s="49"/>
      <c r="S486" s="50"/>
      <c r="T486" s="50"/>
      <c r="U486" s="50"/>
      <c r="V486" s="51"/>
      <c r="W486" s="51"/>
      <c r="X486" s="51"/>
      <c r="Y486" s="51"/>
    </row>
    <row r="487" customFormat="false" ht="12.75" hidden="false" customHeight="true" outlineLevel="0" collapsed="false">
      <c r="A487" s="45"/>
      <c r="B487" s="46"/>
      <c r="C487" s="46"/>
      <c r="D487" s="46"/>
      <c r="E487" s="46"/>
      <c r="F487" s="47"/>
      <c r="G487" s="48"/>
      <c r="H487" s="48"/>
      <c r="I487" s="48"/>
      <c r="J487" s="48"/>
      <c r="K487" s="48"/>
      <c r="L487" s="48"/>
      <c r="M487" s="49"/>
      <c r="N487" s="49"/>
      <c r="O487" s="49"/>
      <c r="P487" s="49"/>
      <c r="Q487" s="49"/>
      <c r="R487" s="49"/>
      <c r="S487" s="50"/>
      <c r="T487" s="50"/>
      <c r="U487" s="50"/>
      <c r="V487" s="51"/>
      <c r="W487" s="51"/>
      <c r="X487" s="51"/>
      <c r="Y487" s="51"/>
    </row>
    <row r="488" customFormat="false" ht="12.75" hidden="false" customHeight="true" outlineLevel="0" collapsed="false">
      <c r="A488" s="45"/>
      <c r="B488" s="46"/>
      <c r="C488" s="46"/>
      <c r="D488" s="46"/>
      <c r="E488" s="46"/>
      <c r="F488" s="47"/>
      <c r="G488" s="48"/>
      <c r="H488" s="48"/>
      <c r="I488" s="48"/>
      <c r="J488" s="48"/>
      <c r="K488" s="48"/>
      <c r="L488" s="48"/>
      <c r="M488" s="49"/>
      <c r="N488" s="49"/>
      <c r="O488" s="49"/>
      <c r="P488" s="49"/>
      <c r="Q488" s="49"/>
      <c r="R488" s="49"/>
      <c r="S488" s="50"/>
      <c r="T488" s="50"/>
      <c r="U488" s="50"/>
      <c r="V488" s="51"/>
      <c r="W488" s="51"/>
      <c r="X488" s="51"/>
      <c r="Y488" s="51"/>
    </row>
    <row r="489" customFormat="false" ht="12.75" hidden="false" customHeight="true" outlineLevel="0" collapsed="false">
      <c r="A489" s="45"/>
      <c r="B489" s="46"/>
      <c r="C489" s="46"/>
      <c r="D489" s="46"/>
      <c r="E489" s="46"/>
      <c r="F489" s="47"/>
      <c r="G489" s="48"/>
      <c r="H489" s="48"/>
      <c r="I489" s="48"/>
      <c r="J489" s="48"/>
      <c r="K489" s="48"/>
      <c r="L489" s="48"/>
      <c r="M489" s="49"/>
      <c r="N489" s="49"/>
      <c r="O489" s="49"/>
      <c r="P489" s="49"/>
      <c r="Q489" s="49"/>
      <c r="R489" s="49"/>
      <c r="S489" s="50"/>
      <c r="T489" s="50"/>
      <c r="U489" s="50"/>
      <c r="V489" s="51"/>
      <c r="W489" s="51"/>
      <c r="X489" s="51"/>
      <c r="Y489" s="51"/>
    </row>
    <row r="490" customFormat="false" ht="12.75" hidden="false" customHeight="true" outlineLevel="0" collapsed="false">
      <c r="A490" s="45"/>
      <c r="B490" s="46"/>
      <c r="C490" s="46"/>
      <c r="D490" s="46"/>
      <c r="E490" s="46"/>
      <c r="F490" s="47"/>
      <c r="G490" s="48"/>
      <c r="H490" s="48"/>
      <c r="I490" s="48"/>
      <c r="J490" s="48"/>
      <c r="K490" s="48"/>
      <c r="L490" s="48"/>
      <c r="M490" s="49"/>
      <c r="N490" s="49"/>
      <c r="O490" s="49"/>
      <c r="P490" s="49"/>
      <c r="Q490" s="49"/>
      <c r="R490" s="49"/>
      <c r="S490" s="50"/>
      <c r="T490" s="50"/>
      <c r="U490" s="50"/>
      <c r="V490" s="51"/>
      <c r="W490" s="51"/>
      <c r="X490" s="51"/>
      <c r="Y490" s="51"/>
    </row>
    <row r="491" customFormat="false" ht="12.75" hidden="false" customHeight="true" outlineLevel="0" collapsed="false">
      <c r="A491" s="45"/>
      <c r="B491" s="46"/>
      <c r="C491" s="46"/>
      <c r="D491" s="46"/>
      <c r="E491" s="46"/>
      <c r="F491" s="47"/>
      <c r="G491" s="48"/>
      <c r="H491" s="48"/>
      <c r="I491" s="48"/>
      <c r="J491" s="48"/>
      <c r="K491" s="48"/>
      <c r="L491" s="48"/>
      <c r="M491" s="49"/>
      <c r="N491" s="49"/>
      <c r="O491" s="49"/>
      <c r="P491" s="49"/>
      <c r="Q491" s="49"/>
      <c r="R491" s="49"/>
      <c r="S491" s="50"/>
      <c r="T491" s="50"/>
      <c r="U491" s="50"/>
      <c r="V491" s="51"/>
      <c r="W491" s="51"/>
      <c r="X491" s="51"/>
      <c r="Y491" s="51"/>
    </row>
    <row r="492" customFormat="false" ht="12.75" hidden="false" customHeight="true" outlineLevel="0" collapsed="false">
      <c r="A492" s="45"/>
      <c r="B492" s="46"/>
      <c r="C492" s="46"/>
      <c r="D492" s="46"/>
      <c r="E492" s="46"/>
      <c r="F492" s="47"/>
      <c r="G492" s="48"/>
      <c r="H492" s="48"/>
      <c r="I492" s="48"/>
      <c r="J492" s="48"/>
      <c r="K492" s="48"/>
      <c r="L492" s="48"/>
      <c r="M492" s="49"/>
      <c r="N492" s="49"/>
      <c r="O492" s="49"/>
      <c r="P492" s="49"/>
      <c r="Q492" s="49"/>
      <c r="R492" s="49"/>
      <c r="S492" s="50"/>
      <c r="T492" s="50"/>
      <c r="U492" s="50"/>
      <c r="V492" s="51"/>
      <c r="W492" s="51"/>
      <c r="X492" s="51"/>
      <c r="Y492" s="51"/>
    </row>
    <row r="493" customFormat="false" ht="12.75" hidden="false" customHeight="true" outlineLevel="0" collapsed="false">
      <c r="A493" s="45"/>
      <c r="B493" s="46"/>
      <c r="C493" s="46"/>
      <c r="D493" s="46"/>
      <c r="E493" s="46"/>
      <c r="F493" s="47"/>
      <c r="G493" s="48"/>
      <c r="H493" s="48"/>
      <c r="I493" s="48"/>
      <c r="J493" s="48"/>
      <c r="K493" s="48"/>
      <c r="L493" s="48"/>
      <c r="M493" s="49"/>
      <c r="N493" s="49"/>
      <c r="O493" s="49"/>
      <c r="P493" s="49"/>
      <c r="Q493" s="49"/>
      <c r="R493" s="49"/>
      <c r="S493" s="50"/>
      <c r="T493" s="50"/>
      <c r="U493" s="50"/>
      <c r="V493" s="51"/>
      <c r="W493" s="51"/>
      <c r="X493" s="51"/>
      <c r="Y493" s="51"/>
    </row>
    <row r="494" customFormat="false" ht="12.75" hidden="false" customHeight="true" outlineLevel="0" collapsed="false">
      <c r="A494" s="45"/>
      <c r="B494" s="46"/>
      <c r="C494" s="46"/>
      <c r="D494" s="46"/>
      <c r="E494" s="46"/>
      <c r="F494" s="47"/>
      <c r="G494" s="48"/>
      <c r="H494" s="48"/>
      <c r="I494" s="48"/>
      <c r="J494" s="48"/>
      <c r="K494" s="48"/>
      <c r="L494" s="48"/>
      <c r="M494" s="49"/>
      <c r="N494" s="49"/>
      <c r="O494" s="49"/>
      <c r="P494" s="49"/>
      <c r="Q494" s="49"/>
      <c r="R494" s="49"/>
      <c r="S494" s="50"/>
      <c r="T494" s="50"/>
      <c r="U494" s="50"/>
      <c r="V494" s="51"/>
      <c r="W494" s="51"/>
      <c r="X494" s="51"/>
      <c r="Y494" s="51"/>
    </row>
    <row r="495" customFormat="false" ht="12.75" hidden="false" customHeight="true" outlineLevel="0" collapsed="false">
      <c r="A495" s="45"/>
      <c r="B495" s="46"/>
      <c r="C495" s="46"/>
      <c r="D495" s="46"/>
      <c r="E495" s="46"/>
      <c r="F495" s="47"/>
      <c r="G495" s="48"/>
      <c r="H495" s="48"/>
      <c r="I495" s="48"/>
      <c r="J495" s="48"/>
      <c r="K495" s="48"/>
      <c r="L495" s="48"/>
      <c r="M495" s="49"/>
      <c r="N495" s="49"/>
      <c r="O495" s="49"/>
      <c r="P495" s="49"/>
      <c r="Q495" s="49"/>
      <c r="R495" s="49"/>
      <c r="S495" s="50"/>
      <c r="T495" s="50"/>
      <c r="U495" s="50"/>
      <c r="V495" s="51"/>
      <c r="W495" s="51"/>
      <c r="X495" s="51"/>
      <c r="Y495" s="51"/>
    </row>
    <row r="496" customFormat="false" ht="12.75" hidden="false" customHeight="true" outlineLevel="0" collapsed="false">
      <c r="A496" s="45"/>
      <c r="B496" s="46"/>
      <c r="C496" s="46"/>
      <c r="D496" s="46"/>
      <c r="E496" s="46"/>
      <c r="F496" s="47"/>
      <c r="G496" s="48"/>
      <c r="H496" s="48"/>
      <c r="I496" s="48"/>
      <c r="J496" s="48"/>
      <c r="K496" s="48"/>
      <c r="L496" s="48"/>
      <c r="M496" s="49"/>
      <c r="N496" s="49"/>
      <c r="O496" s="49"/>
      <c r="P496" s="49"/>
      <c r="Q496" s="49"/>
      <c r="R496" s="49"/>
      <c r="S496" s="50"/>
      <c r="T496" s="50"/>
      <c r="U496" s="50"/>
      <c r="V496" s="51"/>
      <c r="W496" s="51"/>
      <c r="X496" s="51"/>
      <c r="Y496" s="51"/>
    </row>
    <row r="497" customFormat="false" ht="12.75" hidden="false" customHeight="true" outlineLevel="0" collapsed="false">
      <c r="A497" s="45"/>
      <c r="B497" s="46"/>
      <c r="C497" s="46"/>
      <c r="D497" s="46"/>
      <c r="E497" s="46"/>
      <c r="F497" s="47"/>
      <c r="G497" s="48"/>
      <c r="H497" s="48"/>
      <c r="I497" s="48"/>
      <c r="J497" s="48"/>
      <c r="K497" s="48"/>
      <c r="L497" s="48"/>
      <c r="M497" s="49"/>
      <c r="N497" s="49"/>
      <c r="O497" s="49"/>
      <c r="P497" s="49"/>
      <c r="Q497" s="49"/>
      <c r="R497" s="49"/>
      <c r="S497" s="50"/>
      <c r="T497" s="50"/>
      <c r="U497" s="50"/>
      <c r="V497" s="51"/>
      <c r="W497" s="51"/>
      <c r="X497" s="51"/>
      <c r="Y497" s="51"/>
    </row>
    <row r="498" customFormat="false" ht="12.75" hidden="false" customHeight="true" outlineLevel="0" collapsed="false">
      <c r="A498" s="45"/>
      <c r="B498" s="46"/>
      <c r="C498" s="46"/>
      <c r="D498" s="46"/>
      <c r="E498" s="46"/>
      <c r="F498" s="47"/>
      <c r="G498" s="48"/>
      <c r="H498" s="48"/>
      <c r="I498" s="48"/>
      <c r="J498" s="48"/>
      <c r="K498" s="48"/>
      <c r="L498" s="48"/>
      <c r="M498" s="49"/>
      <c r="N498" s="49"/>
      <c r="O498" s="49"/>
      <c r="P498" s="49"/>
      <c r="Q498" s="49"/>
      <c r="R498" s="49"/>
      <c r="S498" s="50"/>
      <c r="T498" s="50"/>
      <c r="U498" s="50"/>
      <c r="V498" s="51"/>
      <c r="W498" s="51"/>
      <c r="X498" s="51"/>
      <c r="Y498" s="51"/>
    </row>
    <row r="499" customFormat="false" ht="12.75" hidden="false" customHeight="true" outlineLevel="0" collapsed="false">
      <c r="A499" s="45"/>
      <c r="B499" s="46"/>
      <c r="C499" s="46"/>
      <c r="D499" s="46"/>
      <c r="E499" s="46"/>
      <c r="F499" s="47"/>
      <c r="G499" s="48"/>
      <c r="H499" s="48"/>
      <c r="I499" s="48"/>
      <c r="J499" s="48"/>
      <c r="K499" s="48"/>
      <c r="L499" s="48"/>
      <c r="M499" s="49"/>
      <c r="N499" s="49"/>
      <c r="O499" s="49"/>
      <c r="P499" s="49"/>
      <c r="Q499" s="49"/>
      <c r="R499" s="49"/>
      <c r="S499" s="50"/>
      <c r="T499" s="50"/>
      <c r="U499" s="50"/>
      <c r="V499" s="51"/>
      <c r="W499" s="51"/>
      <c r="X499" s="51"/>
      <c r="Y499" s="51"/>
    </row>
    <row r="500" customFormat="false" ht="12.75" hidden="false" customHeight="true" outlineLevel="0" collapsed="false">
      <c r="A500" s="45"/>
      <c r="B500" s="46"/>
      <c r="C500" s="46"/>
      <c r="D500" s="46"/>
      <c r="E500" s="46"/>
      <c r="F500" s="47"/>
      <c r="G500" s="48"/>
      <c r="H500" s="48"/>
      <c r="I500" s="48"/>
      <c r="J500" s="48"/>
      <c r="K500" s="48"/>
      <c r="L500" s="48"/>
      <c r="M500" s="49"/>
      <c r="N500" s="49"/>
      <c r="O500" s="49"/>
      <c r="P500" s="49"/>
      <c r="Q500" s="49"/>
      <c r="R500" s="49"/>
      <c r="S500" s="50"/>
      <c r="T500" s="50"/>
      <c r="U500" s="50"/>
      <c r="V500" s="51"/>
      <c r="W500" s="51"/>
      <c r="X500" s="51"/>
      <c r="Y500" s="51"/>
    </row>
    <row r="501" customFormat="false" ht="12.75" hidden="false" customHeight="true" outlineLevel="0" collapsed="false">
      <c r="A501" s="45"/>
      <c r="B501" s="46"/>
      <c r="C501" s="46"/>
      <c r="D501" s="46"/>
      <c r="E501" s="46"/>
      <c r="F501" s="47"/>
      <c r="G501" s="48"/>
      <c r="H501" s="48"/>
      <c r="I501" s="48"/>
      <c r="J501" s="48"/>
      <c r="K501" s="48"/>
      <c r="L501" s="48"/>
      <c r="M501" s="49"/>
      <c r="N501" s="49"/>
      <c r="O501" s="49"/>
      <c r="P501" s="49"/>
      <c r="Q501" s="49"/>
      <c r="R501" s="49"/>
      <c r="S501" s="50"/>
      <c r="T501" s="50"/>
      <c r="U501" s="50"/>
      <c r="V501" s="51"/>
      <c r="W501" s="51"/>
      <c r="X501" s="51"/>
      <c r="Y501" s="51"/>
    </row>
    <row r="502" customFormat="false" ht="12.75" hidden="false" customHeight="true" outlineLevel="0" collapsed="false">
      <c r="A502" s="45"/>
      <c r="B502" s="46"/>
      <c r="C502" s="46"/>
      <c r="D502" s="46"/>
      <c r="E502" s="46"/>
      <c r="F502" s="47"/>
      <c r="G502" s="48"/>
      <c r="H502" s="48"/>
      <c r="I502" s="48"/>
      <c r="J502" s="48"/>
      <c r="K502" s="48"/>
      <c r="L502" s="48"/>
      <c r="M502" s="49"/>
      <c r="N502" s="49"/>
      <c r="O502" s="49"/>
      <c r="P502" s="49"/>
      <c r="Q502" s="49"/>
      <c r="R502" s="49"/>
      <c r="S502" s="50"/>
      <c r="T502" s="50"/>
      <c r="U502" s="50"/>
      <c r="V502" s="51"/>
      <c r="W502" s="51"/>
      <c r="X502" s="51"/>
      <c r="Y502" s="51"/>
    </row>
    <row r="503" customFormat="false" ht="12.75" hidden="false" customHeight="true" outlineLevel="0" collapsed="false">
      <c r="A503" s="45"/>
      <c r="B503" s="46"/>
      <c r="C503" s="46"/>
      <c r="D503" s="46"/>
      <c r="E503" s="46"/>
      <c r="F503" s="47"/>
      <c r="G503" s="48"/>
      <c r="H503" s="48"/>
      <c r="I503" s="48"/>
      <c r="J503" s="48"/>
      <c r="K503" s="48"/>
      <c r="L503" s="48"/>
      <c r="M503" s="49"/>
      <c r="N503" s="49"/>
      <c r="O503" s="49"/>
      <c r="P503" s="49"/>
      <c r="Q503" s="49"/>
      <c r="R503" s="49"/>
      <c r="S503" s="50"/>
      <c r="T503" s="50"/>
      <c r="U503" s="50"/>
      <c r="V503" s="51"/>
      <c r="W503" s="51"/>
      <c r="X503" s="51"/>
      <c r="Y503" s="51"/>
    </row>
    <row r="504" customFormat="false" ht="12.75" hidden="false" customHeight="true" outlineLevel="0" collapsed="false">
      <c r="A504" s="45"/>
      <c r="B504" s="46"/>
      <c r="C504" s="46"/>
      <c r="D504" s="46"/>
      <c r="E504" s="46"/>
      <c r="F504" s="47"/>
      <c r="G504" s="48"/>
      <c r="H504" s="48"/>
      <c r="I504" s="48"/>
      <c r="J504" s="48"/>
      <c r="K504" s="48"/>
      <c r="L504" s="48"/>
      <c r="M504" s="49"/>
      <c r="N504" s="49"/>
      <c r="O504" s="49"/>
      <c r="P504" s="49"/>
      <c r="Q504" s="49"/>
      <c r="R504" s="49"/>
      <c r="S504" s="50"/>
      <c r="T504" s="50"/>
      <c r="U504" s="50"/>
      <c r="V504" s="51"/>
      <c r="W504" s="51"/>
      <c r="X504" s="51"/>
      <c r="Y504" s="51"/>
    </row>
    <row r="505" customFormat="false" ht="12.75" hidden="false" customHeight="true" outlineLevel="0" collapsed="false">
      <c r="A505" s="45"/>
      <c r="B505" s="46"/>
      <c r="C505" s="46"/>
      <c r="D505" s="46"/>
      <c r="E505" s="46"/>
      <c r="F505" s="47"/>
      <c r="G505" s="48"/>
      <c r="H505" s="48"/>
      <c r="I505" s="48"/>
      <c r="J505" s="48"/>
      <c r="K505" s="48"/>
      <c r="L505" s="48"/>
      <c r="M505" s="49"/>
      <c r="N505" s="49"/>
      <c r="O505" s="49"/>
      <c r="P505" s="49"/>
      <c r="Q505" s="49"/>
      <c r="R505" s="49"/>
      <c r="S505" s="50"/>
      <c r="T505" s="50"/>
      <c r="U505" s="50"/>
      <c r="V505" s="51"/>
      <c r="W505" s="51"/>
      <c r="X505" s="51"/>
      <c r="Y505" s="51"/>
    </row>
    <row r="506" customFormat="false" ht="12.75" hidden="false" customHeight="true" outlineLevel="0" collapsed="false">
      <c r="A506" s="45"/>
      <c r="B506" s="46"/>
      <c r="C506" s="46"/>
      <c r="D506" s="46"/>
      <c r="E506" s="46"/>
      <c r="F506" s="47"/>
      <c r="G506" s="48"/>
      <c r="H506" s="48"/>
      <c r="I506" s="48"/>
      <c r="J506" s="48"/>
      <c r="K506" s="48"/>
      <c r="L506" s="48"/>
      <c r="M506" s="49"/>
      <c r="N506" s="49"/>
      <c r="O506" s="49"/>
      <c r="P506" s="49"/>
      <c r="Q506" s="49"/>
      <c r="R506" s="49"/>
      <c r="S506" s="50"/>
      <c r="T506" s="50"/>
      <c r="U506" s="50"/>
      <c r="V506" s="51"/>
      <c r="W506" s="51"/>
      <c r="X506" s="51"/>
      <c r="Y506" s="51"/>
    </row>
    <row r="507" customFormat="false" ht="12.75" hidden="false" customHeight="true" outlineLevel="0" collapsed="false">
      <c r="A507" s="45"/>
      <c r="B507" s="46"/>
      <c r="C507" s="46"/>
      <c r="D507" s="46"/>
      <c r="E507" s="46"/>
      <c r="F507" s="47"/>
      <c r="G507" s="48"/>
      <c r="H507" s="48"/>
      <c r="I507" s="48"/>
      <c r="J507" s="48"/>
      <c r="K507" s="48"/>
      <c r="L507" s="48"/>
      <c r="M507" s="49"/>
      <c r="N507" s="49"/>
      <c r="O507" s="49"/>
      <c r="P507" s="49"/>
      <c r="Q507" s="49"/>
      <c r="R507" s="49"/>
      <c r="S507" s="50"/>
      <c r="T507" s="50"/>
      <c r="U507" s="50"/>
      <c r="V507" s="51"/>
      <c r="W507" s="51"/>
      <c r="X507" s="51"/>
      <c r="Y507" s="51"/>
    </row>
    <row r="508" customFormat="false" ht="12.75" hidden="false" customHeight="true" outlineLevel="0" collapsed="false">
      <c r="A508" s="45"/>
      <c r="B508" s="46"/>
      <c r="C508" s="46"/>
      <c r="D508" s="46"/>
      <c r="E508" s="46"/>
      <c r="F508" s="47"/>
      <c r="G508" s="48"/>
      <c r="H508" s="48"/>
      <c r="I508" s="48"/>
      <c r="J508" s="48"/>
      <c r="K508" s="48"/>
      <c r="L508" s="48"/>
      <c r="M508" s="49"/>
      <c r="N508" s="49"/>
      <c r="O508" s="49"/>
      <c r="P508" s="49"/>
      <c r="Q508" s="49"/>
      <c r="R508" s="49"/>
      <c r="S508" s="50"/>
      <c r="T508" s="50"/>
      <c r="U508" s="50"/>
      <c r="V508" s="51"/>
      <c r="W508" s="51"/>
      <c r="X508" s="51"/>
      <c r="Y508" s="51"/>
    </row>
    <row r="509" customFormat="false" ht="12.75" hidden="false" customHeight="true" outlineLevel="0" collapsed="false">
      <c r="A509" s="45"/>
      <c r="B509" s="46"/>
      <c r="C509" s="46"/>
      <c r="D509" s="46"/>
      <c r="E509" s="46"/>
      <c r="F509" s="47"/>
      <c r="G509" s="48"/>
      <c r="H509" s="48"/>
      <c r="I509" s="48"/>
      <c r="J509" s="48"/>
      <c r="K509" s="48"/>
      <c r="L509" s="48"/>
      <c r="M509" s="49"/>
      <c r="N509" s="49"/>
      <c r="O509" s="49"/>
      <c r="P509" s="49"/>
      <c r="Q509" s="49"/>
      <c r="R509" s="49"/>
      <c r="S509" s="50"/>
      <c r="T509" s="50"/>
      <c r="U509" s="50"/>
      <c r="V509" s="51"/>
      <c r="W509" s="51"/>
      <c r="X509" s="51"/>
      <c r="Y509" s="51"/>
    </row>
    <row r="510" customFormat="false" ht="12.75" hidden="false" customHeight="true" outlineLevel="0" collapsed="false">
      <c r="A510" s="45"/>
      <c r="B510" s="46"/>
      <c r="C510" s="46"/>
      <c r="D510" s="46"/>
      <c r="E510" s="46"/>
      <c r="F510" s="47"/>
      <c r="G510" s="48"/>
      <c r="H510" s="48"/>
      <c r="I510" s="48"/>
      <c r="J510" s="48"/>
      <c r="K510" s="48"/>
      <c r="L510" s="48"/>
      <c r="M510" s="49"/>
      <c r="N510" s="49"/>
      <c r="O510" s="49"/>
      <c r="P510" s="49"/>
      <c r="Q510" s="49"/>
      <c r="R510" s="49"/>
      <c r="S510" s="50"/>
      <c r="T510" s="50"/>
      <c r="U510" s="50"/>
      <c r="V510" s="51"/>
      <c r="W510" s="51"/>
      <c r="X510" s="51"/>
      <c r="Y510" s="51"/>
    </row>
    <row r="511" customFormat="false" ht="12.75" hidden="false" customHeight="true" outlineLevel="0" collapsed="false">
      <c r="A511" s="45"/>
      <c r="B511" s="46"/>
      <c r="C511" s="46"/>
      <c r="D511" s="46"/>
      <c r="E511" s="46"/>
      <c r="F511" s="47"/>
      <c r="G511" s="48"/>
      <c r="H511" s="48"/>
      <c r="I511" s="48"/>
      <c r="J511" s="48"/>
      <c r="K511" s="48"/>
      <c r="L511" s="48"/>
      <c r="M511" s="49"/>
      <c r="N511" s="49"/>
      <c r="O511" s="49"/>
      <c r="P511" s="49"/>
      <c r="Q511" s="49"/>
      <c r="R511" s="49"/>
      <c r="S511" s="50"/>
      <c r="T511" s="50"/>
      <c r="U511" s="50"/>
      <c r="V511" s="51"/>
      <c r="W511" s="51"/>
      <c r="X511" s="51"/>
      <c r="Y511" s="51"/>
    </row>
    <row r="512" customFormat="false" ht="12.75" hidden="false" customHeight="true" outlineLevel="0" collapsed="false">
      <c r="A512" s="45"/>
      <c r="B512" s="46"/>
      <c r="C512" s="46"/>
      <c r="D512" s="46"/>
      <c r="E512" s="46"/>
      <c r="F512" s="47"/>
      <c r="G512" s="48"/>
      <c r="H512" s="48"/>
      <c r="I512" s="48"/>
      <c r="J512" s="48"/>
      <c r="K512" s="48"/>
      <c r="L512" s="48"/>
      <c r="M512" s="49"/>
      <c r="N512" s="49"/>
      <c r="O512" s="49"/>
      <c r="P512" s="49"/>
      <c r="Q512" s="49"/>
      <c r="R512" s="49"/>
      <c r="S512" s="50"/>
      <c r="T512" s="50"/>
      <c r="U512" s="50"/>
      <c r="V512" s="51"/>
      <c r="W512" s="51"/>
      <c r="X512" s="51"/>
      <c r="Y512" s="51"/>
    </row>
    <row r="513" customFormat="false" ht="12.75" hidden="false" customHeight="true" outlineLevel="0" collapsed="false">
      <c r="A513" s="45"/>
      <c r="B513" s="46"/>
      <c r="C513" s="46"/>
      <c r="D513" s="46"/>
      <c r="E513" s="46"/>
      <c r="F513" s="47"/>
      <c r="G513" s="48"/>
      <c r="H513" s="48"/>
      <c r="I513" s="48"/>
      <c r="J513" s="48"/>
      <c r="K513" s="48"/>
      <c r="L513" s="48"/>
      <c r="M513" s="49"/>
      <c r="N513" s="49"/>
      <c r="O513" s="49"/>
      <c r="P513" s="49"/>
      <c r="Q513" s="49"/>
      <c r="R513" s="49"/>
      <c r="S513" s="50"/>
      <c r="T513" s="50"/>
      <c r="U513" s="50"/>
      <c r="V513" s="51"/>
      <c r="W513" s="51"/>
      <c r="X513" s="51"/>
      <c r="Y513" s="51"/>
    </row>
    <row r="514" customFormat="false" ht="12.75" hidden="false" customHeight="true" outlineLevel="0" collapsed="false">
      <c r="A514" s="45"/>
      <c r="B514" s="46"/>
      <c r="C514" s="46"/>
      <c r="D514" s="46"/>
      <c r="E514" s="46"/>
      <c r="F514" s="47"/>
      <c r="G514" s="48"/>
      <c r="H514" s="48"/>
      <c r="I514" s="48"/>
      <c r="J514" s="48"/>
      <c r="K514" s="48"/>
      <c r="L514" s="48"/>
      <c r="M514" s="49"/>
      <c r="N514" s="49"/>
      <c r="O514" s="49"/>
      <c r="P514" s="49"/>
      <c r="Q514" s="49"/>
      <c r="R514" s="49"/>
      <c r="S514" s="50"/>
      <c r="T514" s="50"/>
      <c r="U514" s="50"/>
      <c r="V514" s="51"/>
      <c r="W514" s="51"/>
      <c r="X514" s="51"/>
      <c r="Y514" s="51"/>
    </row>
    <row r="515" customFormat="false" ht="12.75" hidden="false" customHeight="true" outlineLevel="0" collapsed="false">
      <c r="A515" s="45"/>
      <c r="B515" s="46"/>
      <c r="C515" s="46"/>
      <c r="D515" s="46"/>
      <c r="E515" s="46"/>
      <c r="F515" s="47"/>
      <c r="G515" s="48"/>
      <c r="H515" s="48"/>
      <c r="I515" s="48"/>
      <c r="J515" s="48"/>
      <c r="K515" s="48"/>
      <c r="L515" s="48"/>
      <c r="M515" s="49"/>
      <c r="N515" s="49"/>
      <c r="O515" s="49"/>
      <c r="P515" s="49"/>
      <c r="Q515" s="49"/>
      <c r="R515" s="49"/>
      <c r="S515" s="50"/>
      <c r="T515" s="50"/>
      <c r="U515" s="50"/>
      <c r="V515" s="51"/>
      <c r="W515" s="51"/>
      <c r="X515" s="51"/>
      <c r="Y515" s="51"/>
    </row>
    <row r="516" customFormat="false" ht="12.75" hidden="false" customHeight="true" outlineLevel="0" collapsed="false">
      <c r="A516" s="45"/>
      <c r="B516" s="46"/>
      <c r="C516" s="46"/>
      <c r="D516" s="46"/>
      <c r="E516" s="46"/>
      <c r="F516" s="47"/>
      <c r="G516" s="48"/>
      <c r="H516" s="48"/>
      <c r="I516" s="48"/>
      <c r="J516" s="48"/>
      <c r="K516" s="48"/>
      <c r="L516" s="48"/>
      <c r="M516" s="49"/>
      <c r="N516" s="49"/>
      <c r="O516" s="49"/>
      <c r="P516" s="49"/>
      <c r="Q516" s="49"/>
      <c r="R516" s="49"/>
      <c r="S516" s="50"/>
      <c r="T516" s="50"/>
      <c r="U516" s="50"/>
      <c r="V516" s="51"/>
      <c r="W516" s="51"/>
      <c r="X516" s="51"/>
      <c r="Y516" s="51"/>
    </row>
    <row r="517" customFormat="false" ht="12.75" hidden="false" customHeight="true" outlineLevel="0" collapsed="false">
      <c r="A517" s="45"/>
      <c r="B517" s="46"/>
      <c r="C517" s="46"/>
      <c r="D517" s="46"/>
      <c r="E517" s="46"/>
      <c r="F517" s="47"/>
      <c r="G517" s="48"/>
      <c r="H517" s="48"/>
      <c r="I517" s="48"/>
      <c r="J517" s="48"/>
      <c r="K517" s="48"/>
      <c r="L517" s="48"/>
      <c r="M517" s="49"/>
      <c r="N517" s="49"/>
      <c r="O517" s="49"/>
      <c r="P517" s="49"/>
      <c r="Q517" s="49"/>
      <c r="R517" s="49"/>
      <c r="S517" s="50"/>
      <c r="T517" s="50"/>
      <c r="U517" s="50"/>
      <c r="V517" s="51"/>
      <c r="W517" s="51"/>
      <c r="X517" s="51"/>
      <c r="Y517" s="51"/>
    </row>
    <row r="518" customFormat="false" ht="12.75" hidden="false" customHeight="true" outlineLevel="0" collapsed="false">
      <c r="A518" s="45"/>
      <c r="B518" s="46"/>
      <c r="C518" s="46"/>
      <c r="D518" s="46"/>
      <c r="E518" s="46"/>
      <c r="F518" s="47"/>
      <c r="G518" s="48"/>
      <c r="H518" s="48"/>
      <c r="I518" s="48"/>
      <c r="J518" s="48"/>
      <c r="K518" s="48"/>
      <c r="L518" s="48"/>
      <c r="M518" s="49"/>
      <c r="N518" s="49"/>
      <c r="O518" s="49"/>
      <c r="P518" s="49"/>
      <c r="Q518" s="49"/>
      <c r="R518" s="49"/>
      <c r="S518" s="50"/>
      <c r="T518" s="50"/>
      <c r="U518" s="50"/>
      <c r="V518" s="51"/>
      <c r="W518" s="51"/>
      <c r="X518" s="51"/>
      <c r="Y518" s="51"/>
    </row>
    <row r="519" customFormat="false" ht="12.75" hidden="false" customHeight="true" outlineLevel="0" collapsed="false">
      <c r="A519" s="45"/>
      <c r="B519" s="46"/>
      <c r="C519" s="46"/>
      <c r="D519" s="46"/>
      <c r="E519" s="46"/>
      <c r="F519" s="47"/>
      <c r="G519" s="48"/>
      <c r="H519" s="48"/>
      <c r="I519" s="48"/>
      <c r="J519" s="48"/>
      <c r="K519" s="48"/>
      <c r="L519" s="48"/>
      <c r="M519" s="49"/>
      <c r="N519" s="49"/>
      <c r="O519" s="49"/>
      <c r="P519" s="49"/>
      <c r="Q519" s="49"/>
      <c r="R519" s="49"/>
      <c r="S519" s="50"/>
      <c r="T519" s="50"/>
      <c r="U519" s="50"/>
      <c r="V519" s="51"/>
      <c r="W519" s="51"/>
      <c r="X519" s="51"/>
      <c r="Y519" s="51"/>
    </row>
    <row r="520" customFormat="false" ht="12.75" hidden="false" customHeight="true" outlineLevel="0" collapsed="false">
      <c r="A520" s="45"/>
      <c r="B520" s="46"/>
      <c r="C520" s="46"/>
      <c r="D520" s="46"/>
      <c r="E520" s="46"/>
      <c r="F520" s="47"/>
      <c r="G520" s="48"/>
      <c r="H520" s="48"/>
      <c r="I520" s="48"/>
      <c r="J520" s="48"/>
      <c r="K520" s="48"/>
      <c r="L520" s="48"/>
      <c r="M520" s="49"/>
      <c r="N520" s="49"/>
      <c r="O520" s="49"/>
      <c r="P520" s="49"/>
      <c r="Q520" s="49"/>
      <c r="R520" s="49"/>
      <c r="S520" s="50"/>
      <c r="T520" s="50"/>
      <c r="U520" s="50"/>
      <c r="V520" s="51"/>
      <c r="W520" s="51"/>
      <c r="X520" s="51"/>
      <c r="Y520" s="51"/>
    </row>
    <row r="521" customFormat="false" ht="12.75" hidden="false" customHeight="true" outlineLevel="0" collapsed="false">
      <c r="A521" s="45"/>
      <c r="B521" s="46"/>
      <c r="C521" s="46"/>
      <c r="D521" s="46"/>
      <c r="E521" s="46"/>
      <c r="F521" s="47"/>
      <c r="G521" s="48"/>
      <c r="H521" s="48"/>
      <c r="I521" s="48"/>
      <c r="J521" s="48"/>
      <c r="K521" s="48"/>
      <c r="L521" s="48"/>
      <c r="M521" s="49"/>
      <c r="N521" s="49"/>
      <c r="O521" s="49"/>
      <c r="P521" s="49"/>
      <c r="Q521" s="49"/>
      <c r="R521" s="49"/>
      <c r="S521" s="50"/>
      <c r="T521" s="50"/>
      <c r="U521" s="50"/>
      <c r="V521" s="51"/>
      <c r="W521" s="51"/>
      <c r="X521" s="51"/>
      <c r="Y521" s="51"/>
    </row>
    <row r="522" customFormat="false" ht="12.75" hidden="false" customHeight="true" outlineLevel="0" collapsed="false">
      <c r="A522" s="45"/>
      <c r="B522" s="46"/>
      <c r="C522" s="46"/>
      <c r="D522" s="46"/>
      <c r="E522" s="46"/>
      <c r="F522" s="47"/>
      <c r="G522" s="48"/>
      <c r="H522" s="48"/>
      <c r="I522" s="48"/>
      <c r="J522" s="48"/>
      <c r="K522" s="48"/>
      <c r="L522" s="48"/>
      <c r="M522" s="49"/>
      <c r="N522" s="49"/>
      <c r="O522" s="49"/>
      <c r="P522" s="49"/>
      <c r="Q522" s="49"/>
      <c r="R522" s="49"/>
      <c r="S522" s="50"/>
      <c r="T522" s="50"/>
      <c r="U522" s="50"/>
      <c r="V522" s="51"/>
      <c r="W522" s="51"/>
      <c r="X522" s="51"/>
      <c r="Y522" s="51"/>
    </row>
    <row r="523" customFormat="false" ht="12.75" hidden="false" customHeight="true" outlineLevel="0" collapsed="false">
      <c r="A523" s="45"/>
      <c r="B523" s="46"/>
      <c r="C523" s="46"/>
      <c r="D523" s="46"/>
      <c r="E523" s="46"/>
      <c r="F523" s="47"/>
      <c r="G523" s="48"/>
      <c r="H523" s="48"/>
      <c r="I523" s="48"/>
      <c r="J523" s="48"/>
      <c r="K523" s="48"/>
      <c r="L523" s="48"/>
      <c r="M523" s="49"/>
      <c r="N523" s="49"/>
      <c r="O523" s="49"/>
      <c r="P523" s="49"/>
      <c r="Q523" s="49"/>
      <c r="R523" s="49"/>
      <c r="S523" s="50"/>
      <c r="T523" s="50"/>
      <c r="U523" s="50"/>
      <c r="V523" s="51"/>
      <c r="W523" s="51"/>
      <c r="X523" s="51"/>
      <c r="Y523" s="51"/>
    </row>
    <row r="524" customFormat="false" ht="12.75" hidden="false" customHeight="true" outlineLevel="0" collapsed="false">
      <c r="A524" s="45"/>
      <c r="B524" s="46"/>
      <c r="C524" s="46"/>
      <c r="D524" s="46"/>
      <c r="E524" s="46"/>
      <c r="F524" s="47"/>
      <c r="G524" s="48"/>
      <c r="H524" s="48"/>
      <c r="I524" s="48"/>
      <c r="J524" s="48"/>
      <c r="K524" s="48"/>
      <c r="L524" s="48"/>
      <c r="M524" s="49"/>
      <c r="N524" s="49"/>
      <c r="O524" s="49"/>
      <c r="P524" s="49"/>
      <c r="Q524" s="49"/>
      <c r="R524" s="49"/>
      <c r="S524" s="50"/>
      <c r="T524" s="50"/>
      <c r="U524" s="50"/>
      <c r="V524" s="51"/>
      <c r="W524" s="51"/>
      <c r="X524" s="51"/>
      <c r="Y524" s="51"/>
    </row>
    <row r="525" customFormat="false" ht="12.75" hidden="false" customHeight="true" outlineLevel="0" collapsed="false">
      <c r="A525" s="45"/>
      <c r="B525" s="46"/>
      <c r="C525" s="46"/>
      <c r="D525" s="46"/>
      <c r="E525" s="46"/>
      <c r="F525" s="47"/>
      <c r="G525" s="48"/>
      <c r="H525" s="48"/>
      <c r="I525" s="48"/>
      <c r="J525" s="48"/>
      <c r="K525" s="48"/>
      <c r="L525" s="48"/>
      <c r="M525" s="49"/>
      <c r="N525" s="49"/>
      <c r="O525" s="49"/>
      <c r="P525" s="49"/>
      <c r="Q525" s="49"/>
      <c r="R525" s="49"/>
      <c r="S525" s="50"/>
      <c r="T525" s="50"/>
      <c r="U525" s="50"/>
      <c r="V525" s="51"/>
      <c r="W525" s="51"/>
      <c r="X525" s="51"/>
      <c r="Y525" s="51"/>
    </row>
    <row r="526" customFormat="false" ht="12.75" hidden="false" customHeight="true" outlineLevel="0" collapsed="false">
      <c r="A526" s="45"/>
      <c r="B526" s="46"/>
      <c r="C526" s="46"/>
      <c r="D526" s="46"/>
      <c r="E526" s="46"/>
      <c r="F526" s="47"/>
      <c r="G526" s="48"/>
      <c r="H526" s="48"/>
      <c r="I526" s="48"/>
      <c r="J526" s="48"/>
      <c r="K526" s="48"/>
      <c r="L526" s="48"/>
      <c r="M526" s="49"/>
      <c r="N526" s="49"/>
      <c r="O526" s="49"/>
      <c r="P526" s="49"/>
      <c r="Q526" s="49"/>
      <c r="R526" s="49"/>
      <c r="S526" s="50"/>
      <c r="T526" s="50"/>
      <c r="U526" s="50"/>
      <c r="V526" s="51"/>
      <c r="W526" s="51"/>
      <c r="X526" s="51"/>
      <c r="Y526" s="51"/>
    </row>
    <row r="527" customFormat="false" ht="12.75" hidden="false" customHeight="true" outlineLevel="0" collapsed="false">
      <c r="A527" s="45"/>
      <c r="B527" s="46"/>
      <c r="C527" s="46"/>
      <c r="D527" s="46"/>
      <c r="E527" s="46"/>
      <c r="F527" s="47"/>
      <c r="G527" s="48"/>
      <c r="H527" s="48"/>
      <c r="I527" s="48"/>
      <c r="J527" s="48"/>
      <c r="K527" s="48"/>
      <c r="L527" s="48"/>
      <c r="M527" s="49"/>
      <c r="N527" s="49"/>
      <c r="O527" s="49"/>
      <c r="P527" s="49"/>
      <c r="Q527" s="49"/>
      <c r="R527" s="49"/>
      <c r="S527" s="50"/>
      <c r="T527" s="50"/>
      <c r="U527" s="50"/>
      <c r="V527" s="51"/>
      <c r="W527" s="51"/>
      <c r="X527" s="51"/>
      <c r="Y527" s="51"/>
    </row>
    <row r="528" customFormat="false" ht="12.75" hidden="false" customHeight="true" outlineLevel="0" collapsed="false">
      <c r="A528" s="45"/>
      <c r="B528" s="46"/>
      <c r="C528" s="46"/>
      <c r="D528" s="46"/>
      <c r="E528" s="46"/>
      <c r="F528" s="47"/>
      <c r="G528" s="48"/>
      <c r="H528" s="48"/>
      <c r="I528" s="48"/>
      <c r="J528" s="48"/>
      <c r="K528" s="48"/>
      <c r="L528" s="48"/>
      <c r="M528" s="49"/>
      <c r="N528" s="49"/>
      <c r="O528" s="49"/>
      <c r="P528" s="49"/>
      <c r="Q528" s="49"/>
      <c r="R528" s="49"/>
      <c r="S528" s="50"/>
      <c r="T528" s="50"/>
      <c r="U528" s="50"/>
      <c r="V528" s="51"/>
      <c r="W528" s="51"/>
      <c r="X528" s="51"/>
      <c r="Y528" s="51"/>
    </row>
    <row r="529" customFormat="false" ht="12.75" hidden="false" customHeight="true" outlineLevel="0" collapsed="false">
      <c r="A529" s="45"/>
      <c r="B529" s="46"/>
      <c r="C529" s="46"/>
      <c r="D529" s="46"/>
      <c r="E529" s="46"/>
      <c r="F529" s="47"/>
      <c r="G529" s="48"/>
      <c r="H529" s="48"/>
      <c r="I529" s="48"/>
      <c r="J529" s="48"/>
      <c r="K529" s="48"/>
      <c r="L529" s="48"/>
      <c r="M529" s="49"/>
      <c r="N529" s="49"/>
      <c r="O529" s="49"/>
      <c r="P529" s="49"/>
      <c r="Q529" s="49"/>
      <c r="R529" s="49"/>
      <c r="S529" s="50"/>
      <c r="T529" s="50"/>
      <c r="U529" s="50"/>
      <c r="V529" s="51"/>
      <c r="W529" s="51"/>
      <c r="X529" s="51"/>
      <c r="Y529" s="51"/>
    </row>
    <row r="530" customFormat="false" ht="12.75" hidden="false" customHeight="true" outlineLevel="0" collapsed="false">
      <c r="A530" s="45"/>
      <c r="B530" s="46"/>
      <c r="C530" s="46"/>
      <c r="D530" s="46"/>
      <c r="E530" s="46"/>
      <c r="F530" s="47"/>
      <c r="G530" s="48"/>
      <c r="H530" s="48"/>
      <c r="I530" s="48"/>
      <c r="J530" s="48"/>
      <c r="K530" s="48"/>
      <c r="L530" s="48"/>
      <c r="M530" s="49"/>
      <c r="N530" s="49"/>
      <c r="O530" s="49"/>
      <c r="P530" s="49"/>
      <c r="Q530" s="49"/>
      <c r="R530" s="49"/>
      <c r="S530" s="50"/>
      <c r="T530" s="50"/>
      <c r="U530" s="50"/>
      <c r="V530" s="51"/>
      <c r="W530" s="51"/>
      <c r="X530" s="51"/>
      <c r="Y530" s="51"/>
    </row>
    <row r="531" customFormat="false" ht="12.75" hidden="false" customHeight="true" outlineLevel="0" collapsed="false">
      <c r="A531" s="45"/>
      <c r="B531" s="46"/>
      <c r="C531" s="46"/>
      <c r="D531" s="46"/>
      <c r="E531" s="46"/>
      <c r="F531" s="47"/>
      <c r="G531" s="48"/>
      <c r="H531" s="48"/>
      <c r="I531" s="48"/>
      <c r="J531" s="48"/>
      <c r="K531" s="48"/>
      <c r="L531" s="48"/>
      <c r="M531" s="49"/>
      <c r="N531" s="49"/>
      <c r="O531" s="49"/>
      <c r="P531" s="49"/>
      <c r="Q531" s="49"/>
      <c r="R531" s="49"/>
      <c r="S531" s="50"/>
      <c r="T531" s="50"/>
      <c r="U531" s="50"/>
      <c r="V531" s="51"/>
      <c r="W531" s="51"/>
      <c r="X531" s="51"/>
      <c r="Y531" s="51"/>
    </row>
    <row r="532" customFormat="false" ht="12.75" hidden="false" customHeight="true" outlineLevel="0" collapsed="false">
      <c r="A532" s="45"/>
      <c r="B532" s="46"/>
      <c r="C532" s="46"/>
      <c r="D532" s="46"/>
      <c r="E532" s="46"/>
      <c r="F532" s="47"/>
      <c r="G532" s="48"/>
      <c r="H532" s="48"/>
      <c r="I532" s="48"/>
      <c r="J532" s="48"/>
      <c r="K532" s="48"/>
      <c r="L532" s="48"/>
      <c r="M532" s="49"/>
      <c r="N532" s="49"/>
      <c r="O532" s="49"/>
      <c r="P532" s="49"/>
      <c r="Q532" s="49"/>
      <c r="R532" s="49"/>
      <c r="S532" s="50"/>
      <c r="T532" s="50"/>
      <c r="U532" s="50"/>
      <c r="V532" s="51"/>
      <c r="W532" s="51"/>
      <c r="X532" s="51"/>
      <c r="Y532" s="51"/>
    </row>
    <row r="533" customFormat="false" ht="12.75" hidden="false" customHeight="true" outlineLevel="0" collapsed="false">
      <c r="A533" s="45"/>
      <c r="B533" s="46"/>
      <c r="C533" s="46"/>
      <c r="D533" s="46"/>
      <c r="E533" s="46"/>
      <c r="F533" s="47"/>
      <c r="G533" s="48"/>
      <c r="H533" s="48"/>
      <c r="I533" s="48"/>
      <c r="J533" s="48"/>
      <c r="K533" s="48"/>
      <c r="L533" s="48"/>
      <c r="M533" s="49"/>
      <c r="N533" s="49"/>
      <c r="O533" s="49"/>
      <c r="P533" s="49"/>
      <c r="Q533" s="49"/>
      <c r="R533" s="49"/>
      <c r="S533" s="50"/>
      <c r="T533" s="50"/>
      <c r="U533" s="50"/>
      <c r="V533" s="51"/>
      <c r="W533" s="51"/>
      <c r="X533" s="51"/>
      <c r="Y533" s="51"/>
    </row>
    <row r="534" customFormat="false" ht="12.75" hidden="false" customHeight="true" outlineLevel="0" collapsed="false">
      <c r="A534" s="45"/>
      <c r="B534" s="46"/>
      <c r="C534" s="46"/>
      <c r="D534" s="46"/>
      <c r="E534" s="46"/>
      <c r="F534" s="47"/>
      <c r="G534" s="48"/>
      <c r="H534" s="48"/>
      <c r="I534" s="48"/>
      <c r="J534" s="48"/>
      <c r="K534" s="48"/>
      <c r="L534" s="48"/>
      <c r="M534" s="49"/>
      <c r="N534" s="49"/>
      <c r="O534" s="49"/>
      <c r="P534" s="49"/>
      <c r="Q534" s="49"/>
      <c r="R534" s="49"/>
      <c r="S534" s="50"/>
      <c r="T534" s="50"/>
      <c r="U534" s="50"/>
      <c r="V534" s="51"/>
      <c r="W534" s="51"/>
      <c r="X534" s="51"/>
      <c r="Y534" s="51"/>
    </row>
    <row r="535" customFormat="false" ht="12.75" hidden="false" customHeight="true" outlineLevel="0" collapsed="false">
      <c r="A535" s="45"/>
      <c r="B535" s="46"/>
      <c r="C535" s="46"/>
      <c r="D535" s="46"/>
      <c r="E535" s="46"/>
      <c r="F535" s="47"/>
      <c r="G535" s="48"/>
      <c r="H535" s="48"/>
      <c r="I535" s="48"/>
      <c r="J535" s="48"/>
      <c r="K535" s="48"/>
      <c r="L535" s="48"/>
      <c r="M535" s="49"/>
      <c r="N535" s="49"/>
      <c r="O535" s="49"/>
      <c r="P535" s="49"/>
      <c r="Q535" s="49"/>
      <c r="R535" s="49"/>
      <c r="S535" s="50"/>
      <c r="T535" s="50"/>
      <c r="U535" s="50"/>
      <c r="V535" s="51"/>
      <c r="W535" s="51"/>
      <c r="X535" s="51"/>
      <c r="Y535" s="51"/>
    </row>
    <row r="536" customFormat="false" ht="12.75" hidden="false" customHeight="true" outlineLevel="0" collapsed="false">
      <c r="A536" s="45"/>
      <c r="B536" s="46"/>
      <c r="C536" s="46"/>
      <c r="D536" s="46"/>
      <c r="E536" s="46"/>
      <c r="F536" s="47"/>
      <c r="G536" s="48"/>
      <c r="H536" s="48"/>
      <c r="I536" s="48"/>
      <c r="J536" s="48"/>
      <c r="K536" s="48"/>
      <c r="L536" s="48"/>
      <c r="M536" s="49"/>
      <c r="N536" s="49"/>
      <c r="O536" s="49"/>
      <c r="P536" s="49"/>
      <c r="Q536" s="49"/>
      <c r="R536" s="49"/>
      <c r="S536" s="50"/>
      <c r="T536" s="50"/>
      <c r="U536" s="50"/>
      <c r="V536" s="51"/>
      <c r="W536" s="51"/>
      <c r="X536" s="51"/>
      <c r="Y536" s="51"/>
    </row>
    <row r="537" customFormat="false" ht="12.75" hidden="false" customHeight="true" outlineLevel="0" collapsed="false">
      <c r="A537" s="45"/>
      <c r="B537" s="46"/>
      <c r="C537" s="46"/>
      <c r="D537" s="46"/>
      <c r="E537" s="46"/>
      <c r="F537" s="47"/>
      <c r="G537" s="48"/>
      <c r="H537" s="48"/>
      <c r="I537" s="48"/>
      <c r="J537" s="48"/>
      <c r="K537" s="48"/>
      <c r="L537" s="48"/>
      <c r="M537" s="49"/>
      <c r="N537" s="49"/>
      <c r="O537" s="49"/>
      <c r="P537" s="49"/>
      <c r="Q537" s="49"/>
      <c r="R537" s="49"/>
      <c r="S537" s="50"/>
      <c r="T537" s="50"/>
      <c r="U537" s="50"/>
      <c r="V537" s="51"/>
      <c r="W537" s="51"/>
      <c r="X537" s="51"/>
      <c r="Y537" s="51"/>
    </row>
    <row r="538" customFormat="false" ht="12.75" hidden="false" customHeight="true" outlineLevel="0" collapsed="false">
      <c r="A538" s="45"/>
      <c r="B538" s="46"/>
      <c r="C538" s="46"/>
      <c r="D538" s="46"/>
      <c r="E538" s="46"/>
      <c r="F538" s="47"/>
      <c r="G538" s="48"/>
      <c r="H538" s="48"/>
      <c r="I538" s="48"/>
      <c r="J538" s="48"/>
      <c r="K538" s="48"/>
      <c r="L538" s="48"/>
      <c r="M538" s="49"/>
      <c r="N538" s="49"/>
      <c r="O538" s="49"/>
      <c r="P538" s="49"/>
      <c r="Q538" s="49"/>
      <c r="R538" s="49"/>
      <c r="S538" s="50"/>
      <c r="T538" s="50"/>
      <c r="U538" s="50"/>
      <c r="V538" s="51"/>
      <c r="W538" s="51"/>
      <c r="X538" s="51"/>
      <c r="Y538" s="51"/>
    </row>
    <row r="539" customFormat="false" ht="12.75" hidden="false" customHeight="true" outlineLevel="0" collapsed="false">
      <c r="A539" s="45"/>
      <c r="B539" s="46"/>
      <c r="C539" s="46"/>
      <c r="D539" s="46"/>
      <c r="E539" s="46"/>
      <c r="F539" s="47"/>
      <c r="G539" s="48"/>
      <c r="H539" s="48"/>
      <c r="I539" s="48"/>
      <c r="J539" s="48"/>
      <c r="K539" s="48"/>
      <c r="L539" s="48"/>
      <c r="M539" s="49"/>
      <c r="N539" s="49"/>
      <c r="O539" s="49"/>
      <c r="P539" s="49"/>
      <c r="Q539" s="49"/>
      <c r="R539" s="49"/>
      <c r="S539" s="50"/>
      <c r="T539" s="50"/>
      <c r="U539" s="50"/>
      <c r="V539" s="51"/>
      <c r="W539" s="51"/>
      <c r="X539" s="51"/>
      <c r="Y539" s="51"/>
    </row>
    <row r="540" customFormat="false" ht="12.75" hidden="false" customHeight="true" outlineLevel="0" collapsed="false">
      <c r="A540" s="45"/>
      <c r="B540" s="46"/>
      <c r="C540" s="46"/>
      <c r="D540" s="46"/>
      <c r="E540" s="46"/>
      <c r="F540" s="47"/>
      <c r="G540" s="48"/>
      <c r="H540" s="48"/>
      <c r="I540" s="48"/>
      <c r="J540" s="48"/>
      <c r="K540" s="48"/>
      <c r="L540" s="48"/>
      <c r="M540" s="49"/>
      <c r="N540" s="49"/>
      <c r="O540" s="49"/>
      <c r="P540" s="49"/>
      <c r="Q540" s="49"/>
      <c r="R540" s="49"/>
      <c r="S540" s="50"/>
      <c r="T540" s="50"/>
      <c r="U540" s="50"/>
      <c r="V540" s="51"/>
      <c r="W540" s="51"/>
      <c r="X540" s="51"/>
      <c r="Y540" s="51"/>
    </row>
    <row r="541" customFormat="false" ht="12.75" hidden="false" customHeight="true" outlineLevel="0" collapsed="false">
      <c r="A541" s="45"/>
      <c r="B541" s="46"/>
      <c r="C541" s="46"/>
      <c r="D541" s="46"/>
      <c r="E541" s="46"/>
      <c r="F541" s="47"/>
      <c r="G541" s="48"/>
      <c r="H541" s="48"/>
      <c r="I541" s="48"/>
      <c r="J541" s="48"/>
      <c r="K541" s="48"/>
      <c r="L541" s="48"/>
      <c r="M541" s="49"/>
      <c r="N541" s="49"/>
      <c r="O541" s="49"/>
      <c r="P541" s="49"/>
      <c r="Q541" s="49"/>
      <c r="R541" s="49"/>
      <c r="S541" s="50"/>
      <c r="T541" s="50"/>
      <c r="U541" s="50"/>
      <c r="V541" s="51"/>
      <c r="W541" s="51"/>
      <c r="X541" s="51"/>
      <c r="Y541" s="51"/>
    </row>
    <row r="542" customFormat="false" ht="12.75" hidden="false" customHeight="true" outlineLevel="0" collapsed="false">
      <c r="A542" s="45"/>
      <c r="B542" s="46"/>
      <c r="C542" s="46"/>
      <c r="D542" s="46"/>
      <c r="E542" s="46"/>
      <c r="F542" s="47"/>
      <c r="G542" s="48"/>
      <c r="H542" s="48"/>
      <c r="I542" s="48"/>
      <c r="J542" s="48"/>
      <c r="K542" s="48"/>
      <c r="L542" s="48"/>
      <c r="M542" s="49"/>
      <c r="N542" s="49"/>
      <c r="O542" s="49"/>
      <c r="P542" s="49"/>
      <c r="Q542" s="49"/>
      <c r="R542" s="49"/>
      <c r="S542" s="50"/>
      <c r="T542" s="50"/>
      <c r="U542" s="50"/>
      <c r="V542" s="51"/>
      <c r="W542" s="51"/>
      <c r="X542" s="51"/>
      <c r="Y542" s="51"/>
    </row>
    <row r="543" customFormat="false" ht="12.75" hidden="false" customHeight="true" outlineLevel="0" collapsed="false">
      <c r="A543" s="45"/>
      <c r="B543" s="46"/>
      <c r="C543" s="46"/>
      <c r="D543" s="46"/>
      <c r="E543" s="46"/>
      <c r="F543" s="47"/>
      <c r="G543" s="48"/>
      <c r="H543" s="48"/>
      <c r="I543" s="48"/>
      <c r="J543" s="48"/>
      <c r="K543" s="48"/>
      <c r="L543" s="48"/>
      <c r="M543" s="49"/>
      <c r="N543" s="49"/>
      <c r="O543" s="49"/>
      <c r="P543" s="49"/>
      <c r="Q543" s="49"/>
      <c r="R543" s="49"/>
      <c r="S543" s="50"/>
      <c r="T543" s="50"/>
      <c r="U543" s="50"/>
      <c r="V543" s="51"/>
      <c r="W543" s="51"/>
      <c r="X543" s="51"/>
      <c r="Y543" s="51"/>
    </row>
    <row r="544" customFormat="false" ht="12.75" hidden="false" customHeight="true" outlineLevel="0" collapsed="false">
      <c r="A544" s="45"/>
      <c r="B544" s="46"/>
      <c r="C544" s="46"/>
      <c r="D544" s="46"/>
      <c r="E544" s="46"/>
      <c r="F544" s="47"/>
      <c r="G544" s="48"/>
      <c r="H544" s="48"/>
      <c r="I544" s="48"/>
      <c r="J544" s="48"/>
      <c r="K544" s="48"/>
      <c r="L544" s="48"/>
      <c r="M544" s="49"/>
      <c r="N544" s="49"/>
      <c r="O544" s="49"/>
      <c r="P544" s="49"/>
      <c r="Q544" s="49"/>
      <c r="R544" s="49"/>
      <c r="S544" s="50"/>
      <c r="T544" s="50"/>
      <c r="U544" s="50"/>
      <c r="V544" s="51"/>
      <c r="W544" s="51"/>
      <c r="X544" s="51"/>
      <c r="Y544" s="51"/>
    </row>
    <row r="545" customFormat="false" ht="12.75" hidden="false" customHeight="true" outlineLevel="0" collapsed="false">
      <c r="A545" s="45"/>
      <c r="B545" s="46"/>
      <c r="C545" s="46"/>
      <c r="D545" s="46"/>
      <c r="E545" s="46"/>
      <c r="F545" s="47"/>
      <c r="G545" s="48"/>
      <c r="H545" s="48"/>
      <c r="I545" s="48"/>
      <c r="J545" s="48"/>
      <c r="K545" s="48"/>
      <c r="L545" s="48"/>
      <c r="M545" s="49"/>
      <c r="N545" s="49"/>
      <c r="O545" s="49"/>
      <c r="P545" s="49"/>
      <c r="Q545" s="49"/>
      <c r="R545" s="49"/>
      <c r="S545" s="50"/>
      <c r="T545" s="50"/>
      <c r="U545" s="50"/>
      <c r="V545" s="51"/>
      <c r="W545" s="51"/>
      <c r="X545" s="51"/>
      <c r="Y545" s="51"/>
    </row>
    <row r="546" customFormat="false" ht="12.75" hidden="false" customHeight="true" outlineLevel="0" collapsed="false">
      <c r="A546" s="45"/>
      <c r="B546" s="46"/>
      <c r="C546" s="46"/>
      <c r="D546" s="46"/>
      <c r="E546" s="46"/>
      <c r="F546" s="47"/>
      <c r="G546" s="48"/>
      <c r="H546" s="48"/>
      <c r="I546" s="48"/>
      <c r="J546" s="48"/>
      <c r="K546" s="48"/>
      <c r="L546" s="48"/>
      <c r="M546" s="49"/>
      <c r="N546" s="49"/>
      <c r="O546" s="49"/>
      <c r="P546" s="49"/>
      <c r="Q546" s="49"/>
      <c r="R546" s="49"/>
      <c r="S546" s="50"/>
      <c r="T546" s="50"/>
      <c r="U546" s="50"/>
      <c r="V546" s="51"/>
      <c r="W546" s="51"/>
      <c r="X546" s="51"/>
      <c r="Y546" s="51"/>
    </row>
    <row r="547" customFormat="false" ht="12.75" hidden="false" customHeight="true" outlineLevel="0" collapsed="false">
      <c r="A547" s="45"/>
      <c r="B547" s="46"/>
      <c r="C547" s="46"/>
      <c r="D547" s="46"/>
      <c r="E547" s="46"/>
      <c r="F547" s="47"/>
      <c r="G547" s="48"/>
      <c r="H547" s="48"/>
      <c r="I547" s="48"/>
      <c r="J547" s="48"/>
      <c r="K547" s="48"/>
      <c r="L547" s="48"/>
      <c r="M547" s="49"/>
      <c r="N547" s="49"/>
      <c r="O547" s="49"/>
      <c r="P547" s="49"/>
      <c r="Q547" s="49"/>
      <c r="R547" s="49"/>
      <c r="S547" s="50"/>
      <c r="T547" s="50"/>
      <c r="U547" s="50"/>
      <c r="V547" s="51"/>
      <c r="W547" s="51"/>
      <c r="X547" s="51"/>
      <c r="Y547" s="51"/>
    </row>
    <row r="548" customFormat="false" ht="12.75" hidden="false" customHeight="true" outlineLevel="0" collapsed="false">
      <c r="A548" s="45"/>
      <c r="B548" s="46"/>
      <c r="C548" s="46"/>
      <c r="D548" s="46"/>
      <c r="E548" s="46"/>
      <c r="F548" s="47"/>
      <c r="G548" s="48"/>
      <c r="H548" s="48"/>
      <c r="I548" s="48"/>
      <c r="J548" s="48"/>
      <c r="K548" s="48"/>
      <c r="L548" s="48"/>
      <c r="M548" s="49"/>
      <c r="N548" s="49"/>
      <c r="O548" s="49"/>
      <c r="P548" s="49"/>
      <c r="Q548" s="49"/>
      <c r="R548" s="49"/>
      <c r="S548" s="50"/>
      <c r="T548" s="50"/>
      <c r="U548" s="50"/>
      <c r="V548" s="51"/>
      <c r="W548" s="51"/>
      <c r="X548" s="51"/>
      <c r="Y548" s="51"/>
    </row>
    <row r="549" customFormat="false" ht="12.75" hidden="false" customHeight="true" outlineLevel="0" collapsed="false">
      <c r="A549" s="45"/>
      <c r="B549" s="46"/>
      <c r="C549" s="46"/>
      <c r="D549" s="46"/>
      <c r="E549" s="46"/>
      <c r="F549" s="47"/>
      <c r="G549" s="48"/>
      <c r="H549" s="48"/>
      <c r="I549" s="48"/>
      <c r="J549" s="48"/>
      <c r="K549" s="48"/>
      <c r="L549" s="48"/>
      <c r="M549" s="49"/>
      <c r="N549" s="49"/>
      <c r="O549" s="49"/>
      <c r="P549" s="49"/>
      <c r="Q549" s="49"/>
      <c r="R549" s="49"/>
      <c r="S549" s="50"/>
      <c r="T549" s="50"/>
      <c r="U549" s="50"/>
      <c r="V549" s="51"/>
      <c r="W549" s="51"/>
      <c r="X549" s="51"/>
      <c r="Y549" s="51"/>
    </row>
    <row r="550" customFormat="false" ht="12.75" hidden="false" customHeight="true" outlineLevel="0" collapsed="false">
      <c r="A550" s="45"/>
      <c r="B550" s="46"/>
      <c r="C550" s="46"/>
      <c r="D550" s="46"/>
      <c r="E550" s="46"/>
      <c r="F550" s="47"/>
      <c r="G550" s="48"/>
      <c r="H550" s="48"/>
      <c r="I550" s="48"/>
      <c r="J550" s="48"/>
      <c r="K550" s="48"/>
      <c r="L550" s="48"/>
      <c r="M550" s="49"/>
      <c r="N550" s="49"/>
      <c r="O550" s="49"/>
      <c r="P550" s="49"/>
      <c r="Q550" s="49"/>
      <c r="R550" s="49"/>
      <c r="S550" s="50"/>
      <c r="T550" s="50"/>
      <c r="U550" s="50"/>
      <c r="V550" s="51"/>
      <c r="W550" s="51"/>
      <c r="X550" s="51"/>
      <c r="Y550" s="51"/>
    </row>
    <row r="551" customFormat="false" ht="12.75" hidden="false" customHeight="true" outlineLevel="0" collapsed="false">
      <c r="A551" s="45"/>
      <c r="B551" s="46"/>
      <c r="C551" s="46"/>
      <c r="D551" s="46"/>
      <c r="E551" s="46"/>
      <c r="F551" s="47"/>
      <c r="G551" s="48"/>
      <c r="H551" s="48"/>
      <c r="I551" s="48"/>
      <c r="J551" s="48"/>
      <c r="K551" s="48"/>
      <c r="L551" s="48"/>
      <c r="M551" s="49"/>
      <c r="N551" s="49"/>
      <c r="O551" s="49"/>
      <c r="P551" s="49"/>
      <c r="Q551" s="49"/>
      <c r="R551" s="49"/>
      <c r="S551" s="50"/>
      <c r="T551" s="50"/>
      <c r="U551" s="50"/>
      <c r="V551" s="51"/>
      <c r="W551" s="51"/>
      <c r="X551" s="51"/>
      <c r="Y551" s="51"/>
    </row>
    <row r="552" customFormat="false" ht="12.75" hidden="false" customHeight="true" outlineLevel="0" collapsed="false">
      <c r="A552" s="45"/>
      <c r="B552" s="46"/>
      <c r="C552" s="46"/>
      <c r="D552" s="46"/>
      <c r="E552" s="46"/>
      <c r="F552" s="47"/>
      <c r="G552" s="48"/>
      <c r="H552" s="48"/>
      <c r="I552" s="48"/>
      <c r="J552" s="48"/>
      <c r="K552" s="48"/>
      <c r="L552" s="48"/>
      <c r="M552" s="49"/>
      <c r="N552" s="49"/>
      <c r="O552" s="49"/>
      <c r="P552" s="49"/>
      <c r="Q552" s="49"/>
      <c r="R552" s="49"/>
      <c r="S552" s="50"/>
      <c r="T552" s="50"/>
      <c r="U552" s="50"/>
      <c r="V552" s="51"/>
      <c r="W552" s="51"/>
      <c r="X552" s="51"/>
      <c r="Y552" s="51"/>
    </row>
    <row r="553" customFormat="false" ht="12.75" hidden="false" customHeight="true" outlineLevel="0" collapsed="false">
      <c r="A553" s="45"/>
      <c r="B553" s="46"/>
      <c r="C553" s="46"/>
      <c r="D553" s="46"/>
      <c r="E553" s="46"/>
      <c r="F553" s="47"/>
      <c r="G553" s="48"/>
      <c r="H553" s="48"/>
      <c r="I553" s="48"/>
      <c r="J553" s="48"/>
      <c r="K553" s="48"/>
      <c r="L553" s="48"/>
      <c r="M553" s="49"/>
      <c r="N553" s="49"/>
      <c r="O553" s="49"/>
      <c r="P553" s="49"/>
      <c r="Q553" s="49"/>
      <c r="R553" s="49"/>
      <c r="S553" s="50"/>
      <c r="T553" s="50"/>
      <c r="U553" s="50"/>
      <c r="V553" s="51"/>
      <c r="W553" s="51"/>
      <c r="X553" s="51"/>
      <c r="Y553" s="51"/>
    </row>
    <row r="554" customFormat="false" ht="12.75" hidden="false" customHeight="true" outlineLevel="0" collapsed="false">
      <c r="A554" s="45"/>
      <c r="B554" s="46"/>
      <c r="C554" s="46"/>
      <c r="D554" s="46"/>
      <c r="E554" s="46"/>
      <c r="F554" s="47"/>
      <c r="G554" s="48"/>
      <c r="H554" s="48"/>
      <c r="I554" s="48"/>
      <c r="J554" s="48"/>
      <c r="K554" s="48"/>
      <c r="L554" s="48"/>
      <c r="M554" s="49"/>
      <c r="N554" s="49"/>
      <c r="O554" s="49"/>
      <c r="P554" s="49"/>
      <c r="Q554" s="49"/>
      <c r="R554" s="49"/>
      <c r="S554" s="50"/>
      <c r="T554" s="50"/>
      <c r="U554" s="50"/>
      <c r="V554" s="51"/>
      <c r="W554" s="51"/>
      <c r="X554" s="51"/>
      <c r="Y554" s="51"/>
    </row>
    <row r="555" customFormat="false" ht="12.75" hidden="false" customHeight="true" outlineLevel="0" collapsed="false">
      <c r="A555" s="45"/>
      <c r="B555" s="46"/>
      <c r="C555" s="46"/>
      <c r="D555" s="46"/>
      <c r="E555" s="46"/>
      <c r="F555" s="47"/>
      <c r="G555" s="48"/>
      <c r="H555" s="48"/>
      <c r="I555" s="48"/>
      <c r="J555" s="48"/>
      <c r="K555" s="48"/>
      <c r="L555" s="48"/>
      <c r="M555" s="49"/>
      <c r="N555" s="49"/>
      <c r="O555" s="49"/>
      <c r="P555" s="49"/>
      <c r="Q555" s="49"/>
      <c r="R555" s="49"/>
      <c r="S555" s="50"/>
      <c r="T555" s="50"/>
      <c r="U555" s="50"/>
      <c r="V555" s="51"/>
      <c r="W555" s="51"/>
      <c r="X555" s="51"/>
      <c r="Y555" s="51"/>
    </row>
    <row r="556" customFormat="false" ht="12.75" hidden="false" customHeight="true" outlineLevel="0" collapsed="false">
      <c r="A556" s="45"/>
      <c r="B556" s="46"/>
      <c r="C556" s="46"/>
      <c r="D556" s="46"/>
      <c r="E556" s="46"/>
      <c r="F556" s="47"/>
      <c r="G556" s="48"/>
      <c r="H556" s="48"/>
      <c r="I556" s="48"/>
      <c r="J556" s="48"/>
      <c r="K556" s="48"/>
      <c r="L556" s="48"/>
      <c r="M556" s="49"/>
      <c r="N556" s="49"/>
      <c r="O556" s="49"/>
      <c r="P556" s="49"/>
      <c r="Q556" s="49"/>
      <c r="R556" s="49"/>
      <c r="S556" s="50"/>
      <c r="T556" s="50"/>
      <c r="U556" s="50"/>
      <c r="V556" s="51"/>
      <c r="W556" s="51"/>
      <c r="X556" s="51"/>
      <c r="Y556" s="51"/>
    </row>
    <row r="557" customFormat="false" ht="12.75" hidden="false" customHeight="true" outlineLevel="0" collapsed="false">
      <c r="A557" s="45"/>
      <c r="B557" s="46"/>
      <c r="C557" s="46"/>
      <c r="D557" s="46"/>
      <c r="E557" s="46"/>
      <c r="F557" s="47"/>
      <c r="G557" s="48"/>
      <c r="H557" s="48"/>
      <c r="I557" s="48"/>
      <c r="J557" s="48"/>
      <c r="K557" s="48"/>
      <c r="L557" s="48"/>
      <c r="M557" s="49"/>
      <c r="N557" s="49"/>
      <c r="O557" s="49"/>
      <c r="P557" s="49"/>
      <c r="Q557" s="49"/>
      <c r="R557" s="49"/>
      <c r="S557" s="50"/>
      <c r="T557" s="50"/>
      <c r="U557" s="50"/>
      <c r="V557" s="51"/>
      <c r="W557" s="51"/>
      <c r="X557" s="51"/>
      <c r="Y557" s="51"/>
    </row>
    <row r="558" customFormat="false" ht="12.75" hidden="false" customHeight="true" outlineLevel="0" collapsed="false">
      <c r="A558" s="45"/>
      <c r="B558" s="46"/>
      <c r="C558" s="46"/>
      <c r="D558" s="46"/>
      <c r="E558" s="46"/>
      <c r="F558" s="47"/>
      <c r="G558" s="48"/>
      <c r="H558" s="48"/>
      <c r="I558" s="48"/>
      <c r="J558" s="48"/>
      <c r="K558" s="48"/>
      <c r="L558" s="48"/>
      <c r="M558" s="49"/>
      <c r="N558" s="49"/>
      <c r="O558" s="49"/>
      <c r="P558" s="49"/>
      <c r="Q558" s="49"/>
      <c r="R558" s="49"/>
      <c r="S558" s="50"/>
      <c r="T558" s="50"/>
      <c r="U558" s="50"/>
      <c r="V558" s="51"/>
      <c r="W558" s="51"/>
      <c r="X558" s="51"/>
      <c r="Y558" s="51"/>
    </row>
    <row r="559" customFormat="false" ht="12.75" hidden="false" customHeight="true" outlineLevel="0" collapsed="false">
      <c r="A559" s="45"/>
      <c r="B559" s="46"/>
      <c r="C559" s="46"/>
      <c r="D559" s="46"/>
      <c r="E559" s="46"/>
      <c r="F559" s="47"/>
      <c r="G559" s="48"/>
      <c r="H559" s="48"/>
      <c r="I559" s="48"/>
      <c r="J559" s="48"/>
      <c r="K559" s="48"/>
      <c r="L559" s="48"/>
      <c r="M559" s="49"/>
      <c r="N559" s="49"/>
      <c r="O559" s="49"/>
      <c r="P559" s="49"/>
      <c r="Q559" s="49"/>
      <c r="R559" s="49"/>
      <c r="S559" s="50"/>
      <c r="T559" s="50"/>
      <c r="U559" s="50"/>
      <c r="V559" s="51"/>
      <c r="W559" s="51"/>
      <c r="X559" s="51"/>
      <c r="Y559" s="51"/>
    </row>
    <row r="560" customFormat="false" ht="12.75" hidden="false" customHeight="true" outlineLevel="0" collapsed="false">
      <c r="A560" s="45"/>
      <c r="B560" s="46"/>
      <c r="C560" s="46"/>
      <c r="D560" s="46"/>
      <c r="E560" s="46"/>
      <c r="F560" s="47"/>
      <c r="G560" s="48"/>
      <c r="H560" s="48"/>
      <c r="I560" s="48"/>
      <c r="J560" s="48"/>
      <c r="K560" s="48"/>
      <c r="L560" s="48"/>
      <c r="M560" s="49"/>
      <c r="N560" s="49"/>
      <c r="O560" s="49"/>
      <c r="P560" s="49"/>
      <c r="Q560" s="49"/>
      <c r="R560" s="49"/>
      <c r="S560" s="50"/>
      <c r="T560" s="50"/>
      <c r="U560" s="50"/>
      <c r="V560" s="51"/>
      <c r="W560" s="51"/>
      <c r="X560" s="51"/>
      <c r="Y560" s="51"/>
    </row>
    <row r="561" customFormat="false" ht="12.75" hidden="false" customHeight="true" outlineLevel="0" collapsed="false">
      <c r="A561" s="45"/>
      <c r="B561" s="46"/>
      <c r="C561" s="46"/>
      <c r="D561" s="46"/>
      <c r="E561" s="46"/>
      <c r="F561" s="47"/>
      <c r="G561" s="48"/>
      <c r="H561" s="48"/>
      <c r="I561" s="48"/>
      <c r="J561" s="48"/>
      <c r="K561" s="48"/>
      <c r="L561" s="48"/>
      <c r="M561" s="49"/>
      <c r="N561" s="49"/>
      <c r="O561" s="49"/>
      <c r="P561" s="49"/>
      <c r="Q561" s="49"/>
      <c r="R561" s="49"/>
      <c r="S561" s="50"/>
      <c r="T561" s="50"/>
      <c r="U561" s="50"/>
      <c r="V561" s="51"/>
      <c r="W561" s="51"/>
      <c r="X561" s="51"/>
      <c r="Y561" s="51"/>
    </row>
    <row r="562" customFormat="false" ht="12.75" hidden="false" customHeight="true" outlineLevel="0" collapsed="false">
      <c r="A562" s="45"/>
      <c r="B562" s="46"/>
      <c r="C562" s="46"/>
      <c r="D562" s="46"/>
      <c r="E562" s="46"/>
      <c r="F562" s="47"/>
      <c r="G562" s="48"/>
      <c r="H562" s="48"/>
      <c r="I562" s="48"/>
      <c r="J562" s="48"/>
      <c r="K562" s="48"/>
      <c r="L562" s="48"/>
      <c r="M562" s="49"/>
      <c r="N562" s="49"/>
      <c r="O562" s="49"/>
      <c r="P562" s="49"/>
      <c r="Q562" s="49"/>
      <c r="R562" s="49"/>
      <c r="S562" s="50"/>
      <c r="T562" s="50"/>
      <c r="U562" s="50"/>
      <c r="V562" s="51"/>
      <c r="W562" s="51"/>
      <c r="X562" s="51"/>
      <c r="Y562" s="51"/>
    </row>
    <row r="563" customFormat="false" ht="12.75" hidden="false" customHeight="true" outlineLevel="0" collapsed="false">
      <c r="A563" s="45"/>
      <c r="B563" s="46"/>
      <c r="C563" s="46"/>
      <c r="D563" s="46"/>
      <c r="E563" s="46"/>
      <c r="F563" s="47"/>
      <c r="G563" s="48"/>
      <c r="H563" s="48"/>
      <c r="I563" s="48"/>
      <c r="J563" s="48"/>
      <c r="K563" s="48"/>
      <c r="L563" s="48"/>
      <c r="M563" s="49"/>
      <c r="N563" s="49"/>
      <c r="O563" s="49"/>
      <c r="P563" s="49"/>
      <c r="Q563" s="49"/>
      <c r="R563" s="49"/>
      <c r="S563" s="50"/>
      <c r="T563" s="50"/>
      <c r="U563" s="50"/>
      <c r="V563" s="51"/>
      <c r="W563" s="51"/>
      <c r="X563" s="51"/>
      <c r="Y563" s="51"/>
    </row>
    <row r="564" customFormat="false" ht="12.75" hidden="false" customHeight="true" outlineLevel="0" collapsed="false">
      <c r="A564" s="45"/>
      <c r="B564" s="46"/>
      <c r="C564" s="46"/>
      <c r="D564" s="46"/>
      <c r="E564" s="46"/>
      <c r="F564" s="47"/>
      <c r="G564" s="48"/>
      <c r="H564" s="48"/>
      <c r="I564" s="48"/>
      <c r="J564" s="48"/>
      <c r="K564" s="48"/>
      <c r="L564" s="48"/>
      <c r="M564" s="49"/>
      <c r="N564" s="49"/>
      <c r="O564" s="49"/>
      <c r="P564" s="49"/>
      <c r="Q564" s="49"/>
      <c r="R564" s="49"/>
      <c r="S564" s="50"/>
      <c r="T564" s="50"/>
      <c r="U564" s="50"/>
      <c r="V564" s="51"/>
      <c r="W564" s="51"/>
      <c r="X564" s="51"/>
      <c r="Y564" s="51"/>
    </row>
    <row r="565" customFormat="false" ht="12.75" hidden="false" customHeight="true" outlineLevel="0" collapsed="false">
      <c r="A565" s="45"/>
      <c r="B565" s="46"/>
      <c r="C565" s="46"/>
      <c r="D565" s="46"/>
      <c r="E565" s="46"/>
      <c r="F565" s="47"/>
      <c r="G565" s="48"/>
      <c r="H565" s="48"/>
      <c r="I565" s="48"/>
      <c r="J565" s="48"/>
      <c r="K565" s="48"/>
      <c r="L565" s="48"/>
      <c r="M565" s="49"/>
      <c r="N565" s="49"/>
      <c r="O565" s="49"/>
      <c r="P565" s="49"/>
      <c r="Q565" s="49"/>
      <c r="R565" s="49"/>
      <c r="S565" s="50"/>
      <c r="T565" s="50"/>
      <c r="U565" s="50"/>
      <c r="V565" s="51"/>
      <c r="W565" s="51"/>
      <c r="X565" s="51"/>
      <c r="Y565" s="51"/>
    </row>
    <row r="566" customFormat="false" ht="12.75" hidden="false" customHeight="true" outlineLevel="0" collapsed="false">
      <c r="A566" s="45"/>
      <c r="B566" s="46"/>
      <c r="C566" s="46"/>
      <c r="D566" s="46"/>
      <c r="E566" s="46"/>
      <c r="F566" s="47"/>
      <c r="G566" s="48"/>
      <c r="H566" s="48"/>
      <c r="I566" s="48"/>
      <c r="J566" s="48"/>
      <c r="K566" s="48"/>
      <c r="L566" s="48"/>
      <c r="M566" s="49"/>
      <c r="N566" s="49"/>
      <c r="O566" s="49"/>
      <c r="P566" s="49"/>
      <c r="Q566" s="49"/>
      <c r="R566" s="49"/>
      <c r="S566" s="50"/>
      <c r="T566" s="50"/>
      <c r="U566" s="50"/>
      <c r="V566" s="51"/>
      <c r="W566" s="51"/>
      <c r="X566" s="51"/>
      <c r="Y566" s="51"/>
    </row>
    <row r="567" customFormat="false" ht="12.75" hidden="false" customHeight="true" outlineLevel="0" collapsed="false">
      <c r="A567" s="45"/>
      <c r="B567" s="46"/>
      <c r="C567" s="46"/>
      <c r="D567" s="46"/>
      <c r="E567" s="46"/>
      <c r="F567" s="47"/>
      <c r="G567" s="48"/>
      <c r="H567" s="48"/>
      <c r="I567" s="48"/>
      <c r="J567" s="48"/>
      <c r="K567" s="48"/>
      <c r="L567" s="48"/>
      <c r="M567" s="49"/>
      <c r="N567" s="49"/>
      <c r="O567" s="49"/>
      <c r="P567" s="49"/>
      <c r="Q567" s="49"/>
      <c r="R567" s="49"/>
      <c r="S567" s="50"/>
      <c r="T567" s="50"/>
      <c r="U567" s="50"/>
      <c r="V567" s="51"/>
      <c r="W567" s="51"/>
      <c r="X567" s="51"/>
      <c r="Y567" s="51"/>
    </row>
    <row r="568" customFormat="false" ht="12.75" hidden="false" customHeight="true" outlineLevel="0" collapsed="false">
      <c r="A568" s="45"/>
      <c r="B568" s="46"/>
      <c r="C568" s="46"/>
      <c r="D568" s="46"/>
      <c r="E568" s="46"/>
      <c r="F568" s="47"/>
      <c r="G568" s="48"/>
      <c r="H568" s="48"/>
      <c r="I568" s="48"/>
      <c r="J568" s="48"/>
      <c r="K568" s="48"/>
      <c r="L568" s="48"/>
      <c r="M568" s="49"/>
      <c r="N568" s="49"/>
      <c r="O568" s="49"/>
      <c r="P568" s="49"/>
      <c r="Q568" s="49"/>
      <c r="R568" s="49"/>
      <c r="S568" s="50"/>
      <c r="T568" s="50"/>
      <c r="U568" s="50"/>
      <c r="V568" s="51"/>
      <c r="W568" s="51"/>
      <c r="X568" s="51"/>
      <c r="Y568" s="51"/>
    </row>
    <row r="569" customFormat="false" ht="12.75" hidden="false" customHeight="true" outlineLevel="0" collapsed="false">
      <c r="A569" s="45"/>
      <c r="B569" s="46"/>
      <c r="C569" s="46"/>
      <c r="D569" s="46"/>
      <c r="E569" s="46"/>
      <c r="F569" s="47"/>
      <c r="G569" s="48"/>
      <c r="H569" s="48"/>
      <c r="I569" s="48"/>
      <c r="J569" s="48"/>
      <c r="K569" s="48"/>
      <c r="L569" s="48"/>
      <c r="M569" s="49"/>
      <c r="N569" s="49"/>
      <c r="O569" s="49"/>
      <c r="P569" s="49"/>
      <c r="Q569" s="49"/>
      <c r="R569" s="49"/>
      <c r="S569" s="50"/>
      <c r="T569" s="50"/>
      <c r="U569" s="50"/>
      <c r="V569" s="51"/>
      <c r="W569" s="51"/>
      <c r="X569" s="51"/>
      <c r="Y569" s="51"/>
    </row>
    <row r="570" customFormat="false" ht="12.75" hidden="false" customHeight="true" outlineLevel="0" collapsed="false">
      <c r="A570" s="45"/>
      <c r="B570" s="46"/>
      <c r="C570" s="46"/>
      <c r="D570" s="46"/>
      <c r="E570" s="46"/>
      <c r="F570" s="47"/>
      <c r="G570" s="48"/>
      <c r="H570" s="48"/>
      <c r="I570" s="48"/>
      <c r="J570" s="48"/>
      <c r="K570" s="48"/>
      <c r="L570" s="48"/>
      <c r="M570" s="49"/>
      <c r="N570" s="49"/>
      <c r="O570" s="49"/>
      <c r="P570" s="49"/>
      <c r="Q570" s="49"/>
      <c r="R570" s="49"/>
      <c r="S570" s="50"/>
      <c r="T570" s="50"/>
      <c r="U570" s="50"/>
      <c r="V570" s="51"/>
      <c r="W570" s="51"/>
      <c r="X570" s="51"/>
      <c r="Y570" s="51"/>
    </row>
    <row r="571" customFormat="false" ht="12.75" hidden="false" customHeight="true" outlineLevel="0" collapsed="false">
      <c r="A571" s="45"/>
      <c r="B571" s="46"/>
      <c r="C571" s="46"/>
      <c r="D571" s="46"/>
      <c r="E571" s="46"/>
      <c r="F571" s="47"/>
      <c r="G571" s="48"/>
      <c r="H571" s="48"/>
      <c r="I571" s="48"/>
      <c r="J571" s="48"/>
      <c r="K571" s="48"/>
      <c r="L571" s="48"/>
      <c r="M571" s="49"/>
      <c r="N571" s="49"/>
      <c r="O571" s="49"/>
      <c r="P571" s="49"/>
      <c r="Q571" s="49"/>
      <c r="R571" s="49"/>
      <c r="S571" s="50"/>
      <c r="T571" s="50"/>
      <c r="U571" s="50"/>
      <c r="V571" s="51"/>
      <c r="W571" s="51"/>
      <c r="X571" s="51"/>
      <c r="Y571" s="51"/>
    </row>
    <row r="572" customFormat="false" ht="12.75" hidden="false" customHeight="true" outlineLevel="0" collapsed="false">
      <c r="A572" s="45"/>
      <c r="B572" s="46"/>
      <c r="C572" s="46"/>
      <c r="D572" s="46"/>
      <c r="E572" s="46"/>
      <c r="F572" s="47"/>
      <c r="G572" s="48"/>
      <c r="H572" s="48"/>
      <c r="I572" s="48"/>
      <c r="J572" s="48"/>
      <c r="K572" s="48"/>
      <c r="L572" s="48"/>
      <c r="M572" s="49"/>
      <c r="N572" s="49"/>
      <c r="O572" s="49"/>
      <c r="P572" s="49"/>
      <c r="Q572" s="49"/>
      <c r="R572" s="49"/>
      <c r="S572" s="50"/>
      <c r="T572" s="50"/>
      <c r="U572" s="50"/>
      <c r="V572" s="51"/>
      <c r="W572" s="51"/>
      <c r="X572" s="51"/>
      <c r="Y572" s="51"/>
    </row>
    <row r="573" customFormat="false" ht="12.75" hidden="false" customHeight="true" outlineLevel="0" collapsed="false">
      <c r="A573" s="45"/>
      <c r="B573" s="46"/>
      <c r="C573" s="46"/>
      <c r="D573" s="46"/>
      <c r="E573" s="46"/>
      <c r="F573" s="47"/>
      <c r="G573" s="48"/>
      <c r="H573" s="48"/>
      <c r="I573" s="48"/>
      <c r="J573" s="48"/>
      <c r="K573" s="48"/>
      <c r="L573" s="48"/>
      <c r="M573" s="49"/>
      <c r="N573" s="49"/>
      <c r="O573" s="49"/>
      <c r="P573" s="49"/>
      <c r="Q573" s="49"/>
      <c r="R573" s="49"/>
      <c r="S573" s="50"/>
      <c r="T573" s="50"/>
      <c r="U573" s="50"/>
      <c r="V573" s="51"/>
      <c r="W573" s="51"/>
      <c r="X573" s="51"/>
      <c r="Y573" s="51"/>
    </row>
    <row r="574" customFormat="false" ht="12.75" hidden="false" customHeight="true" outlineLevel="0" collapsed="false">
      <c r="A574" s="45"/>
      <c r="B574" s="46"/>
      <c r="C574" s="46"/>
      <c r="D574" s="46"/>
      <c r="E574" s="46"/>
      <c r="F574" s="47"/>
      <c r="G574" s="48"/>
      <c r="H574" s="48"/>
      <c r="I574" s="48"/>
      <c r="J574" s="48"/>
      <c r="K574" s="48"/>
      <c r="L574" s="48"/>
      <c r="M574" s="49"/>
      <c r="N574" s="49"/>
      <c r="O574" s="49"/>
      <c r="P574" s="49"/>
      <c r="Q574" s="49"/>
      <c r="R574" s="49"/>
      <c r="S574" s="50"/>
      <c r="T574" s="50"/>
      <c r="U574" s="50"/>
      <c r="V574" s="51"/>
      <c r="W574" s="51"/>
      <c r="X574" s="51"/>
      <c r="Y574" s="51"/>
    </row>
    <row r="575" customFormat="false" ht="12.75" hidden="false" customHeight="true" outlineLevel="0" collapsed="false">
      <c r="A575" s="45"/>
      <c r="B575" s="46"/>
      <c r="C575" s="46"/>
      <c r="D575" s="46"/>
      <c r="E575" s="46"/>
      <c r="F575" s="47"/>
      <c r="G575" s="48"/>
      <c r="H575" s="48"/>
      <c r="I575" s="48"/>
      <c r="J575" s="48"/>
      <c r="K575" s="48"/>
      <c r="L575" s="48"/>
      <c r="M575" s="49"/>
      <c r="N575" s="49"/>
      <c r="O575" s="49"/>
      <c r="P575" s="49"/>
      <c r="Q575" s="49"/>
      <c r="R575" s="49"/>
      <c r="S575" s="50"/>
      <c r="T575" s="50"/>
      <c r="U575" s="50"/>
      <c r="V575" s="51"/>
      <c r="W575" s="51"/>
      <c r="X575" s="51"/>
      <c r="Y575" s="51"/>
    </row>
    <row r="576" customFormat="false" ht="12.75" hidden="false" customHeight="true" outlineLevel="0" collapsed="false">
      <c r="A576" s="45"/>
      <c r="B576" s="46"/>
      <c r="C576" s="46"/>
      <c r="D576" s="46"/>
      <c r="E576" s="46"/>
      <c r="F576" s="47"/>
      <c r="G576" s="48"/>
      <c r="H576" s="48"/>
      <c r="I576" s="48"/>
      <c r="J576" s="48"/>
      <c r="K576" s="48"/>
      <c r="L576" s="48"/>
      <c r="M576" s="49"/>
      <c r="N576" s="49"/>
      <c r="O576" s="49"/>
      <c r="P576" s="49"/>
      <c r="Q576" s="49"/>
      <c r="R576" s="49"/>
      <c r="S576" s="50"/>
      <c r="T576" s="50"/>
      <c r="U576" s="50"/>
      <c r="V576" s="51"/>
      <c r="W576" s="51"/>
      <c r="X576" s="51"/>
      <c r="Y576" s="51"/>
    </row>
    <row r="577" customFormat="false" ht="12.75" hidden="false" customHeight="true" outlineLevel="0" collapsed="false">
      <c r="A577" s="45"/>
      <c r="B577" s="46"/>
      <c r="C577" s="46"/>
      <c r="D577" s="46"/>
      <c r="E577" s="46"/>
      <c r="F577" s="47"/>
      <c r="G577" s="48"/>
      <c r="H577" s="48"/>
      <c r="I577" s="48"/>
      <c r="J577" s="48"/>
      <c r="K577" s="48"/>
      <c r="L577" s="48"/>
      <c r="M577" s="49"/>
      <c r="N577" s="49"/>
      <c r="O577" s="49"/>
      <c r="P577" s="49"/>
      <c r="Q577" s="49"/>
      <c r="R577" s="49"/>
      <c r="S577" s="50"/>
      <c r="T577" s="50"/>
      <c r="U577" s="50"/>
      <c r="V577" s="51"/>
      <c r="W577" s="51"/>
      <c r="X577" s="51"/>
      <c r="Y577" s="51"/>
    </row>
    <row r="578" customFormat="false" ht="12.75" hidden="false" customHeight="true" outlineLevel="0" collapsed="false">
      <c r="A578" s="45"/>
      <c r="B578" s="46"/>
      <c r="C578" s="46"/>
      <c r="D578" s="46"/>
      <c r="E578" s="46"/>
      <c r="F578" s="47"/>
      <c r="G578" s="48"/>
      <c r="H578" s="48"/>
      <c r="I578" s="48"/>
      <c r="J578" s="48"/>
      <c r="K578" s="48"/>
      <c r="L578" s="48"/>
      <c r="M578" s="49"/>
      <c r="N578" s="49"/>
      <c r="O578" s="49"/>
      <c r="P578" s="49"/>
      <c r="Q578" s="49"/>
      <c r="R578" s="49"/>
      <c r="S578" s="50"/>
      <c r="T578" s="50"/>
      <c r="U578" s="50"/>
      <c r="V578" s="51"/>
      <c r="W578" s="51"/>
      <c r="X578" s="51"/>
      <c r="Y578" s="51"/>
    </row>
    <row r="579" customFormat="false" ht="12.75" hidden="false" customHeight="true" outlineLevel="0" collapsed="false">
      <c r="A579" s="45"/>
      <c r="B579" s="46"/>
      <c r="C579" s="46"/>
      <c r="D579" s="46"/>
      <c r="E579" s="46"/>
      <c r="F579" s="47"/>
      <c r="G579" s="48"/>
      <c r="H579" s="48"/>
      <c r="I579" s="48"/>
      <c r="J579" s="48"/>
      <c r="K579" s="48"/>
      <c r="L579" s="48"/>
      <c r="M579" s="49"/>
      <c r="N579" s="49"/>
      <c r="O579" s="49"/>
      <c r="P579" s="49"/>
      <c r="Q579" s="49"/>
      <c r="R579" s="49"/>
      <c r="S579" s="50"/>
      <c r="T579" s="50"/>
      <c r="U579" s="50"/>
      <c r="V579" s="51"/>
      <c r="W579" s="51"/>
      <c r="X579" s="51"/>
      <c r="Y579" s="51"/>
    </row>
    <row r="580" customFormat="false" ht="12.75" hidden="false" customHeight="true" outlineLevel="0" collapsed="false">
      <c r="A580" s="45"/>
      <c r="B580" s="46"/>
      <c r="C580" s="46"/>
      <c r="D580" s="46"/>
      <c r="E580" s="46"/>
      <c r="F580" s="47"/>
      <c r="G580" s="48"/>
      <c r="H580" s="48"/>
      <c r="I580" s="48"/>
      <c r="J580" s="48"/>
      <c r="K580" s="48"/>
      <c r="L580" s="48"/>
      <c r="M580" s="49"/>
      <c r="N580" s="49"/>
      <c r="O580" s="49"/>
      <c r="P580" s="49"/>
      <c r="Q580" s="49"/>
      <c r="R580" s="49"/>
      <c r="S580" s="50"/>
      <c r="T580" s="50"/>
      <c r="U580" s="50"/>
      <c r="V580" s="51"/>
      <c r="W580" s="51"/>
      <c r="X580" s="51"/>
      <c r="Y580" s="51"/>
    </row>
    <row r="581" customFormat="false" ht="12.75" hidden="false" customHeight="true" outlineLevel="0" collapsed="false">
      <c r="A581" s="45"/>
      <c r="B581" s="46"/>
      <c r="C581" s="46"/>
      <c r="D581" s="46"/>
      <c r="E581" s="46"/>
      <c r="F581" s="47"/>
      <c r="G581" s="48"/>
      <c r="H581" s="48"/>
      <c r="I581" s="48"/>
      <c r="J581" s="48"/>
      <c r="K581" s="48"/>
      <c r="L581" s="48"/>
      <c r="M581" s="49"/>
      <c r="N581" s="49"/>
      <c r="O581" s="49"/>
      <c r="P581" s="49"/>
      <c r="Q581" s="49"/>
      <c r="R581" s="49"/>
      <c r="S581" s="50"/>
      <c r="T581" s="50"/>
      <c r="U581" s="50"/>
      <c r="V581" s="51"/>
      <c r="W581" s="51"/>
      <c r="X581" s="51"/>
      <c r="Y581" s="51"/>
    </row>
    <row r="582" customFormat="false" ht="12.75" hidden="false" customHeight="true" outlineLevel="0" collapsed="false">
      <c r="A582" s="45"/>
      <c r="B582" s="46"/>
      <c r="C582" s="46"/>
      <c r="D582" s="46"/>
      <c r="E582" s="46"/>
      <c r="F582" s="47"/>
      <c r="G582" s="48"/>
      <c r="H582" s="48"/>
      <c r="I582" s="48"/>
      <c r="J582" s="48"/>
      <c r="K582" s="48"/>
      <c r="L582" s="48"/>
      <c r="M582" s="49"/>
      <c r="N582" s="49"/>
      <c r="O582" s="49"/>
      <c r="P582" s="49"/>
      <c r="Q582" s="49"/>
      <c r="R582" s="49"/>
      <c r="S582" s="50"/>
      <c r="T582" s="50"/>
      <c r="U582" s="50"/>
      <c r="V582" s="51"/>
      <c r="W582" s="51"/>
      <c r="X582" s="51"/>
      <c r="Y582" s="51"/>
    </row>
    <row r="583" customFormat="false" ht="12.75" hidden="false" customHeight="true" outlineLevel="0" collapsed="false">
      <c r="A583" s="45"/>
      <c r="B583" s="46"/>
      <c r="C583" s="46"/>
      <c r="D583" s="46"/>
      <c r="E583" s="46"/>
      <c r="F583" s="47"/>
      <c r="G583" s="48"/>
      <c r="H583" s="48"/>
      <c r="I583" s="48"/>
      <c r="J583" s="48"/>
      <c r="K583" s="48"/>
      <c r="L583" s="48"/>
      <c r="M583" s="49"/>
      <c r="N583" s="49"/>
      <c r="O583" s="49"/>
      <c r="P583" s="49"/>
      <c r="Q583" s="49"/>
      <c r="R583" s="49"/>
      <c r="S583" s="50"/>
      <c r="T583" s="50"/>
      <c r="U583" s="50"/>
      <c r="V583" s="51"/>
      <c r="W583" s="51"/>
      <c r="X583" s="51"/>
      <c r="Y583" s="51"/>
    </row>
    <row r="584" customFormat="false" ht="12.75" hidden="false" customHeight="true" outlineLevel="0" collapsed="false">
      <c r="A584" s="45"/>
      <c r="B584" s="46"/>
      <c r="C584" s="46"/>
      <c r="D584" s="46"/>
      <c r="E584" s="46"/>
      <c r="F584" s="47"/>
      <c r="G584" s="48"/>
      <c r="H584" s="48"/>
      <c r="I584" s="48"/>
      <c r="J584" s="48"/>
      <c r="K584" s="48"/>
      <c r="L584" s="48"/>
      <c r="M584" s="49"/>
      <c r="N584" s="49"/>
      <c r="O584" s="49"/>
      <c r="P584" s="49"/>
      <c r="Q584" s="49"/>
      <c r="R584" s="49"/>
      <c r="S584" s="50"/>
      <c r="T584" s="50"/>
      <c r="U584" s="50"/>
      <c r="V584" s="51"/>
      <c r="W584" s="51"/>
      <c r="X584" s="51"/>
      <c r="Y584" s="51"/>
    </row>
    <row r="585" customFormat="false" ht="12.75" hidden="false" customHeight="true" outlineLevel="0" collapsed="false">
      <c r="A585" s="45"/>
      <c r="B585" s="46"/>
      <c r="C585" s="46"/>
      <c r="D585" s="46"/>
      <c r="E585" s="46"/>
      <c r="F585" s="47"/>
      <c r="G585" s="48"/>
      <c r="H585" s="48"/>
      <c r="I585" s="48"/>
      <c r="J585" s="48"/>
      <c r="K585" s="48"/>
      <c r="L585" s="48"/>
      <c r="M585" s="49"/>
      <c r="N585" s="49"/>
      <c r="O585" s="49"/>
      <c r="P585" s="49"/>
      <c r="Q585" s="49"/>
      <c r="R585" s="49"/>
      <c r="S585" s="50"/>
      <c r="T585" s="50"/>
      <c r="U585" s="50"/>
      <c r="V585" s="51"/>
      <c r="W585" s="51"/>
      <c r="X585" s="51"/>
      <c r="Y585" s="51"/>
    </row>
    <row r="586" customFormat="false" ht="12.75" hidden="false" customHeight="true" outlineLevel="0" collapsed="false">
      <c r="A586" s="45"/>
      <c r="B586" s="46"/>
      <c r="C586" s="46"/>
      <c r="D586" s="46"/>
      <c r="E586" s="46"/>
      <c r="F586" s="47"/>
      <c r="G586" s="48"/>
      <c r="H586" s="48"/>
      <c r="I586" s="48"/>
      <c r="J586" s="48"/>
      <c r="K586" s="48"/>
      <c r="L586" s="48"/>
      <c r="M586" s="49"/>
      <c r="N586" s="49"/>
      <c r="O586" s="49"/>
      <c r="P586" s="49"/>
      <c r="Q586" s="49"/>
      <c r="R586" s="49"/>
      <c r="S586" s="50"/>
      <c r="T586" s="50"/>
      <c r="U586" s="50"/>
      <c r="V586" s="51"/>
      <c r="W586" s="51"/>
      <c r="X586" s="51"/>
      <c r="Y586" s="51"/>
    </row>
    <row r="587" customFormat="false" ht="12.75" hidden="false" customHeight="true" outlineLevel="0" collapsed="false">
      <c r="A587" s="45"/>
      <c r="B587" s="46"/>
      <c r="C587" s="46"/>
      <c r="D587" s="46"/>
      <c r="E587" s="46"/>
      <c r="F587" s="47"/>
      <c r="G587" s="48"/>
      <c r="H587" s="48"/>
      <c r="I587" s="48"/>
      <c r="J587" s="48"/>
      <c r="K587" s="48"/>
      <c r="L587" s="48"/>
      <c r="M587" s="49"/>
      <c r="N587" s="49"/>
      <c r="O587" s="49"/>
      <c r="P587" s="49"/>
      <c r="Q587" s="49"/>
      <c r="R587" s="49"/>
      <c r="S587" s="50"/>
      <c r="T587" s="50"/>
      <c r="U587" s="50"/>
      <c r="V587" s="51"/>
      <c r="W587" s="51"/>
      <c r="X587" s="51"/>
      <c r="Y587" s="51"/>
    </row>
    <row r="588" customFormat="false" ht="12.75" hidden="false" customHeight="true" outlineLevel="0" collapsed="false">
      <c r="A588" s="45"/>
      <c r="B588" s="46"/>
      <c r="C588" s="46"/>
      <c r="D588" s="46"/>
      <c r="E588" s="46"/>
      <c r="F588" s="47"/>
      <c r="G588" s="48"/>
      <c r="H588" s="48"/>
      <c r="I588" s="48"/>
      <c r="J588" s="48"/>
      <c r="K588" s="48"/>
      <c r="L588" s="48"/>
      <c r="M588" s="49"/>
      <c r="N588" s="49"/>
      <c r="O588" s="49"/>
      <c r="P588" s="49"/>
      <c r="Q588" s="49"/>
      <c r="R588" s="49"/>
      <c r="S588" s="50"/>
      <c r="T588" s="50"/>
      <c r="U588" s="50"/>
      <c r="V588" s="51"/>
      <c r="W588" s="51"/>
      <c r="X588" s="51"/>
      <c r="Y588" s="51"/>
    </row>
    <row r="589" customFormat="false" ht="12.75" hidden="false" customHeight="true" outlineLevel="0" collapsed="false">
      <c r="A589" s="45"/>
      <c r="B589" s="46"/>
      <c r="C589" s="46"/>
      <c r="D589" s="46"/>
      <c r="E589" s="46"/>
      <c r="F589" s="47"/>
      <c r="G589" s="48"/>
      <c r="H589" s="48"/>
      <c r="I589" s="48"/>
      <c r="J589" s="48"/>
      <c r="K589" s="48"/>
      <c r="L589" s="48"/>
      <c r="M589" s="49"/>
      <c r="N589" s="49"/>
      <c r="O589" s="49"/>
      <c r="P589" s="49"/>
      <c r="Q589" s="49"/>
      <c r="R589" s="49"/>
      <c r="S589" s="50"/>
      <c r="T589" s="50"/>
      <c r="U589" s="50"/>
      <c r="V589" s="51"/>
      <c r="W589" s="51"/>
      <c r="X589" s="51"/>
      <c r="Y589" s="51"/>
    </row>
    <row r="590" customFormat="false" ht="12.75" hidden="false" customHeight="true" outlineLevel="0" collapsed="false">
      <c r="A590" s="45"/>
      <c r="B590" s="46"/>
      <c r="C590" s="46"/>
      <c r="D590" s="46"/>
      <c r="E590" s="46"/>
      <c r="F590" s="47"/>
      <c r="G590" s="48"/>
      <c r="H590" s="48"/>
      <c r="I590" s="48"/>
      <c r="J590" s="48"/>
      <c r="K590" s="48"/>
      <c r="L590" s="48"/>
      <c r="M590" s="49"/>
      <c r="N590" s="49"/>
      <c r="O590" s="49"/>
      <c r="P590" s="49"/>
      <c r="Q590" s="49"/>
      <c r="R590" s="49"/>
      <c r="S590" s="50"/>
      <c r="T590" s="50"/>
      <c r="U590" s="50"/>
      <c r="V590" s="51"/>
      <c r="W590" s="51"/>
      <c r="X590" s="51"/>
      <c r="Y590" s="51"/>
    </row>
    <row r="591" customFormat="false" ht="12.75" hidden="false" customHeight="true" outlineLevel="0" collapsed="false">
      <c r="A591" s="45"/>
      <c r="B591" s="46"/>
      <c r="C591" s="46"/>
      <c r="D591" s="46"/>
      <c r="E591" s="46"/>
      <c r="F591" s="47"/>
      <c r="G591" s="48"/>
      <c r="H591" s="48"/>
      <c r="I591" s="48"/>
      <c r="J591" s="48"/>
      <c r="K591" s="48"/>
      <c r="L591" s="48"/>
      <c r="M591" s="49"/>
      <c r="N591" s="49"/>
      <c r="O591" s="49"/>
      <c r="P591" s="49"/>
      <c r="Q591" s="49"/>
      <c r="R591" s="49"/>
      <c r="S591" s="50"/>
      <c r="T591" s="50"/>
      <c r="U591" s="50"/>
      <c r="V591" s="51"/>
      <c r="W591" s="51"/>
      <c r="X591" s="51"/>
      <c r="Y591" s="51"/>
    </row>
    <row r="592" customFormat="false" ht="12.75" hidden="false" customHeight="true" outlineLevel="0" collapsed="false">
      <c r="A592" s="45"/>
      <c r="B592" s="46"/>
      <c r="C592" s="46"/>
      <c r="D592" s="46"/>
      <c r="E592" s="46"/>
      <c r="F592" s="47"/>
      <c r="G592" s="48"/>
      <c r="H592" s="48"/>
      <c r="I592" s="48"/>
      <c r="J592" s="48"/>
      <c r="K592" s="48"/>
      <c r="L592" s="48"/>
      <c r="M592" s="49"/>
      <c r="N592" s="49"/>
      <c r="O592" s="49"/>
      <c r="P592" s="49"/>
      <c r="Q592" s="49"/>
      <c r="R592" s="49"/>
      <c r="S592" s="50"/>
      <c r="T592" s="50"/>
      <c r="U592" s="50"/>
      <c r="V592" s="51"/>
      <c r="W592" s="51"/>
      <c r="X592" s="51"/>
      <c r="Y592" s="51"/>
    </row>
    <row r="593" customFormat="false" ht="12.75" hidden="false" customHeight="true" outlineLevel="0" collapsed="false">
      <c r="A593" s="45"/>
      <c r="B593" s="46"/>
      <c r="C593" s="46"/>
      <c r="D593" s="46"/>
      <c r="E593" s="46"/>
      <c r="F593" s="47"/>
      <c r="G593" s="48"/>
      <c r="H593" s="48"/>
      <c r="I593" s="48"/>
      <c r="J593" s="48"/>
      <c r="K593" s="48"/>
      <c r="L593" s="48"/>
      <c r="M593" s="49"/>
      <c r="N593" s="49"/>
      <c r="O593" s="49"/>
      <c r="P593" s="49"/>
      <c r="Q593" s="49"/>
      <c r="R593" s="49"/>
      <c r="S593" s="50"/>
      <c r="T593" s="50"/>
      <c r="U593" s="50"/>
      <c r="V593" s="51"/>
      <c r="W593" s="51"/>
      <c r="X593" s="51"/>
      <c r="Y593" s="51"/>
    </row>
    <row r="594" customFormat="false" ht="12.75" hidden="false" customHeight="true" outlineLevel="0" collapsed="false">
      <c r="A594" s="45"/>
      <c r="B594" s="46"/>
      <c r="C594" s="46"/>
      <c r="D594" s="46"/>
      <c r="E594" s="46"/>
      <c r="F594" s="47"/>
      <c r="G594" s="48"/>
      <c r="H594" s="48"/>
      <c r="I594" s="48"/>
      <c r="J594" s="48"/>
      <c r="K594" s="48"/>
      <c r="L594" s="48"/>
      <c r="M594" s="49"/>
      <c r="N594" s="49"/>
      <c r="O594" s="49"/>
      <c r="P594" s="49"/>
      <c r="Q594" s="49"/>
      <c r="R594" s="49"/>
      <c r="S594" s="50"/>
      <c r="T594" s="50"/>
      <c r="U594" s="50"/>
      <c r="V594" s="51"/>
      <c r="W594" s="51"/>
      <c r="X594" s="51"/>
      <c r="Y594" s="51"/>
    </row>
    <row r="595" customFormat="false" ht="12.75" hidden="false" customHeight="true" outlineLevel="0" collapsed="false">
      <c r="A595" s="45"/>
      <c r="B595" s="46"/>
      <c r="C595" s="46"/>
      <c r="D595" s="46"/>
      <c r="E595" s="46"/>
      <c r="F595" s="47"/>
      <c r="G595" s="48"/>
      <c r="H595" s="48"/>
      <c r="I595" s="48"/>
      <c r="J595" s="48"/>
      <c r="K595" s="48"/>
      <c r="L595" s="48"/>
      <c r="M595" s="49"/>
      <c r="N595" s="49"/>
      <c r="O595" s="49"/>
      <c r="P595" s="49"/>
      <c r="Q595" s="49"/>
      <c r="R595" s="49"/>
      <c r="S595" s="50"/>
      <c r="T595" s="50"/>
      <c r="U595" s="50"/>
      <c r="V595" s="51"/>
      <c r="W595" s="51"/>
      <c r="X595" s="51"/>
      <c r="Y595" s="51"/>
    </row>
    <row r="596" customFormat="false" ht="12.75" hidden="false" customHeight="true" outlineLevel="0" collapsed="false">
      <c r="A596" s="45"/>
      <c r="B596" s="46"/>
      <c r="C596" s="46"/>
      <c r="D596" s="46"/>
      <c r="E596" s="46"/>
      <c r="F596" s="47"/>
      <c r="G596" s="48"/>
      <c r="H596" s="48"/>
      <c r="I596" s="48"/>
      <c r="J596" s="48"/>
      <c r="K596" s="48"/>
      <c r="L596" s="48"/>
      <c r="M596" s="49"/>
      <c r="N596" s="49"/>
      <c r="O596" s="49"/>
      <c r="P596" s="49"/>
      <c r="Q596" s="49"/>
      <c r="R596" s="49"/>
      <c r="S596" s="50"/>
      <c r="T596" s="50"/>
      <c r="U596" s="50"/>
      <c r="V596" s="51"/>
      <c r="W596" s="51"/>
      <c r="X596" s="51"/>
      <c r="Y596" s="51"/>
    </row>
    <row r="597" customFormat="false" ht="12.75" hidden="false" customHeight="true" outlineLevel="0" collapsed="false">
      <c r="A597" s="45"/>
      <c r="B597" s="46"/>
      <c r="C597" s="46"/>
      <c r="D597" s="46"/>
      <c r="E597" s="46"/>
      <c r="F597" s="47"/>
      <c r="G597" s="48"/>
      <c r="H597" s="48"/>
      <c r="I597" s="48"/>
      <c r="J597" s="48"/>
      <c r="K597" s="48"/>
      <c r="L597" s="48"/>
      <c r="M597" s="49"/>
      <c r="N597" s="49"/>
      <c r="O597" s="49"/>
      <c r="P597" s="49"/>
      <c r="Q597" s="49"/>
      <c r="R597" s="49"/>
      <c r="S597" s="50"/>
      <c r="T597" s="50"/>
      <c r="U597" s="50"/>
      <c r="V597" s="51"/>
      <c r="W597" s="51"/>
      <c r="X597" s="51"/>
      <c r="Y597" s="51"/>
    </row>
    <row r="598" customFormat="false" ht="12.75" hidden="false" customHeight="true" outlineLevel="0" collapsed="false">
      <c r="A598" s="45"/>
      <c r="B598" s="46"/>
      <c r="C598" s="46"/>
      <c r="D598" s="46"/>
      <c r="E598" s="46"/>
      <c r="F598" s="47"/>
      <c r="G598" s="48"/>
      <c r="H598" s="48"/>
      <c r="I598" s="48"/>
      <c r="J598" s="48"/>
      <c r="K598" s="48"/>
      <c r="L598" s="48"/>
      <c r="M598" s="49"/>
      <c r="N598" s="49"/>
      <c r="O598" s="49"/>
      <c r="P598" s="49"/>
      <c r="Q598" s="49"/>
      <c r="R598" s="49"/>
      <c r="S598" s="50"/>
      <c r="T598" s="50"/>
      <c r="U598" s="50"/>
      <c r="V598" s="51"/>
      <c r="W598" s="51"/>
      <c r="X598" s="51"/>
      <c r="Y598" s="51"/>
    </row>
    <row r="599" customFormat="false" ht="12.75" hidden="false" customHeight="true" outlineLevel="0" collapsed="false">
      <c r="A599" s="45"/>
      <c r="B599" s="46"/>
      <c r="C599" s="46"/>
      <c r="D599" s="46"/>
      <c r="E599" s="46"/>
      <c r="F599" s="47"/>
      <c r="G599" s="48"/>
      <c r="H599" s="48"/>
      <c r="I599" s="48"/>
      <c r="J599" s="48"/>
      <c r="K599" s="48"/>
      <c r="L599" s="48"/>
      <c r="M599" s="49"/>
      <c r="N599" s="49"/>
      <c r="O599" s="49"/>
      <c r="P599" s="49"/>
      <c r="Q599" s="49"/>
      <c r="R599" s="49"/>
      <c r="S599" s="50"/>
      <c r="T599" s="50"/>
      <c r="U599" s="50"/>
      <c r="V599" s="51"/>
      <c r="W599" s="51"/>
      <c r="X599" s="51"/>
      <c r="Y599" s="51"/>
    </row>
    <row r="600" customFormat="false" ht="12.75" hidden="false" customHeight="true" outlineLevel="0" collapsed="false">
      <c r="A600" s="45"/>
      <c r="B600" s="46"/>
      <c r="C600" s="46"/>
      <c r="D600" s="46"/>
      <c r="E600" s="46"/>
      <c r="F600" s="47"/>
      <c r="G600" s="48"/>
      <c r="H600" s="48"/>
      <c r="I600" s="48"/>
      <c r="J600" s="48"/>
      <c r="K600" s="48"/>
      <c r="L600" s="48"/>
      <c r="M600" s="49"/>
      <c r="N600" s="49"/>
      <c r="O600" s="49"/>
      <c r="P600" s="49"/>
      <c r="Q600" s="49"/>
      <c r="R600" s="49"/>
      <c r="S600" s="50"/>
      <c r="T600" s="50"/>
      <c r="U600" s="50"/>
      <c r="V600" s="51"/>
      <c r="W600" s="51"/>
      <c r="X600" s="51"/>
      <c r="Y600" s="51"/>
    </row>
    <row r="601" customFormat="false" ht="12.75" hidden="false" customHeight="true" outlineLevel="0" collapsed="false">
      <c r="A601" s="45"/>
      <c r="B601" s="46"/>
      <c r="C601" s="46"/>
      <c r="D601" s="46"/>
      <c r="E601" s="46"/>
      <c r="F601" s="47"/>
      <c r="G601" s="48"/>
      <c r="H601" s="48"/>
      <c r="I601" s="48"/>
      <c r="J601" s="48"/>
      <c r="K601" s="48"/>
      <c r="L601" s="48"/>
      <c r="M601" s="49"/>
      <c r="N601" s="49"/>
      <c r="O601" s="49"/>
      <c r="P601" s="49"/>
      <c r="Q601" s="49"/>
      <c r="R601" s="49"/>
      <c r="S601" s="50"/>
      <c r="T601" s="50"/>
      <c r="U601" s="50"/>
      <c r="V601" s="51"/>
      <c r="W601" s="51"/>
      <c r="X601" s="51"/>
      <c r="Y601" s="51"/>
    </row>
    <row r="602" customFormat="false" ht="12.75" hidden="false" customHeight="true" outlineLevel="0" collapsed="false">
      <c r="A602" s="45"/>
      <c r="B602" s="46"/>
      <c r="C602" s="46"/>
      <c r="D602" s="46"/>
      <c r="E602" s="46"/>
      <c r="F602" s="47"/>
      <c r="G602" s="48"/>
      <c r="H602" s="48"/>
      <c r="I602" s="48"/>
      <c r="J602" s="48"/>
      <c r="K602" s="48"/>
      <c r="L602" s="48"/>
      <c r="M602" s="49"/>
      <c r="N602" s="49"/>
      <c r="O602" s="49"/>
      <c r="P602" s="49"/>
      <c r="Q602" s="49"/>
      <c r="R602" s="49"/>
      <c r="S602" s="50"/>
      <c r="T602" s="50"/>
      <c r="U602" s="50"/>
      <c r="V602" s="51"/>
      <c r="W602" s="51"/>
      <c r="X602" s="51"/>
      <c r="Y602" s="51"/>
    </row>
    <row r="603" customFormat="false" ht="12.75" hidden="false" customHeight="true" outlineLevel="0" collapsed="false">
      <c r="A603" s="45"/>
      <c r="B603" s="46"/>
      <c r="C603" s="46"/>
      <c r="D603" s="46"/>
      <c r="E603" s="46"/>
      <c r="F603" s="47"/>
      <c r="G603" s="48"/>
      <c r="H603" s="48"/>
      <c r="I603" s="48"/>
      <c r="J603" s="48"/>
      <c r="K603" s="48"/>
      <c r="L603" s="48"/>
      <c r="M603" s="49"/>
      <c r="N603" s="49"/>
      <c r="O603" s="49"/>
      <c r="P603" s="49"/>
      <c r="Q603" s="49"/>
      <c r="R603" s="49"/>
      <c r="S603" s="50"/>
      <c r="T603" s="50"/>
      <c r="U603" s="50"/>
      <c r="V603" s="51"/>
      <c r="W603" s="51"/>
      <c r="X603" s="51"/>
      <c r="Y603" s="51"/>
    </row>
    <row r="604" customFormat="false" ht="12.75" hidden="false" customHeight="true" outlineLevel="0" collapsed="false">
      <c r="A604" s="45"/>
      <c r="B604" s="46"/>
      <c r="C604" s="46"/>
      <c r="D604" s="46"/>
      <c r="E604" s="46"/>
      <c r="F604" s="47"/>
      <c r="G604" s="48"/>
      <c r="H604" s="48"/>
      <c r="I604" s="48"/>
      <c r="J604" s="48"/>
      <c r="K604" s="48"/>
      <c r="L604" s="48"/>
      <c r="M604" s="49"/>
      <c r="N604" s="49"/>
      <c r="O604" s="49"/>
      <c r="P604" s="49"/>
      <c r="Q604" s="49"/>
      <c r="R604" s="49"/>
      <c r="S604" s="50"/>
      <c r="T604" s="50"/>
      <c r="U604" s="50"/>
      <c r="V604" s="51"/>
      <c r="W604" s="51"/>
      <c r="X604" s="51"/>
      <c r="Y604" s="51"/>
    </row>
    <row r="605" customFormat="false" ht="12.75" hidden="false" customHeight="true" outlineLevel="0" collapsed="false">
      <c r="A605" s="45"/>
      <c r="B605" s="46"/>
      <c r="C605" s="46"/>
      <c r="D605" s="46"/>
      <c r="E605" s="46"/>
      <c r="F605" s="47"/>
      <c r="G605" s="48"/>
      <c r="H605" s="48"/>
      <c r="I605" s="48"/>
      <c r="J605" s="48"/>
      <c r="K605" s="48"/>
      <c r="L605" s="48"/>
      <c r="M605" s="49"/>
      <c r="N605" s="49"/>
      <c r="O605" s="49"/>
      <c r="P605" s="49"/>
      <c r="Q605" s="49"/>
      <c r="R605" s="49"/>
      <c r="S605" s="50"/>
      <c r="T605" s="50"/>
      <c r="U605" s="50"/>
      <c r="V605" s="51"/>
      <c r="W605" s="51"/>
      <c r="X605" s="51"/>
      <c r="Y605" s="51"/>
    </row>
    <row r="606" customFormat="false" ht="12.75" hidden="false" customHeight="true" outlineLevel="0" collapsed="false">
      <c r="A606" s="45"/>
      <c r="B606" s="46"/>
      <c r="C606" s="46"/>
      <c r="D606" s="46"/>
      <c r="E606" s="46"/>
      <c r="F606" s="47"/>
      <c r="G606" s="48"/>
      <c r="H606" s="48"/>
      <c r="I606" s="48"/>
      <c r="J606" s="48"/>
      <c r="K606" s="48"/>
      <c r="L606" s="48"/>
      <c r="M606" s="49"/>
      <c r="N606" s="49"/>
      <c r="O606" s="49"/>
      <c r="P606" s="49"/>
      <c r="Q606" s="49"/>
      <c r="R606" s="49"/>
      <c r="S606" s="50"/>
      <c r="T606" s="50"/>
      <c r="U606" s="50"/>
      <c r="V606" s="51"/>
      <c r="W606" s="51"/>
      <c r="X606" s="51"/>
      <c r="Y606" s="51"/>
    </row>
    <row r="607" customFormat="false" ht="12.75" hidden="false" customHeight="true" outlineLevel="0" collapsed="false">
      <c r="A607" s="45"/>
      <c r="B607" s="46"/>
      <c r="C607" s="46"/>
      <c r="D607" s="46"/>
      <c r="E607" s="46"/>
      <c r="F607" s="47"/>
      <c r="G607" s="48"/>
      <c r="H607" s="48"/>
      <c r="I607" s="48"/>
      <c r="J607" s="48"/>
      <c r="K607" s="48"/>
      <c r="L607" s="48"/>
      <c r="M607" s="49"/>
      <c r="N607" s="49"/>
      <c r="O607" s="49"/>
      <c r="P607" s="49"/>
      <c r="Q607" s="49"/>
      <c r="R607" s="49"/>
      <c r="S607" s="50"/>
      <c r="T607" s="50"/>
      <c r="U607" s="50"/>
      <c r="V607" s="51"/>
      <c r="W607" s="51"/>
      <c r="X607" s="51"/>
      <c r="Y607" s="51"/>
    </row>
    <row r="608" customFormat="false" ht="12.75" hidden="false" customHeight="true" outlineLevel="0" collapsed="false">
      <c r="A608" s="45"/>
      <c r="B608" s="46"/>
      <c r="C608" s="46"/>
      <c r="D608" s="46"/>
      <c r="E608" s="46"/>
      <c r="F608" s="47"/>
      <c r="G608" s="48"/>
      <c r="H608" s="48"/>
      <c r="I608" s="48"/>
      <c r="J608" s="48"/>
      <c r="K608" s="48"/>
      <c r="L608" s="48"/>
      <c r="M608" s="49"/>
      <c r="N608" s="49"/>
      <c r="O608" s="49"/>
      <c r="P608" s="49"/>
      <c r="Q608" s="49"/>
      <c r="R608" s="49"/>
      <c r="S608" s="50"/>
      <c r="T608" s="50"/>
      <c r="U608" s="50"/>
      <c r="V608" s="51"/>
      <c r="W608" s="51"/>
      <c r="X608" s="51"/>
      <c r="Y608" s="51"/>
    </row>
    <row r="609" customFormat="false" ht="12.75" hidden="false" customHeight="true" outlineLevel="0" collapsed="false">
      <c r="A609" s="45"/>
      <c r="B609" s="46"/>
      <c r="C609" s="46"/>
      <c r="D609" s="46"/>
      <c r="E609" s="46"/>
      <c r="F609" s="47"/>
      <c r="G609" s="48"/>
      <c r="H609" s="48"/>
      <c r="I609" s="48"/>
      <c r="J609" s="48"/>
      <c r="K609" s="48"/>
      <c r="L609" s="48"/>
      <c r="M609" s="49"/>
      <c r="N609" s="49"/>
      <c r="O609" s="49"/>
      <c r="P609" s="49"/>
      <c r="Q609" s="49"/>
      <c r="R609" s="49"/>
      <c r="S609" s="50"/>
      <c r="T609" s="50"/>
      <c r="U609" s="50"/>
      <c r="V609" s="51"/>
      <c r="W609" s="51"/>
      <c r="X609" s="51"/>
      <c r="Y609" s="51"/>
    </row>
    <row r="610" customFormat="false" ht="12.75" hidden="false" customHeight="true" outlineLevel="0" collapsed="false">
      <c r="A610" s="45"/>
      <c r="B610" s="46"/>
      <c r="C610" s="46"/>
      <c r="D610" s="46"/>
      <c r="E610" s="46"/>
      <c r="F610" s="47"/>
      <c r="G610" s="48"/>
      <c r="H610" s="48"/>
      <c r="I610" s="48"/>
      <c r="J610" s="48"/>
      <c r="K610" s="48"/>
      <c r="L610" s="48"/>
      <c r="M610" s="49"/>
      <c r="N610" s="49"/>
      <c r="O610" s="49"/>
      <c r="P610" s="49"/>
      <c r="Q610" s="49"/>
      <c r="R610" s="49"/>
      <c r="S610" s="50"/>
      <c r="T610" s="50"/>
      <c r="U610" s="50"/>
      <c r="V610" s="51"/>
      <c r="W610" s="51"/>
      <c r="X610" s="51"/>
      <c r="Y610" s="51"/>
    </row>
    <row r="611" customFormat="false" ht="12.75" hidden="false" customHeight="true" outlineLevel="0" collapsed="false">
      <c r="A611" s="45"/>
      <c r="B611" s="46"/>
      <c r="C611" s="46"/>
      <c r="D611" s="46"/>
      <c r="E611" s="46"/>
      <c r="F611" s="47"/>
      <c r="G611" s="48"/>
      <c r="H611" s="48"/>
      <c r="I611" s="48"/>
      <c r="J611" s="48"/>
      <c r="K611" s="48"/>
      <c r="L611" s="48"/>
      <c r="M611" s="49"/>
      <c r="N611" s="49"/>
      <c r="O611" s="49"/>
      <c r="P611" s="49"/>
      <c r="Q611" s="49"/>
      <c r="R611" s="49"/>
      <c r="S611" s="50"/>
      <c r="T611" s="50"/>
      <c r="U611" s="50"/>
      <c r="V611" s="51"/>
      <c r="W611" s="51"/>
      <c r="X611" s="51"/>
      <c r="Y611" s="51"/>
    </row>
    <row r="612" customFormat="false" ht="12.75" hidden="false" customHeight="true" outlineLevel="0" collapsed="false">
      <c r="A612" s="45"/>
      <c r="B612" s="46"/>
      <c r="C612" s="46"/>
      <c r="D612" s="46"/>
      <c r="E612" s="46"/>
      <c r="F612" s="47"/>
      <c r="G612" s="48"/>
      <c r="H612" s="48"/>
      <c r="I612" s="48"/>
      <c r="J612" s="48"/>
      <c r="K612" s="48"/>
      <c r="L612" s="48"/>
      <c r="M612" s="49"/>
      <c r="N612" s="49"/>
      <c r="O612" s="49"/>
      <c r="P612" s="49"/>
      <c r="Q612" s="49"/>
      <c r="R612" s="49"/>
      <c r="S612" s="50"/>
      <c r="T612" s="50"/>
      <c r="U612" s="50"/>
      <c r="V612" s="51"/>
      <c r="W612" s="51"/>
      <c r="X612" s="51"/>
      <c r="Y612" s="51"/>
    </row>
    <row r="613" customFormat="false" ht="12.75" hidden="false" customHeight="true" outlineLevel="0" collapsed="false">
      <c r="A613" s="45"/>
      <c r="B613" s="46"/>
      <c r="C613" s="46"/>
      <c r="D613" s="46"/>
      <c r="E613" s="46"/>
      <c r="F613" s="47"/>
      <c r="G613" s="48"/>
      <c r="H613" s="48"/>
      <c r="I613" s="48"/>
      <c r="J613" s="48"/>
      <c r="K613" s="48"/>
      <c r="L613" s="48"/>
      <c r="M613" s="49"/>
      <c r="N613" s="49"/>
      <c r="O613" s="49"/>
      <c r="P613" s="49"/>
      <c r="Q613" s="49"/>
      <c r="R613" s="49"/>
      <c r="S613" s="50"/>
      <c r="T613" s="50"/>
      <c r="U613" s="50"/>
      <c r="V613" s="51"/>
      <c r="W613" s="51"/>
      <c r="X613" s="51"/>
      <c r="Y613" s="51"/>
    </row>
    <row r="614" customFormat="false" ht="12.75" hidden="false" customHeight="true" outlineLevel="0" collapsed="false">
      <c r="A614" s="45"/>
      <c r="B614" s="46"/>
      <c r="C614" s="46"/>
      <c r="D614" s="46"/>
      <c r="E614" s="46"/>
      <c r="F614" s="47"/>
      <c r="G614" s="48"/>
      <c r="H614" s="48"/>
      <c r="I614" s="48"/>
      <c r="J614" s="48"/>
      <c r="K614" s="48"/>
      <c r="L614" s="48"/>
      <c r="M614" s="49"/>
      <c r="N614" s="49"/>
      <c r="O614" s="49"/>
      <c r="P614" s="49"/>
      <c r="Q614" s="49"/>
      <c r="R614" s="49"/>
      <c r="S614" s="50"/>
      <c r="T614" s="50"/>
      <c r="U614" s="50"/>
      <c r="V614" s="51"/>
      <c r="W614" s="51"/>
      <c r="X614" s="51"/>
      <c r="Y614" s="51"/>
    </row>
    <row r="615" customFormat="false" ht="12.75" hidden="false" customHeight="true" outlineLevel="0" collapsed="false">
      <c r="A615" s="45"/>
      <c r="B615" s="46"/>
      <c r="C615" s="46"/>
      <c r="D615" s="46"/>
      <c r="E615" s="46"/>
      <c r="F615" s="47"/>
      <c r="G615" s="48"/>
      <c r="H615" s="48"/>
      <c r="I615" s="48"/>
      <c r="J615" s="48"/>
      <c r="K615" s="48"/>
      <c r="L615" s="48"/>
      <c r="M615" s="49"/>
      <c r="N615" s="49"/>
      <c r="O615" s="49"/>
      <c r="P615" s="49"/>
      <c r="Q615" s="49"/>
      <c r="R615" s="49"/>
      <c r="S615" s="50"/>
      <c r="T615" s="50"/>
      <c r="U615" s="50"/>
      <c r="V615" s="51"/>
      <c r="W615" s="51"/>
      <c r="X615" s="51"/>
      <c r="Y615" s="51"/>
    </row>
    <row r="616" customFormat="false" ht="12.75" hidden="false" customHeight="true" outlineLevel="0" collapsed="false">
      <c r="A616" s="45"/>
      <c r="B616" s="46"/>
      <c r="C616" s="46"/>
      <c r="D616" s="46"/>
      <c r="E616" s="46"/>
      <c r="F616" s="47"/>
      <c r="G616" s="48"/>
      <c r="H616" s="48"/>
      <c r="I616" s="48"/>
      <c r="J616" s="48"/>
      <c r="K616" s="48"/>
      <c r="L616" s="48"/>
      <c r="M616" s="49"/>
      <c r="N616" s="49"/>
      <c r="O616" s="49"/>
      <c r="P616" s="49"/>
      <c r="Q616" s="49"/>
      <c r="R616" s="49"/>
      <c r="S616" s="50"/>
      <c r="T616" s="50"/>
      <c r="U616" s="50"/>
      <c r="V616" s="51"/>
      <c r="W616" s="51"/>
      <c r="X616" s="51"/>
      <c r="Y616" s="51"/>
    </row>
    <row r="617" customFormat="false" ht="12.75" hidden="false" customHeight="true" outlineLevel="0" collapsed="false">
      <c r="A617" s="45"/>
      <c r="B617" s="46"/>
      <c r="C617" s="46"/>
      <c r="D617" s="46"/>
      <c r="E617" s="46"/>
      <c r="F617" s="47"/>
      <c r="G617" s="48"/>
      <c r="H617" s="48"/>
      <c r="I617" s="48"/>
      <c r="J617" s="48"/>
      <c r="K617" s="48"/>
      <c r="L617" s="48"/>
      <c r="M617" s="49"/>
      <c r="N617" s="49"/>
      <c r="O617" s="49"/>
      <c r="P617" s="49"/>
      <c r="Q617" s="49"/>
      <c r="R617" s="49"/>
      <c r="S617" s="50"/>
      <c r="T617" s="50"/>
      <c r="U617" s="50"/>
      <c r="V617" s="51"/>
      <c r="W617" s="51"/>
      <c r="X617" s="51"/>
      <c r="Y617" s="51"/>
    </row>
    <row r="618" customFormat="false" ht="12.75" hidden="false" customHeight="true" outlineLevel="0" collapsed="false">
      <c r="A618" s="45"/>
      <c r="B618" s="46"/>
      <c r="C618" s="46"/>
      <c r="D618" s="46"/>
      <c r="E618" s="46"/>
      <c r="F618" s="47"/>
      <c r="G618" s="48"/>
      <c r="H618" s="48"/>
      <c r="I618" s="48"/>
      <c r="J618" s="48"/>
      <c r="K618" s="48"/>
      <c r="L618" s="48"/>
      <c r="M618" s="49"/>
      <c r="N618" s="49"/>
      <c r="O618" s="49"/>
      <c r="P618" s="49"/>
      <c r="Q618" s="49"/>
      <c r="R618" s="49"/>
      <c r="S618" s="50"/>
      <c r="T618" s="50"/>
      <c r="U618" s="50"/>
      <c r="V618" s="51"/>
      <c r="W618" s="51"/>
      <c r="X618" s="51"/>
      <c r="Y618" s="51"/>
    </row>
    <row r="619" customFormat="false" ht="12.75" hidden="false" customHeight="true" outlineLevel="0" collapsed="false">
      <c r="A619" s="45"/>
      <c r="B619" s="46"/>
      <c r="C619" s="46"/>
      <c r="D619" s="46"/>
      <c r="E619" s="46"/>
      <c r="F619" s="47"/>
      <c r="G619" s="48"/>
      <c r="H619" s="48"/>
      <c r="I619" s="48"/>
      <c r="J619" s="48"/>
      <c r="K619" s="48"/>
      <c r="L619" s="48"/>
      <c r="M619" s="49"/>
      <c r="N619" s="49"/>
      <c r="O619" s="49"/>
      <c r="P619" s="49"/>
      <c r="Q619" s="49"/>
      <c r="R619" s="49"/>
      <c r="S619" s="50"/>
      <c r="T619" s="50"/>
      <c r="U619" s="50"/>
      <c r="V619" s="51"/>
      <c r="W619" s="51"/>
      <c r="X619" s="51"/>
      <c r="Y619" s="51"/>
    </row>
    <row r="620" customFormat="false" ht="12.75" hidden="false" customHeight="true" outlineLevel="0" collapsed="false">
      <c r="A620" s="45"/>
      <c r="B620" s="46"/>
      <c r="C620" s="46"/>
      <c r="D620" s="46"/>
      <c r="E620" s="46"/>
      <c r="F620" s="47"/>
      <c r="G620" s="48"/>
      <c r="H620" s="48"/>
      <c r="I620" s="48"/>
      <c r="J620" s="48"/>
      <c r="K620" s="48"/>
      <c r="L620" s="48"/>
      <c r="M620" s="49"/>
      <c r="N620" s="49"/>
      <c r="O620" s="49"/>
      <c r="P620" s="49"/>
      <c r="Q620" s="49"/>
      <c r="R620" s="49"/>
      <c r="S620" s="50"/>
      <c r="T620" s="50"/>
      <c r="U620" s="50"/>
      <c r="V620" s="51"/>
      <c r="W620" s="51"/>
      <c r="X620" s="51"/>
      <c r="Y620" s="51"/>
    </row>
    <row r="621" customFormat="false" ht="12.75" hidden="false" customHeight="true" outlineLevel="0" collapsed="false">
      <c r="A621" s="45"/>
      <c r="B621" s="46"/>
      <c r="C621" s="46"/>
      <c r="D621" s="46"/>
      <c r="E621" s="46"/>
      <c r="F621" s="47"/>
      <c r="G621" s="48"/>
      <c r="H621" s="48"/>
      <c r="I621" s="48"/>
      <c r="J621" s="48"/>
      <c r="K621" s="48"/>
      <c r="L621" s="48"/>
      <c r="M621" s="49"/>
      <c r="N621" s="49"/>
      <c r="O621" s="49"/>
      <c r="P621" s="49"/>
      <c r="Q621" s="49"/>
      <c r="R621" s="49"/>
      <c r="S621" s="50"/>
      <c r="T621" s="50"/>
      <c r="U621" s="50"/>
      <c r="V621" s="51"/>
      <c r="W621" s="51"/>
      <c r="X621" s="51"/>
      <c r="Y621" s="51"/>
    </row>
    <row r="622" customFormat="false" ht="12.75" hidden="false" customHeight="true" outlineLevel="0" collapsed="false">
      <c r="A622" s="45"/>
      <c r="B622" s="46"/>
      <c r="C622" s="46"/>
      <c r="D622" s="46"/>
      <c r="E622" s="46"/>
      <c r="F622" s="47"/>
      <c r="G622" s="48"/>
      <c r="H622" s="48"/>
      <c r="I622" s="48"/>
      <c r="J622" s="48"/>
      <c r="K622" s="48"/>
      <c r="L622" s="48"/>
      <c r="M622" s="49"/>
      <c r="N622" s="49"/>
      <c r="O622" s="49"/>
      <c r="P622" s="49"/>
      <c r="Q622" s="49"/>
      <c r="R622" s="49"/>
      <c r="S622" s="50"/>
      <c r="T622" s="50"/>
      <c r="U622" s="50"/>
      <c r="V622" s="51"/>
      <c r="W622" s="51"/>
      <c r="X622" s="51"/>
      <c r="Y622" s="51"/>
    </row>
    <row r="623" customFormat="false" ht="12.75" hidden="false" customHeight="true" outlineLevel="0" collapsed="false">
      <c r="A623" s="45"/>
      <c r="B623" s="46"/>
      <c r="C623" s="46"/>
      <c r="D623" s="46"/>
      <c r="E623" s="46"/>
      <c r="F623" s="47"/>
      <c r="G623" s="48"/>
      <c r="H623" s="48"/>
      <c r="I623" s="48"/>
      <c r="J623" s="48"/>
      <c r="K623" s="48"/>
      <c r="L623" s="48"/>
      <c r="M623" s="49"/>
      <c r="N623" s="49"/>
      <c r="O623" s="49"/>
      <c r="P623" s="49"/>
      <c r="Q623" s="49"/>
      <c r="R623" s="49"/>
      <c r="S623" s="50"/>
      <c r="T623" s="50"/>
      <c r="U623" s="50"/>
      <c r="V623" s="51"/>
      <c r="W623" s="51"/>
      <c r="X623" s="51"/>
      <c r="Y623" s="51"/>
    </row>
    <row r="624" customFormat="false" ht="12.75" hidden="false" customHeight="true" outlineLevel="0" collapsed="false">
      <c r="A624" s="45"/>
      <c r="B624" s="46"/>
      <c r="C624" s="46"/>
      <c r="D624" s="46"/>
      <c r="E624" s="46"/>
      <c r="F624" s="47"/>
      <c r="G624" s="48"/>
      <c r="H624" s="48"/>
      <c r="I624" s="48"/>
      <c r="J624" s="48"/>
      <c r="K624" s="48"/>
      <c r="L624" s="48"/>
      <c r="M624" s="49"/>
      <c r="N624" s="49"/>
      <c r="O624" s="49"/>
      <c r="P624" s="49"/>
      <c r="Q624" s="49"/>
      <c r="R624" s="49"/>
      <c r="S624" s="50"/>
      <c r="T624" s="50"/>
      <c r="U624" s="50"/>
      <c r="V624" s="51"/>
      <c r="W624" s="51"/>
      <c r="X624" s="51"/>
      <c r="Y624" s="51"/>
    </row>
    <row r="625" customFormat="false" ht="12.75" hidden="false" customHeight="true" outlineLevel="0" collapsed="false">
      <c r="A625" s="45"/>
      <c r="B625" s="46"/>
      <c r="C625" s="46"/>
      <c r="D625" s="46"/>
      <c r="E625" s="46"/>
      <c r="F625" s="47"/>
      <c r="G625" s="48"/>
      <c r="H625" s="48"/>
      <c r="I625" s="48"/>
      <c r="J625" s="48"/>
      <c r="K625" s="48"/>
      <c r="L625" s="48"/>
      <c r="M625" s="49"/>
      <c r="N625" s="49"/>
      <c r="O625" s="49"/>
      <c r="P625" s="49"/>
      <c r="Q625" s="49"/>
      <c r="R625" s="49"/>
      <c r="S625" s="50"/>
      <c r="T625" s="50"/>
      <c r="U625" s="50"/>
      <c r="V625" s="51"/>
      <c r="W625" s="51"/>
      <c r="X625" s="51"/>
      <c r="Y625" s="51"/>
    </row>
    <row r="626" customFormat="false" ht="12.75" hidden="false" customHeight="true" outlineLevel="0" collapsed="false">
      <c r="A626" s="45"/>
      <c r="B626" s="46"/>
      <c r="C626" s="46"/>
      <c r="D626" s="46"/>
      <c r="E626" s="46"/>
      <c r="F626" s="47"/>
      <c r="G626" s="48"/>
      <c r="H626" s="48"/>
      <c r="I626" s="48"/>
      <c r="J626" s="48"/>
      <c r="K626" s="48"/>
      <c r="L626" s="48"/>
      <c r="M626" s="49"/>
      <c r="N626" s="49"/>
      <c r="O626" s="49"/>
      <c r="P626" s="49"/>
      <c r="Q626" s="49"/>
      <c r="R626" s="49"/>
      <c r="S626" s="50"/>
      <c r="T626" s="50"/>
      <c r="U626" s="50"/>
      <c r="V626" s="51"/>
      <c r="W626" s="51"/>
      <c r="X626" s="51"/>
      <c r="Y626" s="51"/>
    </row>
    <row r="627" customFormat="false" ht="12.75" hidden="false" customHeight="true" outlineLevel="0" collapsed="false">
      <c r="A627" s="45"/>
      <c r="B627" s="46"/>
      <c r="C627" s="46"/>
      <c r="D627" s="46"/>
      <c r="E627" s="46"/>
      <c r="F627" s="47"/>
      <c r="G627" s="48"/>
      <c r="H627" s="48"/>
      <c r="I627" s="48"/>
      <c r="J627" s="48"/>
      <c r="K627" s="48"/>
      <c r="L627" s="48"/>
      <c r="M627" s="49"/>
      <c r="N627" s="49"/>
      <c r="O627" s="49"/>
      <c r="P627" s="49"/>
      <c r="Q627" s="49"/>
      <c r="R627" s="49"/>
      <c r="S627" s="50"/>
      <c r="T627" s="50"/>
      <c r="U627" s="50"/>
      <c r="V627" s="51"/>
      <c r="W627" s="51"/>
      <c r="X627" s="51"/>
      <c r="Y627" s="51"/>
    </row>
    <row r="628" customFormat="false" ht="12.75" hidden="false" customHeight="true" outlineLevel="0" collapsed="false">
      <c r="A628" s="45"/>
      <c r="B628" s="46"/>
      <c r="C628" s="46"/>
      <c r="D628" s="46"/>
      <c r="E628" s="46"/>
      <c r="F628" s="47"/>
      <c r="G628" s="48"/>
      <c r="H628" s="48"/>
      <c r="I628" s="48"/>
      <c r="J628" s="48"/>
      <c r="K628" s="48"/>
      <c r="L628" s="48"/>
      <c r="M628" s="49"/>
      <c r="N628" s="49"/>
      <c r="O628" s="49"/>
      <c r="P628" s="49"/>
      <c r="Q628" s="49"/>
      <c r="R628" s="49"/>
      <c r="S628" s="50"/>
      <c r="T628" s="50"/>
      <c r="U628" s="50"/>
      <c r="V628" s="51"/>
      <c r="W628" s="51"/>
      <c r="X628" s="51"/>
      <c r="Y628" s="51"/>
    </row>
    <row r="629" customFormat="false" ht="12.75" hidden="false" customHeight="true" outlineLevel="0" collapsed="false">
      <c r="A629" s="45"/>
      <c r="B629" s="46"/>
      <c r="C629" s="46"/>
      <c r="D629" s="46"/>
      <c r="E629" s="46"/>
      <c r="F629" s="47"/>
      <c r="G629" s="48"/>
      <c r="H629" s="48"/>
      <c r="I629" s="48"/>
      <c r="J629" s="48"/>
      <c r="K629" s="48"/>
      <c r="L629" s="48"/>
      <c r="M629" s="49"/>
      <c r="N629" s="49"/>
      <c r="O629" s="49"/>
      <c r="P629" s="49"/>
      <c r="Q629" s="49"/>
      <c r="R629" s="49"/>
      <c r="S629" s="50"/>
      <c r="T629" s="50"/>
      <c r="U629" s="50"/>
      <c r="V629" s="51"/>
      <c r="W629" s="51"/>
      <c r="X629" s="51"/>
      <c r="Y629" s="51"/>
    </row>
    <row r="630" customFormat="false" ht="12.75" hidden="false" customHeight="true" outlineLevel="0" collapsed="false">
      <c r="A630" s="45"/>
      <c r="B630" s="46"/>
      <c r="C630" s="46"/>
      <c r="D630" s="46"/>
      <c r="E630" s="46"/>
      <c r="F630" s="47"/>
      <c r="G630" s="48"/>
      <c r="H630" s="48"/>
      <c r="I630" s="48"/>
      <c r="J630" s="48"/>
      <c r="K630" s="48"/>
      <c r="L630" s="48"/>
      <c r="M630" s="49"/>
      <c r="N630" s="49"/>
      <c r="O630" s="49"/>
      <c r="P630" s="49"/>
      <c r="Q630" s="49"/>
      <c r="R630" s="49"/>
      <c r="S630" s="50"/>
      <c r="T630" s="50"/>
      <c r="U630" s="50"/>
      <c r="V630" s="51"/>
      <c r="W630" s="51"/>
      <c r="X630" s="51"/>
      <c r="Y630" s="51"/>
    </row>
    <row r="631" customFormat="false" ht="12.75" hidden="false" customHeight="true" outlineLevel="0" collapsed="false">
      <c r="A631" s="45"/>
      <c r="B631" s="46"/>
      <c r="C631" s="46"/>
      <c r="D631" s="46"/>
      <c r="E631" s="46"/>
      <c r="F631" s="47"/>
      <c r="G631" s="48"/>
      <c r="H631" s="48"/>
      <c r="I631" s="48"/>
      <c r="J631" s="48"/>
      <c r="K631" s="48"/>
      <c r="L631" s="48"/>
      <c r="M631" s="49"/>
      <c r="N631" s="49"/>
      <c r="O631" s="49"/>
      <c r="P631" s="49"/>
      <c r="Q631" s="49"/>
      <c r="R631" s="49"/>
      <c r="S631" s="50"/>
      <c r="T631" s="50"/>
      <c r="U631" s="50"/>
      <c r="V631" s="51"/>
      <c r="W631" s="51"/>
      <c r="X631" s="51"/>
      <c r="Y631" s="51"/>
    </row>
    <row r="632" customFormat="false" ht="12.75" hidden="false" customHeight="true" outlineLevel="0" collapsed="false">
      <c r="A632" s="45"/>
      <c r="B632" s="46"/>
      <c r="C632" s="46"/>
      <c r="D632" s="46"/>
      <c r="E632" s="46"/>
      <c r="F632" s="47"/>
      <c r="G632" s="48"/>
      <c r="H632" s="48"/>
      <c r="I632" s="48"/>
      <c r="J632" s="48"/>
      <c r="K632" s="48"/>
      <c r="L632" s="48"/>
      <c r="M632" s="49"/>
      <c r="N632" s="49"/>
      <c r="O632" s="49"/>
      <c r="P632" s="49"/>
      <c r="Q632" s="49"/>
      <c r="R632" s="49"/>
      <c r="S632" s="50"/>
      <c r="T632" s="50"/>
      <c r="U632" s="50"/>
      <c r="V632" s="51"/>
      <c r="W632" s="51"/>
      <c r="X632" s="51"/>
      <c r="Y632" s="51"/>
    </row>
    <row r="633" customFormat="false" ht="12.75" hidden="false" customHeight="true" outlineLevel="0" collapsed="false">
      <c r="A633" s="45"/>
      <c r="B633" s="46"/>
      <c r="C633" s="46"/>
      <c r="D633" s="46"/>
      <c r="E633" s="46"/>
      <c r="F633" s="47"/>
      <c r="G633" s="48"/>
      <c r="H633" s="48"/>
      <c r="I633" s="48"/>
      <c r="J633" s="48"/>
      <c r="K633" s="48"/>
      <c r="L633" s="48"/>
      <c r="M633" s="49"/>
      <c r="N633" s="49"/>
      <c r="O633" s="49"/>
      <c r="P633" s="49"/>
      <c r="Q633" s="49"/>
      <c r="R633" s="49"/>
      <c r="S633" s="50"/>
      <c r="T633" s="50"/>
      <c r="U633" s="50"/>
      <c r="V633" s="51"/>
      <c r="W633" s="51"/>
      <c r="X633" s="51"/>
      <c r="Y633" s="51"/>
    </row>
    <row r="634" customFormat="false" ht="12.75" hidden="false" customHeight="true" outlineLevel="0" collapsed="false">
      <c r="A634" s="45"/>
      <c r="B634" s="46"/>
      <c r="C634" s="46"/>
      <c r="D634" s="46"/>
      <c r="E634" s="46"/>
      <c r="F634" s="47"/>
      <c r="G634" s="48"/>
      <c r="H634" s="48"/>
      <c r="I634" s="48"/>
      <c r="J634" s="48"/>
      <c r="K634" s="48"/>
      <c r="L634" s="48"/>
      <c r="M634" s="49"/>
      <c r="N634" s="49"/>
      <c r="O634" s="49"/>
      <c r="P634" s="49"/>
      <c r="Q634" s="49"/>
      <c r="R634" s="49"/>
      <c r="S634" s="50"/>
      <c r="T634" s="50"/>
      <c r="U634" s="50"/>
      <c r="V634" s="51"/>
      <c r="W634" s="51"/>
      <c r="X634" s="51"/>
      <c r="Y634" s="51"/>
    </row>
    <row r="635" customFormat="false" ht="12.75" hidden="false" customHeight="true" outlineLevel="0" collapsed="false">
      <c r="A635" s="45"/>
      <c r="B635" s="46"/>
      <c r="C635" s="46"/>
      <c r="D635" s="46"/>
      <c r="E635" s="46"/>
      <c r="F635" s="47"/>
      <c r="G635" s="48"/>
      <c r="H635" s="48"/>
      <c r="I635" s="48"/>
      <c r="J635" s="48"/>
      <c r="K635" s="48"/>
      <c r="L635" s="48"/>
      <c r="M635" s="49"/>
      <c r="N635" s="49"/>
      <c r="O635" s="49"/>
      <c r="P635" s="49"/>
      <c r="Q635" s="49"/>
      <c r="R635" s="49"/>
      <c r="S635" s="50"/>
      <c r="T635" s="50"/>
      <c r="U635" s="50"/>
      <c r="V635" s="51"/>
      <c r="W635" s="51"/>
      <c r="X635" s="51"/>
      <c r="Y635" s="51"/>
    </row>
    <row r="636" customFormat="false" ht="12.75" hidden="false" customHeight="true" outlineLevel="0" collapsed="false">
      <c r="A636" s="45"/>
      <c r="B636" s="46"/>
      <c r="C636" s="46"/>
      <c r="D636" s="46"/>
      <c r="E636" s="46"/>
      <c r="F636" s="47"/>
      <c r="G636" s="48"/>
      <c r="H636" s="48"/>
      <c r="I636" s="48"/>
      <c r="J636" s="48"/>
      <c r="K636" s="48"/>
      <c r="L636" s="48"/>
      <c r="M636" s="49"/>
      <c r="N636" s="49"/>
      <c r="O636" s="49"/>
      <c r="P636" s="49"/>
      <c r="Q636" s="49"/>
      <c r="R636" s="49"/>
      <c r="S636" s="50"/>
      <c r="T636" s="50"/>
      <c r="U636" s="50"/>
      <c r="V636" s="51"/>
      <c r="W636" s="51"/>
      <c r="X636" s="51"/>
      <c r="Y636" s="51"/>
    </row>
    <row r="637" customFormat="false" ht="12.75" hidden="false" customHeight="true" outlineLevel="0" collapsed="false">
      <c r="A637" s="45"/>
      <c r="B637" s="46"/>
      <c r="C637" s="46"/>
      <c r="D637" s="46"/>
      <c r="E637" s="46"/>
      <c r="F637" s="47"/>
      <c r="G637" s="48"/>
      <c r="H637" s="48"/>
      <c r="I637" s="48"/>
      <c r="J637" s="48"/>
      <c r="K637" s="48"/>
      <c r="L637" s="48"/>
      <c r="M637" s="49"/>
      <c r="N637" s="49"/>
      <c r="O637" s="49"/>
      <c r="P637" s="49"/>
      <c r="Q637" s="49"/>
      <c r="R637" s="49"/>
      <c r="S637" s="50"/>
      <c r="T637" s="50"/>
      <c r="U637" s="50"/>
      <c r="V637" s="51"/>
      <c r="W637" s="51"/>
      <c r="X637" s="51"/>
      <c r="Y637" s="51"/>
    </row>
    <row r="638" customFormat="false" ht="12.75" hidden="false" customHeight="true" outlineLevel="0" collapsed="false">
      <c r="A638" s="45"/>
      <c r="B638" s="46"/>
      <c r="C638" s="46"/>
      <c r="D638" s="46"/>
      <c r="E638" s="46"/>
      <c r="F638" s="47"/>
      <c r="G638" s="48"/>
      <c r="H638" s="48"/>
      <c r="I638" s="48"/>
      <c r="J638" s="48"/>
      <c r="K638" s="48"/>
      <c r="L638" s="48"/>
      <c r="M638" s="49"/>
      <c r="N638" s="49"/>
      <c r="O638" s="49"/>
      <c r="P638" s="49"/>
      <c r="Q638" s="49"/>
      <c r="R638" s="49"/>
      <c r="S638" s="50"/>
      <c r="T638" s="50"/>
      <c r="U638" s="50"/>
      <c r="V638" s="51"/>
      <c r="W638" s="51"/>
      <c r="X638" s="51"/>
      <c r="Y638" s="51"/>
    </row>
    <row r="639" customFormat="false" ht="12.75" hidden="false" customHeight="true" outlineLevel="0" collapsed="false">
      <c r="A639" s="45"/>
      <c r="B639" s="46"/>
      <c r="C639" s="46"/>
      <c r="D639" s="46"/>
      <c r="E639" s="46"/>
      <c r="F639" s="47"/>
      <c r="G639" s="48"/>
      <c r="H639" s="48"/>
      <c r="I639" s="48"/>
      <c r="J639" s="48"/>
      <c r="K639" s="48"/>
      <c r="L639" s="48"/>
      <c r="M639" s="49"/>
      <c r="N639" s="49"/>
      <c r="O639" s="49"/>
      <c r="P639" s="49"/>
      <c r="Q639" s="49"/>
      <c r="R639" s="49"/>
      <c r="S639" s="50"/>
      <c r="T639" s="50"/>
      <c r="U639" s="50"/>
      <c r="V639" s="51"/>
      <c r="W639" s="51"/>
      <c r="X639" s="51"/>
      <c r="Y639" s="51"/>
    </row>
    <row r="640" customFormat="false" ht="12.75" hidden="false" customHeight="true" outlineLevel="0" collapsed="false">
      <c r="A640" s="45"/>
      <c r="B640" s="46"/>
      <c r="C640" s="46"/>
      <c r="D640" s="46"/>
      <c r="E640" s="46"/>
      <c r="F640" s="47"/>
      <c r="G640" s="48"/>
      <c r="H640" s="48"/>
      <c r="I640" s="48"/>
      <c r="J640" s="48"/>
      <c r="K640" s="48"/>
      <c r="L640" s="48"/>
      <c r="M640" s="49"/>
      <c r="N640" s="49"/>
      <c r="O640" s="49"/>
      <c r="P640" s="49"/>
      <c r="Q640" s="49"/>
      <c r="R640" s="49"/>
      <c r="S640" s="50"/>
      <c r="T640" s="50"/>
      <c r="U640" s="50"/>
      <c r="V640" s="51"/>
      <c r="W640" s="51"/>
      <c r="X640" s="51"/>
      <c r="Y640" s="51"/>
    </row>
    <row r="641" customFormat="false" ht="12.75" hidden="false" customHeight="true" outlineLevel="0" collapsed="false">
      <c r="A641" s="45"/>
      <c r="B641" s="46"/>
      <c r="C641" s="46"/>
      <c r="D641" s="46"/>
      <c r="E641" s="46"/>
      <c r="F641" s="47"/>
      <c r="G641" s="48"/>
      <c r="H641" s="48"/>
      <c r="I641" s="48"/>
      <c r="J641" s="48"/>
      <c r="K641" s="48"/>
      <c r="L641" s="48"/>
      <c r="M641" s="49"/>
      <c r="N641" s="49"/>
      <c r="O641" s="49"/>
      <c r="P641" s="49"/>
      <c r="Q641" s="49"/>
      <c r="R641" s="49"/>
      <c r="S641" s="50"/>
      <c r="T641" s="50"/>
      <c r="U641" s="50"/>
      <c r="V641" s="51"/>
      <c r="W641" s="51"/>
      <c r="X641" s="51"/>
      <c r="Y641" s="51"/>
    </row>
    <row r="642" customFormat="false" ht="12.75" hidden="false" customHeight="true" outlineLevel="0" collapsed="false">
      <c r="A642" s="45"/>
      <c r="B642" s="46"/>
      <c r="C642" s="46"/>
      <c r="D642" s="46"/>
      <c r="E642" s="46"/>
      <c r="F642" s="47"/>
      <c r="G642" s="48"/>
      <c r="H642" s="48"/>
      <c r="I642" s="48"/>
      <c r="J642" s="48"/>
      <c r="K642" s="48"/>
      <c r="L642" s="48"/>
      <c r="M642" s="49"/>
      <c r="N642" s="49"/>
      <c r="O642" s="49"/>
      <c r="P642" s="49"/>
      <c r="Q642" s="49"/>
      <c r="R642" s="49"/>
      <c r="S642" s="50"/>
      <c r="T642" s="50"/>
      <c r="U642" s="50"/>
      <c r="V642" s="51"/>
      <c r="W642" s="51"/>
      <c r="X642" s="51"/>
      <c r="Y642" s="51"/>
    </row>
    <row r="643" customFormat="false" ht="12.75" hidden="false" customHeight="true" outlineLevel="0" collapsed="false">
      <c r="A643" s="45"/>
      <c r="B643" s="46"/>
      <c r="C643" s="46"/>
      <c r="D643" s="46"/>
      <c r="E643" s="46"/>
      <c r="F643" s="47"/>
      <c r="G643" s="48"/>
      <c r="H643" s="48"/>
      <c r="I643" s="48"/>
      <c r="J643" s="48"/>
      <c r="K643" s="48"/>
      <c r="L643" s="48"/>
      <c r="M643" s="49"/>
      <c r="N643" s="49"/>
      <c r="O643" s="49"/>
      <c r="P643" s="49"/>
      <c r="Q643" s="49"/>
      <c r="R643" s="49"/>
      <c r="S643" s="50"/>
      <c r="T643" s="50"/>
      <c r="U643" s="50"/>
      <c r="V643" s="51"/>
      <c r="W643" s="51"/>
      <c r="X643" s="51"/>
      <c r="Y643" s="51"/>
    </row>
    <row r="644" customFormat="false" ht="12.75" hidden="false" customHeight="true" outlineLevel="0" collapsed="false">
      <c r="A644" s="45"/>
      <c r="B644" s="46"/>
      <c r="C644" s="46"/>
      <c r="D644" s="46"/>
      <c r="E644" s="46"/>
      <c r="F644" s="47"/>
      <c r="G644" s="48"/>
      <c r="H644" s="48"/>
      <c r="I644" s="48"/>
      <c r="J644" s="48"/>
      <c r="K644" s="48"/>
      <c r="L644" s="48"/>
      <c r="M644" s="49"/>
      <c r="N644" s="49"/>
      <c r="O644" s="49"/>
      <c r="P644" s="49"/>
      <c r="Q644" s="49"/>
      <c r="R644" s="49"/>
      <c r="S644" s="50"/>
      <c r="T644" s="50"/>
      <c r="U644" s="50"/>
      <c r="V644" s="51"/>
      <c r="W644" s="51"/>
      <c r="X644" s="51"/>
      <c r="Y644" s="51"/>
    </row>
    <row r="645" customFormat="false" ht="12.75" hidden="false" customHeight="true" outlineLevel="0" collapsed="false">
      <c r="A645" s="45"/>
      <c r="B645" s="46"/>
      <c r="C645" s="46"/>
      <c r="D645" s="46"/>
      <c r="E645" s="46"/>
      <c r="F645" s="47"/>
      <c r="G645" s="48"/>
      <c r="H645" s="48"/>
      <c r="I645" s="48"/>
      <c r="J645" s="48"/>
      <c r="K645" s="48"/>
      <c r="L645" s="48"/>
      <c r="M645" s="49"/>
      <c r="N645" s="49"/>
      <c r="O645" s="49"/>
      <c r="P645" s="49"/>
      <c r="Q645" s="49"/>
      <c r="R645" s="49"/>
      <c r="S645" s="50"/>
      <c r="T645" s="50"/>
      <c r="U645" s="50"/>
      <c r="V645" s="51"/>
      <c r="W645" s="51"/>
      <c r="X645" s="51"/>
      <c r="Y645" s="51"/>
    </row>
    <row r="646" customFormat="false" ht="12.75" hidden="false" customHeight="true" outlineLevel="0" collapsed="false">
      <c r="A646" s="45"/>
      <c r="B646" s="46"/>
      <c r="C646" s="46"/>
      <c r="D646" s="46"/>
      <c r="E646" s="46"/>
      <c r="F646" s="47"/>
      <c r="G646" s="48"/>
      <c r="H646" s="48"/>
      <c r="I646" s="48"/>
      <c r="J646" s="48"/>
      <c r="K646" s="48"/>
      <c r="L646" s="48"/>
      <c r="M646" s="49"/>
      <c r="N646" s="49"/>
      <c r="O646" s="49"/>
      <c r="P646" s="49"/>
      <c r="Q646" s="49"/>
      <c r="R646" s="49"/>
      <c r="S646" s="50"/>
      <c r="T646" s="50"/>
      <c r="U646" s="50"/>
      <c r="V646" s="51"/>
      <c r="W646" s="51"/>
      <c r="X646" s="51"/>
      <c r="Y646" s="51"/>
    </row>
    <row r="647" customFormat="false" ht="12.75" hidden="false" customHeight="true" outlineLevel="0" collapsed="false">
      <c r="A647" s="45"/>
      <c r="B647" s="46"/>
      <c r="C647" s="46"/>
      <c r="D647" s="46"/>
      <c r="E647" s="46"/>
      <c r="F647" s="47"/>
      <c r="G647" s="48"/>
      <c r="H647" s="48"/>
      <c r="I647" s="48"/>
      <c r="J647" s="48"/>
      <c r="K647" s="48"/>
      <c r="L647" s="48"/>
      <c r="M647" s="49"/>
      <c r="N647" s="49"/>
      <c r="O647" s="49"/>
      <c r="P647" s="49"/>
      <c r="Q647" s="49"/>
      <c r="R647" s="49"/>
      <c r="S647" s="50"/>
      <c r="T647" s="50"/>
      <c r="U647" s="50"/>
      <c r="V647" s="51"/>
      <c r="W647" s="51"/>
      <c r="X647" s="51"/>
      <c r="Y647" s="51"/>
    </row>
    <row r="648" customFormat="false" ht="12.75" hidden="false" customHeight="true" outlineLevel="0" collapsed="false">
      <c r="A648" s="45"/>
      <c r="B648" s="46"/>
      <c r="C648" s="46"/>
      <c r="D648" s="46"/>
      <c r="E648" s="46"/>
      <c r="F648" s="47"/>
      <c r="G648" s="48"/>
      <c r="H648" s="48"/>
      <c r="I648" s="48"/>
      <c r="J648" s="48"/>
      <c r="K648" s="48"/>
      <c r="L648" s="48"/>
      <c r="M648" s="49"/>
      <c r="N648" s="49"/>
      <c r="O648" s="49"/>
      <c r="P648" s="49"/>
      <c r="Q648" s="49"/>
      <c r="R648" s="49"/>
      <c r="S648" s="50"/>
      <c r="T648" s="50"/>
      <c r="U648" s="50"/>
      <c r="V648" s="51"/>
      <c r="W648" s="51"/>
      <c r="X648" s="51"/>
      <c r="Y648" s="51"/>
    </row>
    <row r="649" customFormat="false" ht="12.75" hidden="false" customHeight="true" outlineLevel="0" collapsed="false">
      <c r="A649" s="45"/>
      <c r="B649" s="46"/>
      <c r="C649" s="46"/>
      <c r="D649" s="46"/>
      <c r="E649" s="46"/>
      <c r="F649" s="47"/>
      <c r="G649" s="48"/>
      <c r="H649" s="48"/>
      <c r="I649" s="48"/>
      <c r="J649" s="48"/>
      <c r="K649" s="48"/>
      <c r="L649" s="48"/>
      <c r="M649" s="49"/>
      <c r="N649" s="49"/>
      <c r="O649" s="49"/>
      <c r="P649" s="49"/>
      <c r="Q649" s="49"/>
      <c r="R649" s="49"/>
      <c r="S649" s="50"/>
      <c r="T649" s="50"/>
      <c r="U649" s="50"/>
      <c r="V649" s="51"/>
      <c r="W649" s="51"/>
      <c r="X649" s="51"/>
      <c r="Y649" s="51"/>
    </row>
    <row r="650" customFormat="false" ht="12.75" hidden="false" customHeight="true" outlineLevel="0" collapsed="false">
      <c r="A650" s="45"/>
      <c r="B650" s="46"/>
      <c r="C650" s="46"/>
      <c r="D650" s="46"/>
      <c r="E650" s="46"/>
      <c r="F650" s="47"/>
      <c r="G650" s="48"/>
      <c r="H650" s="48"/>
      <c r="I650" s="48"/>
      <c r="J650" s="48"/>
      <c r="K650" s="48"/>
      <c r="L650" s="48"/>
      <c r="M650" s="49"/>
      <c r="N650" s="49"/>
      <c r="O650" s="49"/>
      <c r="P650" s="49"/>
      <c r="Q650" s="49"/>
      <c r="R650" s="49"/>
      <c r="S650" s="50"/>
      <c r="T650" s="50"/>
      <c r="U650" s="50"/>
      <c r="V650" s="51"/>
      <c r="W650" s="51"/>
      <c r="X650" s="51"/>
      <c r="Y650" s="51"/>
    </row>
    <row r="651" customFormat="false" ht="12.75" hidden="false" customHeight="true" outlineLevel="0" collapsed="false">
      <c r="A651" s="45"/>
      <c r="B651" s="46"/>
      <c r="C651" s="46"/>
      <c r="D651" s="46"/>
      <c r="E651" s="46"/>
      <c r="F651" s="47"/>
      <c r="G651" s="48"/>
      <c r="H651" s="48"/>
      <c r="I651" s="48"/>
      <c r="J651" s="48"/>
      <c r="K651" s="48"/>
      <c r="L651" s="48"/>
      <c r="M651" s="49"/>
      <c r="N651" s="49"/>
      <c r="O651" s="49"/>
      <c r="P651" s="49"/>
      <c r="Q651" s="49"/>
      <c r="R651" s="49"/>
      <c r="S651" s="50"/>
      <c r="T651" s="50"/>
      <c r="U651" s="50"/>
      <c r="V651" s="51"/>
      <c r="W651" s="51"/>
      <c r="X651" s="51"/>
      <c r="Y651" s="51"/>
    </row>
    <row r="652" customFormat="false" ht="12.75" hidden="false" customHeight="true" outlineLevel="0" collapsed="false">
      <c r="A652" s="45"/>
      <c r="B652" s="46"/>
      <c r="C652" s="46"/>
      <c r="D652" s="46"/>
      <c r="E652" s="46"/>
      <c r="F652" s="47"/>
      <c r="G652" s="48"/>
      <c r="H652" s="48"/>
      <c r="I652" s="48"/>
      <c r="J652" s="48"/>
      <c r="K652" s="48"/>
      <c r="L652" s="48"/>
      <c r="M652" s="49"/>
      <c r="N652" s="49"/>
      <c r="O652" s="49"/>
      <c r="P652" s="49"/>
      <c r="Q652" s="49"/>
      <c r="R652" s="49"/>
      <c r="S652" s="50"/>
      <c r="T652" s="50"/>
      <c r="U652" s="50"/>
      <c r="V652" s="51"/>
      <c r="W652" s="51"/>
      <c r="X652" s="51"/>
      <c r="Y652" s="51"/>
    </row>
    <row r="653" customFormat="false" ht="12.75" hidden="false" customHeight="true" outlineLevel="0" collapsed="false">
      <c r="A653" s="45"/>
      <c r="B653" s="46"/>
      <c r="C653" s="46"/>
      <c r="D653" s="46"/>
      <c r="E653" s="46"/>
      <c r="F653" s="47"/>
      <c r="G653" s="48"/>
      <c r="H653" s="48"/>
      <c r="I653" s="48"/>
      <c r="J653" s="48"/>
      <c r="K653" s="48"/>
      <c r="L653" s="48"/>
      <c r="M653" s="49"/>
      <c r="N653" s="49"/>
      <c r="O653" s="49"/>
      <c r="P653" s="49"/>
      <c r="Q653" s="49"/>
      <c r="R653" s="49"/>
      <c r="S653" s="50"/>
      <c r="T653" s="50"/>
      <c r="U653" s="50"/>
      <c r="V653" s="51"/>
      <c r="W653" s="51"/>
      <c r="X653" s="51"/>
      <c r="Y653" s="51"/>
    </row>
    <row r="654" customFormat="false" ht="12.75" hidden="false" customHeight="true" outlineLevel="0" collapsed="false">
      <c r="A654" s="45"/>
      <c r="B654" s="46"/>
      <c r="C654" s="46"/>
      <c r="D654" s="46"/>
      <c r="E654" s="46"/>
      <c r="F654" s="47"/>
      <c r="G654" s="48"/>
      <c r="H654" s="48"/>
      <c r="I654" s="48"/>
      <c r="J654" s="48"/>
      <c r="K654" s="48"/>
      <c r="L654" s="48"/>
      <c r="M654" s="49"/>
      <c r="N654" s="49"/>
      <c r="O654" s="49"/>
      <c r="P654" s="49"/>
      <c r="Q654" s="49"/>
      <c r="R654" s="49"/>
      <c r="S654" s="50"/>
      <c r="T654" s="50"/>
      <c r="U654" s="50"/>
      <c r="V654" s="51"/>
      <c r="W654" s="51"/>
      <c r="X654" s="51"/>
      <c r="Y654" s="51"/>
    </row>
    <row r="655" customFormat="false" ht="12.75" hidden="false" customHeight="true" outlineLevel="0" collapsed="false">
      <c r="A655" s="45"/>
      <c r="B655" s="46"/>
      <c r="C655" s="46"/>
      <c r="D655" s="46"/>
      <c r="E655" s="46"/>
      <c r="F655" s="47"/>
      <c r="G655" s="48"/>
      <c r="H655" s="48"/>
      <c r="I655" s="48"/>
      <c r="J655" s="48"/>
      <c r="K655" s="48"/>
      <c r="L655" s="48"/>
      <c r="M655" s="49"/>
      <c r="N655" s="49"/>
      <c r="O655" s="49"/>
      <c r="P655" s="49"/>
      <c r="Q655" s="49"/>
      <c r="R655" s="49"/>
      <c r="S655" s="50"/>
      <c r="T655" s="50"/>
      <c r="U655" s="50"/>
      <c r="V655" s="51"/>
      <c r="W655" s="51"/>
      <c r="X655" s="51"/>
      <c r="Y655" s="51"/>
    </row>
    <row r="656" customFormat="false" ht="12.75" hidden="false" customHeight="true" outlineLevel="0" collapsed="false">
      <c r="A656" s="45"/>
      <c r="B656" s="46"/>
      <c r="C656" s="46"/>
      <c r="D656" s="46"/>
      <c r="E656" s="46"/>
      <c r="F656" s="47"/>
      <c r="G656" s="48"/>
      <c r="H656" s="48"/>
      <c r="I656" s="48"/>
      <c r="J656" s="48"/>
      <c r="K656" s="48"/>
      <c r="L656" s="48"/>
      <c r="M656" s="49"/>
      <c r="N656" s="49"/>
      <c r="O656" s="49"/>
      <c r="P656" s="49"/>
      <c r="Q656" s="49"/>
      <c r="R656" s="49"/>
      <c r="S656" s="50"/>
      <c r="T656" s="50"/>
      <c r="U656" s="50"/>
      <c r="V656" s="51"/>
      <c r="W656" s="51"/>
      <c r="X656" s="51"/>
      <c r="Y656" s="51"/>
    </row>
    <row r="657" customFormat="false" ht="12.75" hidden="false" customHeight="true" outlineLevel="0" collapsed="false">
      <c r="A657" s="45"/>
      <c r="B657" s="46"/>
      <c r="C657" s="46"/>
      <c r="D657" s="46"/>
      <c r="E657" s="46"/>
      <c r="F657" s="47"/>
      <c r="G657" s="48"/>
      <c r="H657" s="48"/>
      <c r="I657" s="48"/>
      <c r="J657" s="48"/>
      <c r="K657" s="48"/>
      <c r="L657" s="48"/>
      <c r="M657" s="49"/>
      <c r="N657" s="49"/>
      <c r="O657" s="49"/>
      <c r="P657" s="49"/>
      <c r="Q657" s="49"/>
      <c r="R657" s="49"/>
      <c r="S657" s="50"/>
      <c r="T657" s="50"/>
      <c r="U657" s="50"/>
      <c r="V657" s="51"/>
      <c r="W657" s="51"/>
      <c r="X657" s="51"/>
      <c r="Y657" s="51"/>
    </row>
    <row r="658" customFormat="false" ht="12.75" hidden="false" customHeight="true" outlineLevel="0" collapsed="false">
      <c r="A658" s="45"/>
      <c r="B658" s="46"/>
      <c r="C658" s="46"/>
      <c r="D658" s="46"/>
      <c r="E658" s="46"/>
      <c r="F658" s="47"/>
      <c r="G658" s="48"/>
      <c r="H658" s="48"/>
      <c r="I658" s="48"/>
      <c r="J658" s="48"/>
      <c r="K658" s="48"/>
      <c r="L658" s="48"/>
      <c r="M658" s="49"/>
      <c r="N658" s="49"/>
      <c r="O658" s="49"/>
      <c r="P658" s="49"/>
      <c r="Q658" s="49"/>
      <c r="R658" s="49"/>
      <c r="S658" s="50"/>
      <c r="T658" s="50"/>
      <c r="U658" s="50"/>
      <c r="V658" s="51"/>
      <c r="W658" s="51"/>
      <c r="X658" s="51"/>
      <c r="Y658" s="51"/>
    </row>
    <row r="659" customFormat="false" ht="12.75" hidden="false" customHeight="true" outlineLevel="0" collapsed="false">
      <c r="A659" s="45"/>
      <c r="B659" s="46"/>
      <c r="C659" s="46"/>
      <c r="D659" s="46"/>
      <c r="E659" s="46"/>
      <c r="F659" s="47"/>
      <c r="G659" s="48"/>
      <c r="H659" s="48"/>
      <c r="I659" s="48"/>
      <c r="J659" s="48"/>
      <c r="K659" s="48"/>
      <c r="L659" s="48"/>
      <c r="M659" s="49"/>
      <c r="N659" s="49"/>
      <c r="O659" s="49"/>
      <c r="P659" s="49"/>
      <c r="Q659" s="49"/>
      <c r="R659" s="49"/>
      <c r="S659" s="50"/>
      <c r="T659" s="50"/>
      <c r="U659" s="50"/>
      <c r="V659" s="51"/>
      <c r="W659" s="51"/>
      <c r="X659" s="51"/>
      <c r="Y659" s="51"/>
    </row>
    <row r="660" customFormat="false" ht="12.75" hidden="false" customHeight="true" outlineLevel="0" collapsed="false">
      <c r="A660" s="45"/>
      <c r="B660" s="46"/>
      <c r="C660" s="46"/>
      <c r="D660" s="46"/>
      <c r="E660" s="46"/>
      <c r="F660" s="47"/>
      <c r="G660" s="48"/>
      <c r="H660" s="48"/>
      <c r="I660" s="48"/>
      <c r="J660" s="48"/>
      <c r="K660" s="48"/>
      <c r="L660" s="48"/>
      <c r="M660" s="49"/>
      <c r="N660" s="49"/>
      <c r="O660" s="49"/>
      <c r="P660" s="49"/>
      <c r="Q660" s="49"/>
      <c r="R660" s="49"/>
      <c r="S660" s="50"/>
      <c r="T660" s="50"/>
      <c r="U660" s="50"/>
      <c r="V660" s="51"/>
      <c r="W660" s="51"/>
      <c r="X660" s="51"/>
      <c r="Y660" s="51"/>
    </row>
    <row r="661" customFormat="false" ht="12.75" hidden="false" customHeight="true" outlineLevel="0" collapsed="false">
      <c r="A661" s="45"/>
      <c r="B661" s="46"/>
      <c r="C661" s="46"/>
      <c r="D661" s="46"/>
      <c r="E661" s="46"/>
      <c r="F661" s="47"/>
      <c r="G661" s="48"/>
      <c r="H661" s="48"/>
      <c r="I661" s="48"/>
      <c r="J661" s="48"/>
      <c r="K661" s="48"/>
      <c r="L661" s="48"/>
      <c r="M661" s="49"/>
      <c r="N661" s="49"/>
      <c r="O661" s="49"/>
      <c r="P661" s="49"/>
      <c r="Q661" s="49"/>
      <c r="R661" s="49"/>
      <c r="S661" s="50"/>
      <c r="T661" s="50"/>
      <c r="U661" s="50"/>
      <c r="V661" s="51"/>
      <c r="W661" s="51"/>
      <c r="X661" s="51"/>
      <c r="Y661" s="51"/>
    </row>
    <row r="662" customFormat="false" ht="12.75" hidden="false" customHeight="true" outlineLevel="0" collapsed="false">
      <c r="A662" s="45"/>
      <c r="B662" s="46"/>
      <c r="C662" s="46"/>
      <c r="D662" s="46"/>
      <c r="E662" s="46"/>
      <c r="F662" s="47"/>
      <c r="G662" s="48"/>
      <c r="H662" s="48"/>
      <c r="I662" s="48"/>
      <c r="J662" s="48"/>
      <c r="K662" s="48"/>
      <c r="L662" s="48"/>
      <c r="M662" s="49"/>
      <c r="N662" s="49"/>
      <c r="O662" s="49"/>
      <c r="P662" s="49"/>
      <c r="Q662" s="49"/>
      <c r="R662" s="49"/>
      <c r="S662" s="50"/>
      <c r="T662" s="50"/>
      <c r="U662" s="50"/>
      <c r="V662" s="51"/>
      <c r="W662" s="51"/>
      <c r="X662" s="51"/>
      <c r="Y662" s="51"/>
    </row>
    <row r="663" customFormat="false" ht="12.75" hidden="false" customHeight="true" outlineLevel="0" collapsed="false">
      <c r="A663" s="45"/>
      <c r="B663" s="46"/>
      <c r="C663" s="46"/>
      <c r="D663" s="46"/>
      <c r="E663" s="46"/>
      <c r="F663" s="47"/>
      <c r="G663" s="48"/>
      <c r="H663" s="48"/>
      <c r="I663" s="48"/>
      <c r="J663" s="48"/>
      <c r="K663" s="48"/>
      <c r="L663" s="48"/>
      <c r="M663" s="49"/>
      <c r="N663" s="49"/>
      <c r="O663" s="49"/>
      <c r="P663" s="49"/>
      <c r="Q663" s="49"/>
      <c r="R663" s="49"/>
      <c r="S663" s="50"/>
      <c r="T663" s="50"/>
      <c r="U663" s="50"/>
      <c r="V663" s="51"/>
      <c r="W663" s="51"/>
      <c r="X663" s="51"/>
      <c r="Y663" s="51"/>
    </row>
    <row r="664" customFormat="false" ht="12.75" hidden="false" customHeight="true" outlineLevel="0" collapsed="false">
      <c r="A664" s="45"/>
      <c r="B664" s="46"/>
      <c r="C664" s="46"/>
      <c r="D664" s="46"/>
      <c r="E664" s="46"/>
      <c r="F664" s="47"/>
      <c r="G664" s="48"/>
      <c r="H664" s="48"/>
      <c r="I664" s="48"/>
      <c r="J664" s="48"/>
      <c r="K664" s="48"/>
      <c r="L664" s="48"/>
      <c r="M664" s="49"/>
      <c r="N664" s="49"/>
      <c r="O664" s="49"/>
      <c r="P664" s="49"/>
      <c r="Q664" s="49"/>
      <c r="R664" s="49"/>
      <c r="S664" s="50"/>
      <c r="T664" s="50"/>
      <c r="U664" s="50"/>
      <c r="V664" s="51"/>
      <c r="W664" s="51"/>
      <c r="X664" s="51"/>
      <c r="Y664" s="51"/>
    </row>
    <row r="665" customFormat="false" ht="12.75" hidden="false" customHeight="true" outlineLevel="0" collapsed="false">
      <c r="A665" s="45"/>
      <c r="B665" s="46"/>
      <c r="C665" s="46"/>
      <c r="D665" s="46"/>
      <c r="E665" s="46"/>
      <c r="F665" s="47"/>
      <c r="G665" s="48"/>
      <c r="H665" s="48"/>
      <c r="I665" s="48"/>
      <c r="J665" s="48"/>
      <c r="K665" s="48"/>
      <c r="L665" s="48"/>
      <c r="M665" s="49"/>
      <c r="N665" s="49"/>
      <c r="O665" s="49"/>
      <c r="P665" s="49"/>
      <c r="Q665" s="49"/>
      <c r="R665" s="49"/>
      <c r="S665" s="50"/>
      <c r="T665" s="50"/>
      <c r="U665" s="50"/>
      <c r="V665" s="51"/>
      <c r="W665" s="51"/>
      <c r="X665" s="51"/>
      <c r="Y665" s="51"/>
    </row>
    <row r="666" customFormat="false" ht="12.75" hidden="false" customHeight="true" outlineLevel="0" collapsed="false">
      <c r="A666" s="45"/>
      <c r="B666" s="46"/>
      <c r="C666" s="46"/>
      <c r="D666" s="46"/>
      <c r="E666" s="46"/>
      <c r="F666" s="47"/>
      <c r="G666" s="48"/>
      <c r="H666" s="48"/>
      <c r="I666" s="48"/>
      <c r="J666" s="48"/>
      <c r="K666" s="48"/>
      <c r="L666" s="48"/>
      <c r="M666" s="49"/>
      <c r="N666" s="49"/>
      <c r="O666" s="49"/>
      <c r="P666" s="49"/>
      <c r="Q666" s="49"/>
      <c r="R666" s="49"/>
      <c r="S666" s="50"/>
      <c r="T666" s="50"/>
      <c r="U666" s="50"/>
      <c r="V666" s="51"/>
      <c r="W666" s="51"/>
      <c r="X666" s="51"/>
      <c r="Y666" s="51"/>
    </row>
    <row r="667" customFormat="false" ht="12.75" hidden="false" customHeight="true" outlineLevel="0" collapsed="false">
      <c r="A667" s="45"/>
      <c r="B667" s="46"/>
      <c r="C667" s="46"/>
      <c r="D667" s="46"/>
      <c r="E667" s="46"/>
      <c r="F667" s="47"/>
      <c r="G667" s="48"/>
      <c r="H667" s="48"/>
      <c r="I667" s="48"/>
      <c r="J667" s="48"/>
      <c r="K667" s="48"/>
      <c r="L667" s="48"/>
      <c r="M667" s="49"/>
      <c r="N667" s="49"/>
      <c r="O667" s="49"/>
      <c r="P667" s="49"/>
      <c r="Q667" s="49"/>
      <c r="R667" s="49"/>
      <c r="S667" s="50"/>
      <c r="T667" s="50"/>
      <c r="U667" s="50"/>
      <c r="V667" s="51"/>
      <c r="W667" s="51"/>
      <c r="X667" s="51"/>
      <c r="Y667" s="51"/>
    </row>
    <row r="668" customFormat="false" ht="12.75" hidden="false" customHeight="true" outlineLevel="0" collapsed="false">
      <c r="A668" s="45"/>
      <c r="B668" s="46"/>
      <c r="C668" s="46"/>
      <c r="D668" s="46"/>
      <c r="E668" s="46"/>
      <c r="F668" s="47"/>
      <c r="G668" s="48"/>
      <c r="H668" s="48"/>
      <c r="I668" s="48"/>
      <c r="J668" s="48"/>
      <c r="K668" s="48"/>
      <c r="L668" s="48"/>
      <c r="M668" s="49"/>
      <c r="N668" s="49"/>
      <c r="O668" s="49"/>
      <c r="P668" s="49"/>
      <c r="Q668" s="49"/>
      <c r="R668" s="49"/>
      <c r="S668" s="50"/>
      <c r="T668" s="50"/>
      <c r="U668" s="50"/>
      <c r="V668" s="51"/>
      <c r="W668" s="51"/>
      <c r="X668" s="51"/>
      <c r="Y668" s="51"/>
    </row>
    <row r="669" customFormat="false" ht="12.75" hidden="false" customHeight="true" outlineLevel="0" collapsed="false">
      <c r="A669" s="45"/>
      <c r="B669" s="46"/>
      <c r="C669" s="46"/>
      <c r="D669" s="46"/>
      <c r="E669" s="46"/>
      <c r="F669" s="47"/>
      <c r="G669" s="48"/>
      <c r="H669" s="48"/>
      <c r="I669" s="48"/>
      <c r="J669" s="48"/>
      <c r="K669" s="48"/>
      <c r="L669" s="48"/>
      <c r="M669" s="49"/>
      <c r="N669" s="49"/>
      <c r="O669" s="49"/>
      <c r="P669" s="49"/>
      <c r="Q669" s="49"/>
      <c r="R669" s="49"/>
      <c r="S669" s="50"/>
      <c r="T669" s="50"/>
      <c r="U669" s="50"/>
      <c r="V669" s="51"/>
      <c r="W669" s="51"/>
      <c r="X669" s="51"/>
      <c r="Y669" s="51"/>
    </row>
    <row r="670" customFormat="false" ht="12.75" hidden="false" customHeight="true" outlineLevel="0" collapsed="false">
      <c r="A670" s="45"/>
      <c r="B670" s="46"/>
      <c r="C670" s="46"/>
      <c r="D670" s="46"/>
      <c r="E670" s="46"/>
      <c r="F670" s="47"/>
      <c r="G670" s="48"/>
      <c r="H670" s="48"/>
      <c r="I670" s="48"/>
      <c r="J670" s="48"/>
      <c r="K670" s="48"/>
      <c r="L670" s="48"/>
      <c r="M670" s="49"/>
      <c r="N670" s="49"/>
      <c r="O670" s="49"/>
      <c r="P670" s="49"/>
      <c r="Q670" s="49"/>
      <c r="R670" s="49"/>
      <c r="S670" s="50"/>
      <c r="T670" s="50"/>
      <c r="U670" s="50"/>
      <c r="V670" s="51"/>
      <c r="W670" s="51"/>
      <c r="X670" s="51"/>
      <c r="Y670" s="51"/>
    </row>
    <row r="671" customFormat="false" ht="12.75" hidden="false" customHeight="true" outlineLevel="0" collapsed="false">
      <c r="A671" s="45"/>
      <c r="B671" s="46"/>
      <c r="C671" s="46"/>
      <c r="D671" s="46"/>
      <c r="E671" s="46"/>
      <c r="F671" s="47"/>
      <c r="G671" s="48"/>
      <c r="H671" s="48"/>
      <c r="I671" s="48"/>
      <c r="J671" s="48"/>
      <c r="K671" s="48"/>
      <c r="L671" s="48"/>
      <c r="M671" s="49"/>
      <c r="N671" s="49"/>
      <c r="O671" s="49"/>
      <c r="P671" s="49"/>
      <c r="Q671" s="49"/>
      <c r="R671" s="49"/>
      <c r="S671" s="50"/>
      <c r="T671" s="50"/>
      <c r="U671" s="50"/>
      <c r="V671" s="51"/>
      <c r="W671" s="51"/>
      <c r="X671" s="51"/>
      <c r="Y671" s="51"/>
    </row>
    <row r="672" customFormat="false" ht="12.75" hidden="false" customHeight="true" outlineLevel="0" collapsed="false">
      <c r="A672" s="45"/>
      <c r="B672" s="46"/>
      <c r="C672" s="46"/>
      <c r="D672" s="46"/>
      <c r="E672" s="46"/>
      <c r="F672" s="47"/>
      <c r="G672" s="48"/>
      <c r="H672" s="48"/>
      <c r="I672" s="48"/>
      <c r="J672" s="48"/>
      <c r="K672" s="48"/>
      <c r="L672" s="48"/>
      <c r="M672" s="49"/>
      <c r="N672" s="49"/>
      <c r="O672" s="49"/>
      <c r="P672" s="49"/>
      <c r="Q672" s="49"/>
      <c r="R672" s="49"/>
      <c r="S672" s="50"/>
      <c r="T672" s="50"/>
      <c r="U672" s="50"/>
      <c r="V672" s="51"/>
      <c r="W672" s="51"/>
      <c r="X672" s="51"/>
      <c r="Y672" s="51"/>
    </row>
    <row r="673" customFormat="false" ht="12.75" hidden="false" customHeight="true" outlineLevel="0" collapsed="false">
      <c r="A673" s="45"/>
      <c r="B673" s="46"/>
      <c r="C673" s="46"/>
      <c r="D673" s="46"/>
      <c r="E673" s="46"/>
      <c r="F673" s="47"/>
      <c r="G673" s="48"/>
      <c r="H673" s="48"/>
      <c r="I673" s="48"/>
      <c r="J673" s="48"/>
      <c r="K673" s="48"/>
      <c r="L673" s="48"/>
      <c r="M673" s="49"/>
      <c r="N673" s="49"/>
      <c r="O673" s="49"/>
      <c r="P673" s="49"/>
      <c r="Q673" s="49"/>
      <c r="R673" s="49"/>
      <c r="S673" s="50"/>
      <c r="T673" s="50"/>
      <c r="U673" s="50"/>
      <c r="V673" s="51"/>
      <c r="W673" s="51"/>
      <c r="X673" s="51"/>
      <c r="Y673" s="51"/>
    </row>
    <row r="674" customFormat="false" ht="12.75" hidden="false" customHeight="true" outlineLevel="0" collapsed="false">
      <c r="A674" s="45"/>
      <c r="B674" s="46"/>
      <c r="C674" s="46"/>
      <c r="D674" s="46"/>
      <c r="E674" s="46"/>
      <c r="F674" s="47"/>
      <c r="G674" s="48"/>
      <c r="H674" s="48"/>
      <c r="I674" s="48"/>
      <c r="J674" s="48"/>
      <c r="K674" s="48"/>
      <c r="L674" s="48"/>
      <c r="M674" s="49"/>
      <c r="N674" s="49"/>
      <c r="O674" s="49"/>
      <c r="P674" s="49"/>
      <c r="Q674" s="49"/>
      <c r="R674" s="49"/>
      <c r="S674" s="50"/>
      <c r="T674" s="50"/>
      <c r="U674" s="50"/>
      <c r="V674" s="51"/>
      <c r="W674" s="51"/>
      <c r="X674" s="51"/>
      <c r="Y674" s="51"/>
    </row>
    <row r="675" customFormat="false" ht="12.75" hidden="false" customHeight="true" outlineLevel="0" collapsed="false">
      <c r="A675" s="45"/>
      <c r="B675" s="46"/>
      <c r="C675" s="46"/>
      <c r="D675" s="46"/>
      <c r="E675" s="46"/>
      <c r="F675" s="47"/>
      <c r="G675" s="48"/>
      <c r="H675" s="48"/>
      <c r="I675" s="48"/>
      <c r="J675" s="48"/>
      <c r="K675" s="48"/>
      <c r="L675" s="48"/>
      <c r="M675" s="49"/>
      <c r="N675" s="49"/>
      <c r="O675" s="49"/>
      <c r="P675" s="49"/>
      <c r="Q675" s="49"/>
      <c r="R675" s="49"/>
      <c r="S675" s="50"/>
      <c r="T675" s="50"/>
      <c r="U675" s="50"/>
      <c r="V675" s="51"/>
      <c r="W675" s="51"/>
      <c r="X675" s="51"/>
      <c r="Y675" s="51"/>
    </row>
    <row r="676" customFormat="false" ht="12.75" hidden="false" customHeight="true" outlineLevel="0" collapsed="false">
      <c r="A676" s="45"/>
      <c r="B676" s="46"/>
      <c r="C676" s="46"/>
      <c r="D676" s="46"/>
      <c r="E676" s="46"/>
      <c r="F676" s="47"/>
      <c r="G676" s="48"/>
      <c r="H676" s="48"/>
      <c r="I676" s="48"/>
      <c r="J676" s="48"/>
      <c r="K676" s="48"/>
      <c r="L676" s="48"/>
      <c r="M676" s="49"/>
      <c r="N676" s="49"/>
      <c r="O676" s="49"/>
      <c r="P676" s="49"/>
      <c r="Q676" s="49"/>
      <c r="R676" s="49"/>
      <c r="S676" s="50"/>
      <c r="T676" s="50"/>
      <c r="U676" s="50"/>
      <c r="V676" s="51"/>
      <c r="W676" s="51"/>
      <c r="X676" s="51"/>
      <c r="Y676" s="51"/>
    </row>
    <row r="677" customFormat="false" ht="12.75" hidden="false" customHeight="true" outlineLevel="0" collapsed="false">
      <c r="A677" s="45"/>
      <c r="B677" s="46"/>
      <c r="C677" s="46"/>
      <c r="D677" s="46"/>
      <c r="E677" s="46"/>
      <c r="F677" s="47"/>
      <c r="G677" s="48"/>
      <c r="H677" s="48"/>
      <c r="I677" s="48"/>
      <c r="J677" s="48"/>
      <c r="K677" s="48"/>
      <c r="L677" s="48"/>
      <c r="M677" s="49"/>
      <c r="N677" s="49"/>
      <c r="O677" s="49"/>
      <c r="P677" s="49"/>
      <c r="Q677" s="49"/>
      <c r="R677" s="49"/>
      <c r="S677" s="50"/>
      <c r="T677" s="50"/>
      <c r="U677" s="50"/>
      <c r="V677" s="51"/>
      <c r="W677" s="51"/>
      <c r="X677" s="51"/>
      <c r="Y677" s="51"/>
    </row>
    <row r="678" customFormat="false" ht="12.75" hidden="false" customHeight="true" outlineLevel="0" collapsed="false">
      <c r="A678" s="45"/>
      <c r="B678" s="46"/>
      <c r="C678" s="46"/>
      <c r="D678" s="46"/>
      <c r="E678" s="46"/>
      <c r="F678" s="47"/>
      <c r="G678" s="48"/>
      <c r="H678" s="48"/>
      <c r="I678" s="48"/>
      <c r="J678" s="48"/>
      <c r="K678" s="48"/>
      <c r="L678" s="48"/>
      <c r="M678" s="49"/>
      <c r="N678" s="49"/>
      <c r="O678" s="49"/>
      <c r="P678" s="49"/>
      <c r="Q678" s="49"/>
      <c r="R678" s="49"/>
      <c r="S678" s="50"/>
      <c r="T678" s="50"/>
      <c r="U678" s="50"/>
      <c r="V678" s="51"/>
      <c r="W678" s="51"/>
      <c r="X678" s="51"/>
      <c r="Y678" s="51"/>
    </row>
    <row r="679" customFormat="false" ht="12.75" hidden="false" customHeight="true" outlineLevel="0" collapsed="false">
      <c r="A679" s="45"/>
      <c r="B679" s="46"/>
      <c r="C679" s="46"/>
      <c r="D679" s="46"/>
      <c r="E679" s="46"/>
      <c r="F679" s="47"/>
      <c r="G679" s="48"/>
      <c r="H679" s="48"/>
      <c r="I679" s="48"/>
      <c r="J679" s="48"/>
      <c r="K679" s="48"/>
      <c r="L679" s="48"/>
      <c r="M679" s="49"/>
      <c r="N679" s="49"/>
      <c r="O679" s="49"/>
      <c r="P679" s="49"/>
      <c r="Q679" s="49"/>
      <c r="R679" s="49"/>
      <c r="S679" s="50"/>
      <c r="T679" s="50"/>
      <c r="U679" s="50"/>
      <c r="V679" s="51"/>
      <c r="W679" s="51"/>
      <c r="X679" s="51"/>
      <c r="Y679" s="51"/>
    </row>
    <row r="680" customFormat="false" ht="12.75" hidden="false" customHeight="true" outlineLevel="0" collapsed="false">
      <c r="A680" s="45"/>
      <c r="B680" s="46"/>
      <c r="C680" s="46"/>
      <c r="D680" s="46"/>
      <c r="E680" s="46"/>
      <c r="F680" s="47"/>
      <c r="G680" s="48"/>
      <c r="H680" s="48"/>
      <c r="I680" s="48"/>
      <c r="J680" s="48"/>
      <c r="K680" s="48"/>
      <c r="L680" s="48"/>
      <c r="M680" s="49"/>
      <c r="N680" s="49"/>
      <c r="O680" s="49"/>
      <c r="P680" s="49"/>
      <c r="Q680" s="49"/>
      <c r="R680" s="49"/>
      <c r="S680" s="50"/>
      <c r="T680" s="50"/>
      <c r="U680" s="50"/>
      <c r="V680" s="51"/>
      <c r="W680" s="51"/>
      <c r="X680" s="51"/>
      <c r="Y680" s="51"/>
    </row>
    <row r="681" customFormat="false" ht="12.75" hidden="false" customHeight="true" outlineLevel="0" collapsed="false">
      <c r="A681" s="45"/>
      <c r="B681" s="46"/>
      <c r="C681" s="46"/>
      <c r="D681" s="46"/>
      <c r="E681" s="46"/>
      <c r="F681" s="47"/>
      <c r="G681" s="48"/>
      <c r="H681" s="48"/>
      <c r="I681" s="48"/>
      <c r="J681" s="48"/>
      <c r="K681" s="48"/>
      <c r="L681" s="48"/>
      <c r="M681" s="49"/>
      <c r="N681" s="49"/>
      <c r="O681" s="49"/>
      <c r="P681" s="49"/>
      <c r="Q681" s="49"/>
      <c r="R681" s="49"/>
      <c r="S681" s="50"/>
      <c r="T681" s="50"/>
      <c r="U681" s="50"/>
      <c r="V681" s="51"/>
      <c r="W681" s="51"/>
      <c r="X681" s="51"/>
      <c r="Y681" s="51"/>
    </row>
    <row r="682" customFormat="false" ht="12.75" hidden="false" customHeight="true" outlineLevel="0" collapsed="false">
      <c r="A682" s="45"/>
      <c r="B682" s="46"/>
      <c r="C682" s="46"/>
      <c r="D682" s="46"/>
      <c r="E682" s="46"/>
      <c r="F682" s="47"/>
      <c r="G682" s="48"/>
      <c r="H682" s="48"/>
      <c r="I682" s="48"/>
      <c r="J682" s="48"/>
      <c r="K682" s="48"/>
      <c r="L682" s="48"/>
      <c r="M682" s="49"/>
      <c r="N682" s="49"/>
      <c r="O682" s="49"/>
      <c r="P682" s="49"/>
      <c r="Q682" s="49"/>
      <c r="R682" s="49"/>
      <c r="S682" s="50"/>
      <c r="T682" s="50"/>
      <c r="U682" s="50"/>
      <c r="V682" s="51"/>
      <c r="W682" s="51"/>
      <c r="X682" s="51"/>
      <c r="Y682" s="51"/>
    </row>
    <row r="683" customFormat="false" ht="12.75" hidden="false" customHeight="true" outlineLevel="0" collapsed="false">
      <c r="A683" s="45"/>
      <c r="B683" s="46"/>
      <c r="C683" s="46"/>
      <c r="D683" s="46"/>
      <c r="E683" s="46"/>
      <c r="F683" s="47"/>
      <c r="G683" s="48"/>
      <c r="H683" s="48"/>
      <c r="I683" s="48"/>
      <c r="J683" s="48"/>
      <c r="K683" s="48"/>
      <c r="L683" s="48"/>
      <c r="M683" s="49"/>
      <c r="N683" s="49"/>
      <c r="O683" s="49"/>
      <c r="P683" s="49"/>
      <c r="Q683" s="49"/>
      <c r="R683" s="49"/>
      <c r="S683" s="50"/>
      <c r="T683" s="50"/>
      <c r="U683" s="50"/>
      <c r="V683" s="51"/>
      <c r="W683" s="51"/>
      <c r="X683" s="51"/>
      <c r="Y683" s="51"/>
    </row>
    <row r="684" customFormat="false" ht="12.75" hidden="false" customHeight="true" outlineLevel="0" collapsed="false">
      <c r="A684" s="45"/>
      <c r="B684" s="46"/>
      <c r="C684" s="46"/>
      <c r="D684" s="46"/>
      <c r="E684" s="46"/>
      <c r="F684" s="47"/>
      <c r="G684" s="48"/>
      <c r="H684" s="48"/>
      <c r="I684" s="48"/>
      <c r="J684" s="48"/>
      <c r="K684" s="48"/>
      <c r="L684" s="48"/>
      <c r="M684" s="49"/>
      <c r="N684" s="49"/>
      <c r="O684" s="49"/>
      <c r="P684" s="49"/>
      <c r="Q684" s="49"/>
      <c r="R684" s="49"/>
      <c r="S684" s="50"/>
      <c r="T684" s="50"/>
      <c r="U684" s="50"/>
      <c r="V684" s="51"/>
      <c r="W684" s="51"/>
      <c r="X684" s="51"/>
      <c r="Y684" s="51"/>
    </row>
    <row r="685" customFormat="false" ht="12.75" hidden="false" customHeight="true" outlineLevel="0" collapsed="false">
      <c r="A685" s="45"/>
      <c r="B685" s="46"/>
      <c r="C685" s="46"/>
      <c r="D685" s="46"/>
      <c r="E685" s="46"/>
      <c r="F685" s="47"/>
      <c r="G685" s="48"/>
      <c r="H685" s="48"/>
      <c r="I685" s="48"/>
      <c r="J685" s="48"/>
      <c r="K685" s="48"/>
      <c r="L685" s="48"/>
      <c r="M685" s="49"/>
      <c r="N685" s="49"/>
      <c r="O685" s="49"/>
      <c r="P685" s="49"/>
      <c r="Q685" s="49"/>
      <c r="R685" s="49"/>
      <c r="S685" s="50"/>
      <c r="T685" s="50"/>
      <c r="U685" s="50"/>
      <c r="V685" s="51"/>
      <c r="W685" s="51"/>
      <c r="X685" s="51"/>
      <c r="Y685" s="51"/>
    </row>
    <row r="686" customFormat="false" ht="12.75" hidden="false" customHeight="true" outlineLevel="0" collapsed="false">
      <c r="A686" s="45"/>
      <c r="B686" s="46"/>
      <c r="C686" s="46"/>
      <c r="D686" s="46"/>
      <c r="E686" s="46"/>
      <c r="F686" s="47"/>
      <c r="G686" s="48"/>
      <c r="H686" s="48"/>
      <c r="I686" s="48"/>
      <c r="J686" s="48"/>
      <c r="K686" s="48"/>
      <c r="L686" s="48"/>
      <c r="M686" s="49"/>
      <c r="N686" s="49"/>
      <c r="O686" s="49"/>
      <c r="P686" s="49"/>
      <c r="Q686" s="49"/>
      <c r="R686" s="49"/>
      <c r="S686" s="50"/>
      <c r="T686" s="50"/>
      <c r="U686" s="50"/>
      <c r="V686" s="51"/>
      <c r="W686" s="51"/>
      <c r="X686" s="51"/>
      <c r="Y686" s="51"/>
    </row>
    <row r="687" customFormat="false" ht="12.75" hidden="false" customHeight="true" outlineLevel="0" collapsed="false">
      <c r="A687" s="45"/>
      <c r="B687" s="46"/>
      <c r="C687" s="46"/>
      <c r="D687" s="46"/>
      <c r="E687" s="46"/>
      <c r="F687" s="47"/>
      <c r="G687" s="48"/>
      <c r="H687" s="48"/>
      <c r="I687" s="48"/>
      <c r="J687" s="48"/>
      <c r="K687" s="48"/>
      <c r="L687" s="48"/>
      <c r="M687" s="49"/>
      <c r="N687" s="49"/>
      <c r="O687" s="49"/>
      <c r="P687" s="49"/>
      <c r="Q687" s="49"/>
      <c r="R687" s="49"/>
      <c r="S687" s="50"/>
      <c r="T687" s="50"/>
      <c r="U687" s="50"/>
      <c r="V687" s="51"/>
      <c r="W687" s="51"/>
      <c r="X687" s="51"/>
      <c r="Y687" s="51"/>
    </row>
    <row r="688" customFormat="false" ht="12.75" hidden="false" customHeight="true" outlineLevel="0" collapsed="false">
      <c r="A688" s="45"/>
      <c r="B688" s="46"/>
      <c r="C688" s="46"/>
      <c r="D688" s="46"/>
      <c r="E688" s="46"/>
      <c r="F688" s="47"/>
      <c r="G688" s="48"/>
      <c r="H688" s="48"/>
      <c r="I688" s="48"/>
      <c r="J688" s="48"/>
      <c r="K688" s="48"/>
      <c r="L688" s="48"/>
      <c r="M688" s="49"/>
      <c r="N688" s="49"/>
      <c r="O688" s="49"/>
      <c r="P688" s="49"/>
      <c r="Q688" s="49"/>
      <c r="R688" s="49"/>
      <c r="S688" s="50"/>
      <c r="T688" s="50"/>
      <c r="U688" s="50"/>
      <c r="V688" s="51"/>
      <c r="W688" s="51"/>
      <c r="X688" s="51"/>
      <c r="Y688" s="51"/>
    </row>
    <row r="689" customFormat="false" ht="12.75" hidden="false" customHeight="true" outlineLevel="0" collapsed="false">
      <c r="A689" s="45"/>
      <c r="B689" s="46"/>
      <c r="C689" s="46"/>
      <c r="D689" s="46"/>
      <c r="E689" s="46"/>
      <c r="F689" s="47"/>
      <c r="G689" s="48"/>
      <c r="H689" s="48"/>
      <c r="I689" s="48"/>
      <c r="J689" s="48"/>
      <c r="K689" s="48"/>
      <c r="L689" s="48"/>
      <c r="M689" s="49"/>
      <c r="N689" s="49"/>
      <c r="O689" s="49"/>
      <c r="P689" s="49"/>
      <c r="Q689" s="49"/>
      <c r="R689" s="49"/>
      <c r="S689" s="50"/>
      <c r="T689" s="50"/>
      <c r="U689" s="50"/>
      <c r="V689" s="51"/>
      <c r="W689" s="51"/>
      <c r="X689" s="51"/>
      <c r="Y689" s="51"/>
    </row>
    <row r="690" customFormat="false" ht="12.75" hidden="false" customHeight="true" outlineLevel="0" collapsed="false">
      <c r="A690" s="45"/>
      <c r="B690" s="46"/>
      <c r="C690" s="46"/>
      <c r="D690" s="46"/>
      <c r="E690" s="46"/>
      <c r="F690" s="47"/>
      <c r="G690" s="48"/>
      <c r="H690" s="48"/>
      <c r="I690" s="48"/>
      <c r="J690" s="48"/>
      <c r="K690" s="48"/>
      <c r="L690" s="48"/>
      <c r="M690" s="49"/>
      <c r="N690" s="49"/>
      <c r="O690" s="49"/>
      <c r="P690" s="49"/>
      <c r="Q690" s="49"/>
      <c r="R690" s="49"/>
      <c r="S690" s="50"/>
      <c r="T690" s="50"/>
      <c r="U690" s="50"/>
      <c r="V690" s="51"/>
      <c r="W690" s="51"/>
      <c r="X690" s="51"/>
      <c r="Y690" s="51"/>
    </row>
    <row r="691" customFormat="false" ht="12.75" hidden="false" customHeight="true" outlineLevel="0" collapsed="false">
      <c r="A691" s="45"/>
      <c r="B691" s="46"/>
      <c r="C691" s="46"/>
      <c r="D691" s="46"/>
      <c r="E691" s="46"/>
      <c r="F691" s="47"/>
      <c r="G691" s="48"/>
      <c r="H691" s="48"/>
      <c r="I691" s="48"/>
      <c r="J691" s="48"/>
      <c r="K691" s="48"/>
      <c r="L691" s="48"/>
      <c r="M691" s="49"/>
      <c r="N691" s="49"/>
      <c r="O691" s="49"/>
      <c r="P691" s="49"/>
      <c r="Q691" s="49"/>
      <c r="R691" s="49"/>
      <c r="S691" s="50"/>
      <c r="T691" s="50"/>
      <c r="U691" s="50"/>
      <c r="V691" s="51"/>
      <c r="W691" s="51"/>
      <c r="X691" s="51"/>
      <c r="Y691" s="51"/>
    </row>
    <row r="692" customFormat="false" ht="12.75" hidden="false" customHeight="true" outlineLevel="0" collapsed="false">
      <c r="A692" s="45"/>
      <c r="B692" s="46"/>
      <c r="C692" s="46"/>
      <c r="D692" s="46"/>
      <c r="E692" s="46"/>
      <c r="F692" s="47"/>
      <c r="G692" s="48"/>
      <c r="H692" s="48"/>
      <c r="I692" s="48"/>
      <c r="J692" s="48"/>
      <c r="K692" s="48"/>
      <c r="L692" s="48"/>
      <c r="M692" s="49"/>
      <c r="N692" s="49"/>
      <c r="O692" s="49"/>
      <c r="P692" s="49"/>
      <c r="Q692" s="49"/>
      <c r="R692" s="49"/>
      <c r="S692" s="50"/>
      <c r="T692" s="50"/>
      <c r="U692" s="50"/>
      <c r="V692" s="51"/>
      <c r="W692" s="51"/>
      <c r="X692" s="51"/>
      <c r="Y692" s="51"/>
    </row>
    <row r="693" customFormat="false" ht="12.75" hidden="false" customHeight="true" outlineLevel="0" collapsed="false">
      <c r="A693" s="45"/>
      <c r="B693" s="46"/>
      <c r="C693" s="46"/>
      <c r="D693" s="46"/>
      <c r="E693" s="46"/>
      <c r="F693" s="47"/>
      <c r="G693" s="48"/>
      <c r="H693" s="48"/>
      <c r="I693" s="48"/>
      <c r="J693" s="48"/>
      <c r="K693" s="48"/>
      <c r="L693" s="48"/>
      <c r="M693" s="49"/>
      <c r="N693" s="49"/>
      <c r="O693" s="49"/>
      <c r="P693" s="49"/>
      <c r="Q693" s="49"/>
      <c r="R693" s="49"/>
      <c r="S693" s="50"/>
      <c r="T693" s="50"/>
      <c r="U693" s="50"/>
      <c r="V693" s="51"/>
      <c r="W693" s="51"/>
      <c r="X693" s="51"/>
      <c r="Y693" s="51"/>
    </row>
    <row r="694" customFormat="false" ht="12.75" hidden="false" customHeight="true" outlineLevel="0" collapsed="false">
      <c r="A694" s="45"/>
      <c r="B694" s="46"/>
      <c r="C694" s="46"/>
      <c r="D694" s="46"/>
      <c r="E694" s="46"/>
      <c r="F694" s="47"/>
      <c r="G694" s="48"/>
      <c r="H694" s="48"/>
      <c r="I694" s="48"/>
      <c r="J694" s="48"/>
      <c r="K694" s="48"/>
      <c r="L694" s="48"/>
      <c r="M694" s="49"/>
      <c r="N694" s="49"/>
      <c r="O694" s="49"/>
      <c r="P694" s="49"/>
      <c r="Q694" s="49"/>
      <c r="R694" s="49"/>
      <c r="S694" s="50"/>
      <c r="T694" s="50"/>
      <c r="U694" s="50"/>
      <c r="V694" s="51"/>
      <c r="W694" s="51"/>
      <c r="X694" s="51"/>
      <c r="Y694" s="51"/>
    </row>
    <row r="695" customFormat="false" ht="12.75" hidden="false" customHeight="true" outlineLevel="0" collapsed="false">
      <c r="A695" s="45"/>
      <c r="B695" s="46"/>
      <c r="C695" s="46"/>
      <c r="D695" s="46"/>
      <c r="E695" s="46"/>
      <c r="F695" s="47"/>
      <c r="G695" s="48"/>
      <c r="H695" s="48"/>
      <c r="I695" s="48"/>
      <c r="J695" s="48"/>
      <c r="K695" s="48"/>
      <c r="L695" s="48"/>
      <c r="M695" s="49"/>
      <c r="N695" s="49"/>
      <c r="O695" s="49"/>
      <c r="P695" s="49"/>
      <c r="Q695" s="49"/>
      <c r="R695" s="49"/>
      <c r="S695" s="50"/>
      <c r="T695" s="50"/>
      <c r="U695" s="50"/>
      <c r="V695" s="51"/>
      <c r="W695" s="51"/>
      <c r="X695" s="51"/>
      <c r="Y695" s="51"/>
    </row>
    <row r="696" customFormat="false" ht="12.75" hidden="false" customHeight="true" outlineLevel="0" collapsed="false">
      <c r="A696" s="45"/>
      <c r="B696" s="46"/>
      <c r="C696" s="46"/>
      <c r="D696" s="46"/>
      <c r="E696" s="46"/>
      <c r="F696" s="47"/>
      <c r="G696" s="48"/>
      <c r="H696" s="48"/>
      <c r="I696" s="48"/>
      <c r="J696" s="48"/>
      <c r="K696" s="48"/>
      <c r="L696" s="48"/>
      <c r="M696" s="49"/>
      <c r="N696" s="49"/>
      <c r="O696" s="49"/>
      <c r="P696" s="49"/>
      <c r="Q696" s="49"/>
      <c r="R696" s="49"/>
      <c r="S696" s="50"/>
      <c r="T696" s="50"/>
      <c r="U696" s="50"/>
      <c r="V696" s="51"/>
      <c r="W696" s="51"/>
      <c r="X696" s="51"/>
      <c r="Y696" s="51"/>
    </row>
    <row r="697" customFormat="false" ht="12.75" hidden="false" customHeight="true" outlineLevel="0" collapsed="false">
      <c r="A697" s="45"/>
      <c r="B697" s="46"/>
      <c r="C697" s="46"/>
      <c r="D697" s="46"/>
      <c r="E697" s="46"/>
      <c r="F697" s="47"/>
      <c r="G697" s="48"/>
      <c r="H697" s="48"/>
      <c r="I697" s="48"/>
      <c r="J697" s="48"/>
      <c r="K697" s="48"/>
      <c r="L697" s="48"/>
      <c r="M697" s="49"/>
      <c r="N697" s="49"/>
      <c r="O697" s="49"/>
      <c r="P697" s="49"/>
      <c r="Q697" s="49"/>
      <c r="R697" s="49"/>
      <c r="S697" s="50"/>
      <c r="T697" s="50"/>
      <c r="U697" s="50"/>
      <c r="V697" s="51"/>
      <c r="W697" s="51"/>
      <c r="X697" s="51"/>
      <c r="Y697" s="51"/>
    </row>
    <row r="698" customFormat="false" ht="12.75" hidden="false" customHeight="true" outlineLevel="0" collapsed="false">
      <c r="A698" s="45"/>
      <c r="B698" s="46"/>
      <c r="C698" s="46"/>
      <c r="D698" s="46"/>
      <c r="E698" s="46"/>
      <c r="F698" s="47"/>
      <c r="G698" s="48"/>
      <c r="H698" s="48"/>
      <c r="I698" s="48"/>
      <c r="J698" s="48"/>
      <c r="K698" s="48"/>
      <c r="L698" s="48"/>
      <c r="M698" s="49"/>
      <c r="N698" s="49"/>
      <c r="O698" s="49"/>
      <c r="P698" s="49"/>
      <c r="Q698" s="49"/>
      <c r="R698" s="49"/>
      <c r="S698" s="50"/>
      <c r="T698" s="50"/>
      <c r="U698" s="50"/>
      <c r="V698" s="51"/>
      <c r="W698" s="51"/>
      <c r="X698" s="51"/>
      <c r="Y698" s="51"/>
    </row>
    <row r="699" customFormat="false" ht="12.75" hidden="false" customHeight="true" outlineLevel="0" collapsed="false">
      <c r="A699" s="45"/>
      <c r="B699" s="46"/>
      <c r="C699" s="46"/>
      <c r="D699" s="46"/>
      <c r="E699" s="46"/>
      <c r="F699" s="47"/>
      <c r="G699" s="48"/>
      <c r="H699" s="48"/>
      <c r="I699" s="48"/>
      <c r="J699" s="48"/>
      <c r="K699" s="48"/>
      <c r="L699" s="48"/>
      <c r="M699" s="49"/>
      <c r="N699" s="49"/>
      <c r="O699" s="49"/>
      <c r="P699" s="49"/>
      <c r="Q699" s="49"/>
      <c r="R699" s="49"/>
      <c r="S699" s="50"/>
      <c r="T699" s="50"/>
      <c r="U699" s="50"/>
      <c r="V699" s="51"/>
      <c r="W699" s="51"/>
      <c r="X699" s="51"/>
      <c r="Y699" s="51"/>
    </row>
    <row r="700" customFormat="false" ht="12.75" hidden="false" customHeight="true" outlineLevel="0" collapsed="false">
      <c r="A700" s="45"/>
      <c r="B700" s="46"/>
      <c r="C700" s="46"/>
      <c r="D700" s="46"/>
      <c r="E700" s="46"/>
      <c r="F700" s="47"/>
      <c r="G700" s="48"/>
      <c r="H700" s="48"/>
      <c r="I700" s="48"/>
      <c r="J700" s="48"/>
      <c r="K700" s="48"/>
      <c r="L700" s="48"/>
      <c r="M700" s="49"/>
      <c r="N700" s="49"/>
      <c r="O700" s="49"/>
      <c r="P700" s="49"/>
      <c r="Q700" s="49"/>
      <c r="R700" s="49"/>
      <c r="S700" s="50"/>
      <c r="T700" s="50"/>
      <c r="U700" s="50"/>
      <c r="V700" s="51"/>
      <c r="W700" s="51"/>
      <c r="X700" s="51"/>
      <c r="Y700" s="51"/>
    </row>
    <row r="701" customFormat="false" ht="12.75" hidden="false" customHeight="true" outlineLevel="0" collapsed="false">
      <c r="A701" s="45"/>
      <c r="B701" s="46"/>
      <c r="C701" s="46"/>
      <c r="D701" s="46"/>
      <c r="E701" s="46"/>
      <c r="F701" s="47"/>
      <c r="G701" s="48"/>
      <c r="H701" s="48"/>
      <c r="I701" s="48"/>
      <c r="J701" s="48"/>
      <c r="K701" s="48"/>
      <c r="L701" s="48"/>
      <c r="M701" s="49"/>
      <c r="N701" s="49"/>
      <c r="O701" s="49"/>
      <c r="P701" s="49"/>
      <c r="Q701" s="49"/>
      <c r="R701" s="49"/>
      <c r="S701" s="50"/>
      <c r="T701" s="50"/>
      <c r="U701" s="50"/>
      <c r="V701" s="51"/>
      <c r="W701" s="51"/>
      <c r="X701" s="51"/>
      <c r="Y701" s="51"/>
    </row>
    <row r="702" customFormat="false" ht="12.75" hidden="false" customHeight="true" outlineLevel="0" collapsed="false">
      <c r="A702" s="45"/>
      <c r="B702" s="46"/>
      <c r="C702" s="46"/>
      <c r="D702" s="46"/>
      <c r="E702" s="46"/>
      <c r="F702" s="47"/>
      <c r="G702" s="48"/>
      <c r="H702" s="48"/>
      <c r="I702" s="48"/>
      <c r="J702" s="48"/>
      <c r="K702" s="48"/>
      <c r="L702" s="48"/>
      <c r="M702" s="49"/>
      <c r="N702" s="49"/>
      <c r="O702" s="49"/>
      <c r="P702" s="49"/>
      <c r="Q702" s="49"/>
      <c r="R702" s="49"/>
      <c r="S702" s="50"/>
      <c r="T702" s="50"/>
      <c r="U702" s="50"/>
      <c r="V702" s="51"/>
      <c r="W702" s="51"/>
      <c r="X702" s="51"/>
      <c r="Y702" s="51"/>
    </row>
    <row r="703" customFormat="false" ht="12.75" hidden="false" customHeight="true" outlineLevel="0" collapsed="false">
      <c r="A703" s="45"/>
      <c r="B703" s="46"/>
      <c r="C703" s="46"/>
      <c r="D703" s="46"/>
      <c r="E703" s="46"/>
      <c r="F703" s="47"/>
      <c r="G703" s="48"/>
      <c r="H703" s="48"/>
      <c r="I703" s="48"/>
      <c r="J703" s="48"/>
      <c r="K703" s="48"/>
      <c r="L703" s="48"/>
      <c r="M703" s="49"/>
      <c r="N703" s="49"/>
      <c r="O703" s="49"/>
      <c r="P703" s="49"/>
      <c r="Q703" s="49"/>
      <c r="R703" s="49"/>
      <c r="S703" s="50"/>
      <c r="T703" s="50"/>
      <c r="U703" s="50"/>
      <c r="V703" s="51"/>
      <c r="W703" s="51"/>
      <c r="X703" s="51"/>
      <c r="Y703" s="51"/>
    </row>
    <row r="704" customFormat="false" ht="12.75" hidden="false" customHeight="true" outlineLevel="0" collapsed="false">
      <c r="A704" s="45"/>
      <c r="B704" s="46"/>
      <c r="C704" s="46"/>
      <c r="D704" s="46"/>
      <c r="E704" s="46"/>
      <c r="F704" s="47"/>
      <c r="G704" s="48"/>
      <c r="H704" s="48"/>
      <c r="I704" s="48"/>
      <c r="J704" s="48"/>
      <c r="K704" s="48"/>
      <c r="L704" s="48"/>
      <c r="M704" s="49"/>
      <c r="N704" s="49"/>
      <c r="O704" s="49"/>
      <c r="P704" s="49"/>
      <c r="Q704" s="49"/>
      <c r="R704" s="49"/>
      <c r="S704" s="50"/>
      <c r="T704" s="50"/>
      <c r="U704" s="50"/>
      <c r="V704" s="51"/>
      <c r="W704" s="51"/>
      <c r="X704" s="51"/>
      <c r="Y704" s="51"/>
    </row>
    <row r="705" customFormat="false" ht="12.75" hidden="false" customHeight="true" outlineLevel="0" collapsed="false">
      <c r="A705" s="45"/>
      <c r="B705" s="46"/>
      <c r="C705" s="46"/>
      <c r="D705" s="46"/>
      <c r="E705" s="46"/>
      <c r="F705" s="47"/>
      <c r="G705" s="48"/>
      <c r="H705" s="48"/>
      <c r="I705" s="48"/>
      <c r="J705" s="48"/>
      <c r="K705" s="48"/>
      <c r="L705" s="48"/>
      <c r="M705" s="49"/>
      <c r="N705" s="49"/>
      <c r="O705" s="49"/>
      <c r="P705" s="49"/>
      <c r="Q705" s="49"/>
      <c r="R705" s="49"/>
      <c r="S705" s="50"/>
      <c r="T705" s="50"/>
      <c r="U705" s="50"/>
      <c r="V705" s="51"/>
      <c r="W705" s="51"/>
      <c r="X705" s="51"/>
      <c r="Y705" s="51"/>
    </row>
    <row r="706" customFormat="false" ht="12.75" hidden="false" customHeight="true" outlineLevel="0" collapsed="false">
      <c r="A706" s="45"/>
      <c r="B706" s="46"/>
      <c r="C706" s="46"/>
      <c r="D706" s="46"/>
      <c r="E706" s="46"/>
      <c r="F706" s="47"/>
      <c r="G706" s="48"/>
      <c r="H706" s="48"/>
      <c r="I706" s="48"/>
      <c r="J706" s="48"/>
      <c r="K706" s="48"/>
      <c r="L706" s="48"/>
      <c r="M706" s="49"/>
      <c r="N706" s="49"/>
      <c r="O706" s="49"/>
      <c r="P706" s="49"/>
      <c r="Q706" s="49"/>
      <c r="R706" s="49"/>
      <c r="S706" s="50"/>
      <c r="T706" s="50"/>
      <c r="U706" s="50"/>
      <c r="V706" s="51"/>
      <c r="W706" s="51"/>
      <c r="X706" s="51"/>
      <c r="Y706" s="51"/>
    </row>
    <row r="707" customFormat="false" ht="12.75" hidden="false" customHeight="true" outlineLevel="0" collapsed="false">
      <c r="A707" s="45"/>
      <c r="B707" s="46"/>
      <c r="C707" s="46"/>
      <c r="D707" s="46"/>
      <c r="E707" s="46"/>
      <c r="F707" s="47"/>
      <c r="G707" s="48"/>
      <c r="H707" s="48"/>
      <c r="I707" s="48"/>
      <c r="J707" s="48"/>
      <c r="K707" s="48"/>
      <c r="L707" s="48"/>
      <c r="M707" s="49"/>
      <c r="N707" s="49"/>
      <c r="O707" s="49"/>
      <c r="P707" s="49"/>
      <c r="Q707" s="49"/>
      <c r="R707" s="49"/>
      <c r="S707" s="50"/>
      <c r="T707" s="50"/>
      <c r="U707" s="50"/>
      <c r="V707" s="51"/>
      <c r="W707" s="51"/>
      <c r="X707" s="51"/>
      <c r="Y707" s="51"/>
    </row>
    <row r="708" customFormat="false" ht="12.75" hidden="false" customHeight="true" outlineLevel="0" collapsed="false">
      <c r="A708" s="45"/>
      <c r="B708" s="46"/>
      <c r="C708" s="46"/>
      <c r="D708" s="46"/>
      <c r="E708" s="46"/>
      <c r="F708" s="47"/>
      <c r="G708" s="48"/>
      <c r="H708" s="48"/>
      <c r="I708" s="48"/>
      <c r="J708" s="48"/>
      <c r="K708" s="48"/>
      <c r="L708" s="48"/>
      <c r="M708" s="49"/>
      <c r="N708" s="49"/>
      <c r="O708" s="49"/>
      <c r="P708" s="49"/>
      <c r="Q708" s="49"/>
      <c r="R708" s="49"/>
      <c r="S708" s="50"/>
      <c r="T708" s="50"/>
      <c r="U708" s="50"/>
      <c r="V708" s="51"/>
      <c r="W708" s="51"/>
      <c r="X708" s="51"/>
      <c r="Y708" s="51"/>
    </row>
    <row r="709" customFormat="false" ht="12.75" hidden="false" customHeight="true" outlineLevel="0" collapsed="false">
      <c r="A709" s="45"/>
      <c r="B709" s="46"/>
      <c r="C709" s="46"/>
      <c r="D709" s="46"/>
      <c r="E709" s="46"/>
      <c r="F709" s="47"/>
      <c r="G709" s="48"/>
      <c r="H709" s="48"/>
      <c r="I709" s="48"/>
      <c r="J709" s="48"/>
      <c r="K709" s="48"/>
      <c r="L709" s="48"/>
      <c r="M709" s="49"/>
      <c r="N709" s="49"/>
      <c r="O709" s="49"/>
      <c r="P709" s="49"/>
      <c r="Q709" s="49"/>
      <c r="R709" s="49"/>
      <c r="S709" s="50"/>
      <c r="T709" s="50"/>
      <c r="U709" s="50"/>
      <c r="V709" s="51"/>
      <c r="W709" s="51"/>
      <c r="X709" s="51"/>
      <c r="Y709" s="51"/>
    </row>
    <row r="710" customFormat="false" ht="12.75" hidden="false" customHeight="true" outlineLevel="0" collapsed="false">
      <c r="A710" s="45"/>
      <c r="B710" s="46"/>
      <c r="C710" s="46"/>
      <c r="D710" s="46"/>
      <c r="E710" s="46"/>
      <c r="F710" s="47"/>
      <c r="G710" s="48"/>
      <c r="H710" s="48"/>
      <c r="I710" s="48"/>
      <c r="J710" s="48"/>
      <c r="K710" s="48"/>
      <c r="L710" s="48"/>
      <c r="M710" s="49"/>
      <c r="N710" s="49"/>
      <c r="O710" s="49"/>
      <c r="P710" s="49"/>
      <c r="Q710" s="49"/>
      <c r="R710" s="49"/>
      <c r="S710" s="50"/>
      <c r="T710" s="50"/>
      <c r="U710" s="50"/>
      <c r="V710" s="51"/>
      <c r="W710" s="51"/>
      <c r="X710" s="51"/>
      <c r="Y710" s="51"/>
    </row>
    <row r="711" customFormat="false" ht="12.75" hidden="false" customHeight="true" outlineLevel="0" collapsed="false">
      <c r="A711" s="45"/>
      <c r="B711" s="46"/>
      <c r="C711" s="46"/>
      <c r="D711" s="46"/>
      <c r="E711" s="46"/>
      <c r="F711" s="47"/>
      <c r="G711" s="48"/>
      <c r="H711" s="48"/>
      <c r="I711" s="48"/>
      <c r="J711" s="48"/>
      <c r="K711" s="48"/>
      <c r="L711" s="48"/>
      <c r="M711" s="49"/>
      <c r="N711" s="49"/>
      <c r="O711" s="49"/>
      <c r="P711" s="49"/>
      <c r="Q711" s="49"/>
      <c r="R711" s="49"/>
      <c r="S711" s="50"/>
      <c r="T711" s="50"/>
      <c r="U711" s="50"/>
      <c r="V711" s="51"/>
      <c r="W711" s="51"/>
      <c r="X711" s="51"/>
      <c r="Y711" s="51"/>
    </row>
    <row r="712" customFormat="false" ht="12.75" hidden="false" customHeight="true" outlineLevel="0" collapsed="false">
      <c r="A712" s="45"/>
      <c r="B712" s="46"/>
      <c r="C712" s="46"/>
      <c r="D712" s="46"/>
      <c r="E712" s="46"/>
      <c r="F712" s="47"/>
      <c r="G712" s="48"/>
      <c r="H712" s="48"/>
      <c r="I712" s="48"/>
      <c r="J712" s="48"/>
      <c r="K712" s="48"/>
      <c r="L712" s="48"/>
      <c r="M712" s="49"/>
      <c r="N712" s="49"/>
      <c r="O712" s="49"/>
      <c r="P712" s="49"/>
      <c r="Q712" s="49"/>
      <c r="R712" s="49"/>
      <c r="S712" s="50"/>
      <c r="T712" s="50"/>
      <c r="U712" s="50"/>
      <c r="V712" s="51"/>
      <c r="W712" s="51"/>
      <c r="X712" s="51"/>
      <c r="Y712" s="51"/>
    </row>
    <row r="713" customFormat="false" ht="12.75" hidden="false" customHeight="true" outlineLevel="0" collapsed="false">
      <c r="A713" s="45"/>
      <c r="B713" s="46"/>
      <c r="C713" s="46"/>
      <c r="D713" s="46"/>
      <c r="E713" s="46"/>
      <c r="F713" s="47"/>
      <c r="G713" s="48"/>
      <c r="H713" s="48"/>
      <c r="I713" s="48"/>
      <c r="J713" s="48"/>
      <c r="K713" s="48"/>
      <c r="L713" s="48"/>
      <c r="M713" s="49"/>
      <c r="N713" s="49"/>
      <c r="O713" s="49"/>
      <c r="P713" s="49"/>
      <c r="Q713" s="49"/>
      <c r="R713" s="49"/>
      <c r="S713" s="50"/>
      <c r="T713" s="50"/>
      <c r="U713" s="50"/>
      <c r="V713" s="51"/>
      <c r="W713" s="51"/>
      <c r="X713" s="51"/>
      <c r="Y713" s="51"/>
    </row>
    <row r="714" customFormat="false" ht="12.75" hidden="false" customHeight="true" outlineLevel="0" collapsed="false">
      <c r="A714" s="45"/>
      <c r="B714" s="46"/>
      <c r="C714" s="46"/>
      <c r="D714" s="46"/>
      <c r="E714" s="46"/>
      <c r="F714" s="47"/>
      <c r="G714" s="48"/>
      <c r="H714" s="48"/>
      <c r="I714" s="48"/>
      <c r="J714" s="48"/>
      <c r="K714" s="48"/>
      <c r="L714" s="48"/>
      <c r="M714" s="49"/>
      <c r="N714" s="49"/>
      <c r="O714" s="49"/>
      <c r="P714" s="49"/>
      <c r="Q714" s="49"/>
      <c r="R714" s="49"/>
      <c r="S714" s="50"/>
      <c r="T714" s="50"/>
      <c r="U714" s="50"/>
      <c r="V714" s="51"/>
      <c r="W714" s="51"/>
      <c r="X714" s="51"/>
      <c r="Y714" s="51"/>
    </row>
    <row r="715" customFormat="false" ht="12.75" hidden="false" customHeight="true" outlineLevel="0" collapsed="false">
      <c r="A715" s="45"/>
      <c r="B715" s="46"/>
      <c r="C715" s="46"/>
      <c r="D715" s="46"/>
      <c r="E715" s="46"/>
      <c r="F715" s="47"/>
      <c r="G715" s="48"/>
      <c r="H715" s="48"/>
      <c r="I715" s="48"/>
      <c r="J715" s="48"/>
      <c r="K715" s="48"/>
      <c r="L715" s="48"/>
      <c r="M715" s="49"/>
      <c r="N715" s="49"/>
      <c r="O715" s="49"/>
      <c r="P715" s="49"/>
      <c r="Q715" s="49"/>
      <c r="R715" s="49"/>
      <c r="S715" s="50"/>
      <c r="T715" s="50"/>
      <c r="U715" s="50"/>
      <c r="V715" s="51"/>
      <c r="W715" s="51"/>
      <c r="X715" s="51"/>
      <c r="Y715" s="51"/>
    </row>
    <row r="716" customFormat="false" ht="12.75" hidden="false" customHeight="true" outlineLevel="0" collapsed="false">
      <c r="A716" s="45"/>
      <c r="B716" s="46"/>
      <c r="C716" s="46"/>
      <c r="D716" s="46"/>
      <c r="E716" s="46"/>
      <c r="F716" s="47"/>
      <c r="G716" s="48"/>
      <c r="H716" s="48"/>
      <c r="I716" s="48"/>
      <c r="J716" s="48"/>
      <c r="K716" s="48"/>
      <c r="L716" s="48"/>
      <c r="M716" s="49"/>
      <c r="N716" s="49"/>
      <c r="O716" s="49"/>
      <c r="P716" s="49"/>
      <c r="Q716" s="49"/>
      <c r="R716" s="49"/>
      <c r="S716" s="50"/>
      <c r="T716" s="50"/>
      <c r="U716" s="50"/>
      <c r="V716" s="51"/>
      <c r="W716" s="51"/>
      <c r="X716" s="51"/>
      <c r="Y716" s="51"/>
    </row>
    <row r="717" customFormat="false" ht="12.75" hidden="false" customHeight="true" outlineLevel="0" collapsed="false">
      <c r="A717" s="45"/>
      <c r="B717" s="46"/>
      <c r="C717" s="46"/>
      <c r="D717" s="46"/>
      <c r="E717" s="46"/>
      <c r="F717" s="47"/>
      <c r="G717" s="48"/>
      <c r="H717" s="48"/>
      <c r="I717" s="48"/>
      <c r="J717" s="48"/>
      <c r="K717" s="48"/>
      <c r="L717" s="48"/>
      <c r="M717" s="49"/>
      <c r="N717" s="49"/>
      <c r="O717" s="49"/>
      <c r="P717" s="49"/>
      <c r="Q717" s="49"/>
      <c r="R717" s="49"/>
      <c r="S717" s="50"/>
      <c r="T717" s="50"/>
      <c r="U717" s="50"/>
      <c r="V717" s="51"/>
      <c r="W717" s="51"/>
      <c r="X717" s="51"/>
      <c r="Y717" s="51"/>
    </row>
    <row r="718" customFormat="false" ht="12.75" hidden="false" customHeight="true" outlineLevel="0" collapsed="false">
      <c r="A718" s="45"/>
      <c r="B718" s="46"/>
      <c r="C718" s="46"/>
      <c r="D718" s="46"/>
      <c r="E718" s="46"/>
      <c r="F718" s="47"/>
      <c r="G718" s="48"/>
      <c r="H718" s="48"/>
      <c r="I718" s="48"/>
      <c r="J718" s="48"/>
      <c r="K718" s="48"/>
      <c r="L718" s="48"/>
      <c r="M718" s="49"/>
      <c r="N718" s="49"/>
      <c r="O718" s="49"/>
      <c r="P718" s="49"/>
      <c r="Q718" s="49"/>
      <c r="R718" s="49"/>
      <c r="S718" s="50"/>
      <c r="T718" s="50"/>
      <c r="U718" s="50"/>
      <c r="V718" s="51"/>
      <c r="W718" s="51"/>
      <c r="X718" s="51"/>
      <c r="Y718" s="51"/>
    </row>
    <row r="719" customFormat="false" ht="12.75" hidden="false" customHeight="true" outlineLevel="0" collapsed="false">
      <c r="A719" s="45"/>
      <c r="B719" s="46"/>
      <c r="C719" s="46"/>
      <c r="D719" s="46"/>
      <c r="E719" s="46"/>
      <c r="F719" s="47"/>
      <c r="G719" s="48"/>
      <c r="H719" s="48"/>
      <c r="I719" s="48"/>
      <c r="J719" s="48"/>
      <c r="K719" s="48"/>
      <c r="L719" s="48"/>
      <c r="M719" s="49"/>
      <c r="N719" s="49"/>
      <c r="O719" s="49"/>
      <c r="P719" s="49"/>
      <c r="Q719" s="49"/>
      <c r="R719" s="49"/>
      <c r="S719" s="50"/>
      <c r="T719" s="50"/>
      <c r="U719" s="50"/>
      <c r="V719" s="51"/>
      <c r="W719" s="51"/>
      <c r="X719" s="51"/>
      <c r="Y719" s="51"/>
    </row>
    <row r="720" customFormat="false" ht="12.75" hidden="false" customHeight="true" outlineLevel="0" collapsed="false">
      <c r="A720" s="45"/>
      <c r="B720" s="46"/>
      <c r="C720" s="46"/>
      <c r="D720" s="46"/>
      <c r="E720" s="46"/>
      <c r="F720" s="47"/>
      <c r="G720" s="48"/>
      <c r="H720" s="48"/>
      <c r="I720" s="48"/>
      <c r="J720" s="48"/>
      <c r="K720" s="48"/>
      <c r="L720" s="48"/>
      <c r="M720" s="49"/>
      <c r="N720" s="49"/>
      <c r="O720" s="49"/>
      <c r="P720" s="49"/>
      <c r="Q720" s="49"/>
      <c r="R720" s="49"/>
      <c r="S720" s="50"/>
      <c r="T720" s="50"/>
      <c r="U720" s="50"/>
      <c r="V720" s="51"/>
      <c r="W720" s="51"/>
      <c r="X720" s="51"/>
      <c r="Y720" s="51"/>
    </row>
    <row r="721" customFormat="false" ht="12.75" hidden="false" customHeight="true" outlineLevel="0" collapsed="false">
      <c r="A721" s="45"/>
      <c r="B721" s="46"/>
      <c r="C721" s="46"/>
      <c r="D721" s="46"/>
      <c r="E721" s="46"/>
      <c r="F721" s="47"/>
      <c r="G721" s="48"/>
      <c r="H721" s="48"/>
      <c r="I721" s="48"/>
      <c r="J721" s="48"/>
      <c r="K721" s="48"/>
      <c r="L721" s="48"/>
      <c r="M721" s="49"/>
      <c r="N721" s="49"/>
      <c r="O721" s="49"/>
      <c r="P721" s="49"/>
      <c r="Q721" s="49"/>
      <c r="R721" s="49"/>
      <c r="S721" s="50"/>
      <c r="T721" s="50"/>
      <c r="U721" s="50"/>
      <c r="V721" s="51"/>
      <c r="W721" s="51"/>
      <c r="X721" s="51"/>
      <c r="Y721" s="51"/>
    </row>
    <row r="722" customFormat="false" ht="12.75" hidden="false" customHeight="true" outlineLevel="0" collapsed="false">
      <c r="A722" s="45"/>
      <c r="B722" s="46"/>
      <c r="C722" s="46"/>
      <c r="D722" s="46"/>
      <c r="E722" s="46"/>
      <c r="F722" s="47"/>
      <c r="G722" s="48"/>
      <c r="H722" s="48"/>
      <c r="I722" s="48"/>
      <c r="J722" s="48"/>
      <c r="K722" s="48"/>
      <c r="L722" s="48"/>
      <c r="M722" s="49"/>
      <c r="N722" s="49"/>
      <c r="O722" s="49"/>
      <c r="P722" s="49"/>
      <c r="Q722" s="49"/>
      <c r="R722" s="49"/>
      <c r="S722" s="50"/>
      <c r="T722" s="50"/>
      <c r="U722" s="50"/>
      <c r="V722" s="51"/>
      <c r="W722" s="51"/>
      <c r="X722" s="51"/>
      <c r="Y722" s="51"/>
    </row>
    <row r="723" customFormat="false" ht="12.75" hidden="false" customHeight="true" outlineLevel="0" collapsed="false">
      <c r="A723" s="45"/>
      <c r="B723" s="46"/>
      <c r="C723" s="46"/>
      <c r="D723" s="46"/>
      <c r="E723" s="46"/>
      <c r="F723" s="47"/>
      <c r="G723" s="48"/>
      <c r="H723" s="48"/>
      <c r="I723" s="48"/>
      <c r="J723" s="48"/>
      <c r="K723" s="48"/>
      <c r="L723" s="48"/>
      <c r="M723" s="49"/>
      <c r="N723" s="49"/>
      <c r="O723" s="49"/>
      <c r="P723" s="49"/>
      <c r="Q723" s="49"/>
      <c r="R723" s="49"/>
      <c r="S723" s="50"/>
      <c r="T723" s="50"/>
      <c r="U723" s="50"/>
      <c r="V723" s="51"/>
      <c r="W723" s="51"/>
      <c r="X723" s="51"/>
      <c r="Y723" s="51"/>
    </row>
    <row r="724" customFormat="false" ht="12.75" hidden="false" customHeight="true" outlineLevel="0" collapsed="false">
      <c r="A724" s="45"/>
      <c r="B724" s="46"/>
      <c r="C724" s="46"/>
      <c r="D724" s="46"/>
      <c r="E724" s="46"/>
      <c r="F724" s="47"/>
      <c r="G724" s="48"/>
      <c r="H724" s="48"/>
      <c r="I724" s="48"/>
      <c r="J724" s="48"/>
      <c r="K724" s="48"/>
      <c r="L724" s="48"/>
      <c r="M724" s="49"/>
      <c r="N724" s="49"/>
      <c r="O724" s="49"/>
      <c r="P724" s="49"/>
      <c r="Q724" s="49"/>
      <c r="R724" s="49"/>
      <c r="S724" s="50"/>
      <c r="T724" s="50"/>
      <c r="U724" s="50"/>
      <c r="V724" s="51"/>
      <c r="W724" s="51"/>
      <c r="X724" s="51"/>
      <c r="Y724" s="51"/>
    </row>
    <row r="725" customFormat="false" ht="12.75" hidden="false" customHeight="true" outlineLevel="0" collapsed="false">
      <c r="A725" s="45"/>
      <c r="B725" s="46"/>
      <c r="C725" s="46"/>
      <c r="D725" s="46"/>
      <c r="E725" s="46"/>
      <c r="F725" s="47"/>
      <c r="G725" s="48"/>
      <c r="H725" s="48"/>
      <c r="I725" s="48"/>
      <c r="J725" s="48"/>
      <c r="K725" s="48"/>
      <c r="L725" s="48"/>
      <c r="M725" s="49"/>
      <c r="N725" s="49"/>
      <c r="O725" s="49"/>
      <c r="P725" s="49"/>
      <c r="Q725" s="49"/>
      <c r="R725" s="49"/>
      <c r="S725" s="50"/>
      <c r="T725" s="50"/>
      <c r="U725" s="50"/>
      <c r="V725" s="51"/>
      <c r="W725" s="51"/>
      <c r="X725" s="51"/>
      <c r="Y725" s="51"/>
    </row>
    <row r="726" customFormat="false" ht="12.75" hidden="false" customHeight="true" outlineLevel="0" collapsed="false">
      <c r="A726" s="45"/>
      <c r="B726" s="46"/>
      <c r="C726" s="46"/>
      <c r="D726" s="46"/>
      <c r="E726" s="46"/>
      <c r="F726" s="47"/>
      <c r="G726" s="48"/>
      <c r="H726" s="48"/>
      <c r="I726" s="48"/>
      <c r="J726" s="48"/>
      <c r="K726" s="48"/>
      <c r="L726" s="48"/>
      <c r="M726" s="49"/>
      <c r="N726" s="49"/>
      <c r="O726" s="49"/>
      <c r="P726" s="49"/>
      <c r="Q726" s="49"/>
      <c r="R726" s="49"/>
      <c r="S726" s="50"/>
      <c r="T726" s="50"/>
      <c r="U726" s="50"/>
      <c r="V726" s="51"/>
      <c r="W726" s="51"/>
      <c r="X726" s="51"/>
      <c r="Y726" s="51"/>
    </row>
    <row r="727" customFormat="false" ht="12.75" hidden="false" customHeight="true" outlineLevel="0" collapsed="false">
      <c r="A727" s="45"/>
      <c r="B727" s="46"/>
      <c r="C727" s="46"/>
      <c r="D727" s="46"/>
      <c r="E727" s="46"/>
      <c r="F727" s="47"/>
      <c r="G727" s="48"/>
      <c r="H727" s="48"/>
      <c r="I727" s="48"/>
      <c r="J727" s="48"/>
      <c r="K727" s="48"/>
      <c r="L727" s="48"/>
      <c r="M727" s="49"/>
      <c r="N727" s="49"/>
      <c r="O727" s="49"/>
      <c r="P727" s="49"/>
      <c r="Q727" s="49"/>
      <c r="R727" s="49"/>
      <c r="S727" s="50"/>
      <c r="T727" s="50"/>
      <c r="U727" s="50"/>
      <c r="V727" s="51"/>
      <c r="W727" s="51"/>
      <c r="X727" s="51"/>
      <c r="Y727" s="51"/>
    </row>
    <row r="728" customFormat="false" ht="12.75" hidden="false" customHeight="true" outlineLevel="0" collapsed="false">
      <c r="A728" s="45"/>
      <c r="B728" s="46"/>
      <c r="C728" s="46"/>
      <c r="D728" s="46"/>
      <c r="E728" s="46"/>
      <c r="F728" s="47"/>
      <c r="G728" s="48"/>
      <c r="H728" s="48"/>
      <c r="I728" s="48"/>
      <c r="J728" s="48"/>
      <c r="K728" s="48"/>
      <c r="L728" s="48"/>
      <c r="M728" s="49"/>
      <c r="N728" s="49"/>
      <c r="O728" s="49"/>
      <c r="P728" s="49"/>
      <c r="Q728" s="49"/>
      <c r="R728" s="49"/>
      <c r="S728" s="50"/>
      <c r="T728" s="50"/>
      <c r="U728" s="50"/>
      <c r="V728" s="51"/>
      <c r="W728" s="51"/>
      <c r="X728" s="51"/>
      <c r="Y728" s="51"/>
    </row>
    <row r="729" customFormat="false" ht="12.75" hidden="false" customHeight="true" outlineLevel="0" collapsed="false">
      <c r="A729" s="45"/>
      <c r="B729" s="46"/>
      <c r="C729" s="46"/>
      <c r="D729" s="46"/>
      <c r="E729" s="46"/>
      <c r="F729" s="47"/>
      <c r="G729" s="48"/>
      <c r="H729" s="48"/>
      <c r="I729" s="48"/>
      <c r="J729" s="48"/>
      <c r="K729" s="48"/>
      <c r="L729" s="48"/>
      <c r="M729" s="49"/>
      <c r="N729" s="49"/>
      <c r="O729" s="49"/>
      <c r="P729" s="49"/>
      <c r="Q729" s="49"/>
      <c r="R729" s="49"/>
      <c r="S729" s="50"/>
      <c r="T729" s="50"/>
      <c r="U729" s="50"/>
      <c r="V729" s="51"/>
      <c r="W729" s="51"/>
      <c r="X729" s="51"/>
      <c r="Y729" s="51"/>
    </row>
    <row r="730" customFormat="false" ht="12.75" hidden="false" customHeight="true" outlineLevel="0" collapsed="false">
      <c r="A730" s="45"/>
      <c r="B730" s="46"/>
      <c r="C730" s="46"/>
      <c r="D730" s="46"/>
      <c r="E730" s="46"/>
      <c r="F730" s="47"/>
      <c r="G730" s="48"/>
      <c r="H730" s="48"/>
      <c r="I730" s="48"/>
      <c r="J730" s="48"/>
      <c r="K730" s="48"/>
      <c r="L730" s="48"/>
      <c r="M730" s="49"/>
      <c r="N730" s="49"/>
      <c r="O730" s="49"/>
      <c r="P730" s="49"/>
      <c r="Q730" s="49"/>
      <c r="R730" s="49"/>
      <c r="S730" s="50"/>
      <c r="T730" s="50"/>
      <c r="U730" s="50"/>
      <c r="V730" s="51"/>
      <c r="W730" s="51"/>
      <c r="X730" s="51"/>
      <c r="Y730" s="51"/>
    </row>
    <row r="731" customFormat="false" ht="12.75" hidden="false" customHeight="true" outlineLevel="0" collapsed="false">
      <c r="A731" s="45"/>
      <c r="B731" s="46"/>
      <c r="C731" s="46"/>
      <c r="D731" s="46"/>
      <c r="E731" s="46"/>
      <c r="F731" s="47"/>
      <c r="G731" s="48"/>
      <c r="H731" s="48"/>
      <c r="I731" s="48"/>
      <c r="J731" s="48"/>
      <c r="K731" s="48"/>
      <c r="L731" s="48"/>
      <c r="M731" s="49"/>
      <c r="N731" s="49"/>
      <c r="O731" s="49"/>
      <c r="P731" s="49"/>
      <c r="Q731" s="49"/>
      <c r="R731" s="49"/>
      <c r="S731" s="50"/>
      <c r="T731" s="50"/>
      <c r="U731" s="50"/>
      <c r="V731" s="51"/>
      <c r="W731" s="51"/>
      <c r="X731" s="51"/>
      <c r="Y731" s="51"/>
    </row>
    <row r="732" customFormat="false" ht="12.75" hidden="false" customHeight="true" outlineLevel="0" collapsed="false">
      <c r="A732" s="45"/>
      <c r="B732" s="46"/>
      <c r="C732" s="46"/>
      <c r="D732" s="46"/>
      <c r="E732" s="46"/>
      <c r="F732" s="47"/>
      <c r="G732" s="48"/>
      <c r="H732" s="48"/>
      <c r="I732" s="48"/>
      <c r="J732" s="48"/>
      <c r="K732" s="48"/>
      <c r="L732" s="48"/>
      <c r="M732" s="49"/>
      <c r="N732" s="49"/>
      <c r="O732" s="49"/>
      <c r="P732" s="49"/>
      <c r="Q732" s="49"/>
      <c r="R732" s="49"/>
      <c r="S732" s="50"/>
      <c r="T732" s="50"/>
      <c r="U732" s="50"/>
      <c r="V732" s="51"/>
      <c r="W732" s="51"/>
      <c r="X732" s="51"/>
      <c r="Y732" s="51"/>
    </row>
    <row r="733" customFormat="false" ht="12.75" hidden="false" customHeight="true" outlineLevel="0" collapsed="false">
      <c r="A733" s="45"/>
      <c r="B733" s="46"/>
      <c r="C733" s="46"/>
      <c r="D733" s="46"/>
      <c r="E733" s="46"/>
      <c r="F733" s="47"/>
      <c r="G733" s="48"/>
      <c r="H733" s="48"/>
      <c r="I733" s="48"/>
      <c r="J733" s="48"/>
      <c r="K733" s="48"/>
      <c r="L733" s="48"/>
      <c r="M733" s="49"/>
      <c r="N733" s="49"/>
      <c r="O733" s="49"/>
      <c r="P733" s="49"/>
      <c r="Q733" s="49"/>
      <c r="R733" s="49"/>
      <c r="S733" s="50"/>
      <c r="T733" s="50"/>
      <c r="U733" s="50"/>
      <c r="V733" s="51"/>
      <c r="W733" s="51"/>
      <c r="X733" s="51"/>
      <c r="Y733" s="51"/>
    </row>
    <row r="734" customFormat="false" ht="12.75" hidden="false" customHeight="true" outlineLevel="0" collapsed="false">
      <c r="A734" s="45"/>
      <c r="B734" s="46"/>
      <c r="C734" s="46"/>
      <c r="D734" s="46"/>
      <c r="E734" s="46"/>
      <c r="F734" s="47"/>
      <c r="G734" s="48"/>
      <c r="H734" s="48"/>
      <c r="I734" s="48"/>
      <c r="J734" s="48"/>
      <c r="K734" s="48"/>
      <c r="L734" s="48"/>
      <c r="M734" s="49"/>
      <c r="N734" s="49"/>
      <c r="O734" s="49"/>
      <c r="P734" s="49"/>
      <c r="Q734" s="49"/>
      <c r="R734" s="49"/>
      <c r="S734" s="50"/>
      <c r="T734" s="50"/>
      <c r="U734" s="50"/>
      <c r="V734" s="51"/>
      <c r="W734" s="51"/>
      <c r="X734" s="51"/>
      <c r="Y734" s="51"/>
    </row>
    <row r="735" customFormat="false" ht="12.75" hidden="false" customHeight="true" outlineLevel="0" collapsed="false">
      <c r="A735" s="45"/>
      <c r="B735" s="46"/>
      <c r="C735" s="46"/>
      <c r="D735" s="46"/>
      <c r="E735" s="46"/>
      <c r="F735" s="47"/>
      <c r="G735" s="48"/>
      <c r="H735" s="48"/>
      <c r="I735" s="48"/>
      <c r="J735" s="48"/>
      <c r="K735" s="48"/>
      <c r="L735" s="48"/>
      <c r="M735" s="49"/>
      <c r="N735" s="49"/>
      <c r="O735" s="49"/>
      <c r="P735" s="49"/>
      <c r="Q735" s="49"/>
      <c r="R735" s="49"/>
      <c r="S735" s="50"/>
      <c r="T735" s="50"/>
      <c r="U735" s="50"/>
      <c r="V735" s="51"/>
      <c r="W735" s="51"/>
      <c r="X735" s="51"/>
      <c r="Y735" s="51"/>
    </row>
    <row r="736" customFormat="false" ht="12.75" hidden="false" customHeight="true" outlineLevel="0" collapsed="false">
      <c r="A736" s="45"/>
      <c r="B736" s="46"/>
      <c r="C736" s="46"/>
      <c r="D736" s="46"/>
      <c r="E736" s="46"/>
      <c r="F736" s="47"/>
      <c r="G736" s="48"/>
      <c r="H736" s="48"/>
      <c r="I736" s="48"/>
      <c r="J736" s="48"/>
      <c r="K736" s="48"/>
      <c r="L736" s="48"/>
      <c r="M736" s="49"/>
      <c r="N736" s="49"/>
      <c r="O736" s="49"/>
      <c r="P736" s="49"/>
      <c r="Q736" s="49"/>
      <c r="R736" s="49"/>
      <c r="S736" s="50"/>
      <c r="T736" s="50"/>
      <c r="U736" s="50"/>
      <c r="V736" s="51"/>
      <c r="W736" s="51"/>
      <c r="X736" s="51"/>
      <c r="Y736" s="51"/>
    </row>
    <row r="737" customFormat="false" ht="12.75" hidden="false" customHeight="true" outlineLevel="0" collapsed="false">
      <c r="A737" s="45"/>
      <c r="B737" s="46"/>
      <c r="C737" s="46"/>
      <c r="D737" s="46"/>
      <c r="E737" s="46"/>
      <c r="F737" s="47"/>
      <c r="G737" s="48"/>
      <c r="H737" s="48"/>
      <c r="I737" s="48"/>
      <c r="J737" s="48"/>
      <c r="K737" s="48"/>
      <c r="L737" s="48"/>
      <c r="M737" s="49"/>
      <c r="N737" s="49"/>
      <c r="O737" s="49"/>
      <c r="P737" s="49"/>
      <c r="Q737" s="49"/>
      <c r="R737" s="49"/>
      <c r="S737" s="50"/>
      <c r="T737" s="50"/>
      <c r="U737" s="50"/>
      <c r="V737" s="51"/>
      <c r="W737" s="51"/>
      <c r="X737" s="51"/>
      <c r="Y737" s="51"/>
    </row>
    <row r="738" customFormat="false" ht="12.75" hidden="false" customHeight="true" outlineLevel="0" collapsed="false">
      <c r="A738" s="45"/>
      <c r="B738" s="46"/>
      <c r="C738" s="46"/>
      <c r="D738" s="46"/>
      <c r="E738" s="46"/>
      <c r="F738" s="47"/>
      <c r="G738" s="48"/>
      <c r="H738" s="48"/>
      <c r="I738" s="48"/>
      <c r="J738" s="48"/>
      <c r="K738" s="48"/>
      <c r="L738" s="48"/>
      <c r="M738" s="49"/>
      <c r="N738" s="49"/>
      <c r="O738" s="49"/>
      <c r="P738" s="49"/>
      <c r="Q738" s="49"/>
      <c r="R738" s="49"/>
      <c r="S738" s="50"/>
      <c r="T738" s="50"/>
      <c r="U738" s="50"/>
      <c r="V738" s="51"/>
      <c r="W738" s="51"/>
      <c r="X738" s="51"/>
      <c r="Y738" s="51"/>
    </row>
    <row r="739" customFormat="false" ht="12.75" hidden="false" customHeight="true" outlineLevel="0" collapsed="false">
      <c r="A739" s="45"/>
      <c r="B739" s="46"/>
      <c r="C739" s="46"/>
      <c r="D739" s="46"/>
      <c r="E739" s="46"/>
      <c r="F739" s="47"/>
      <c r="G739" s="48"/>
      <c r="H739" s="48"/>
      <c r="I739" s="48"/>
      <c r="J739" s="48"/>
      <c r="K739" s="48"/>
      <c r="L739" s="48"/>
      <c r="M739" s="49"/>
      <c r="N739" s="49"/>
      <c r="O739" s="49"/>
      <c r="P739" s="49"/>
      <c r="Q739" s="49"/>
      <c r="R739" s="49"/>
      <c r="S739" s="50"/>
      <c r="T739" s="50"/>
      <c r="U739" s="50"/>
      <c r="V739" s="51"/>
      <c r="W739" s="51"/>
      <c r="X739" s="51"/>
      <c r="Y739" s="51"/>
    </row>
    <row r="740" customFormat="false" ht="12.75" hidden="false" customHeight="true" outlineLevel="0" collapsed="false">
      <c r="A740" s="45"/>
      <c r="B740" s="46"/>
      <c r="C740" s="46"/>
      <c r="D740" s="46"/>
      <c r="E740" s="46"/>
      <c r="F740" s="47"/>
      <c r="G740" s="48"/>
      <c r="H740" s="48"/>
      <c r="I740" s="48"/>
      <c r="J740" s="48"/>
      <c r="K740" s="48"/>
      <c r="L740" s="48"/>
      <c r="M740" s="49"/>
      <c r="N740" s="49"/>
      <c r="O740" s="49"/>
      <c r="P740" s="49"/>
      <c r="Q740" s="49"/>
      <c r="R740" s="49"/>
      <c r="S740" s="50"/>
      <c r="T740" s="50"/>
      <c r="U740" s="50"/>
      <c r="V740" s="51"/>
      <c r="W740" s="51"/>
      <c r="X740" s="51"/>
      <c r="Y740" s="51"/>
    </row>
    <row r="741" customFormat="false" ht="12.75" hidden="false" customHeight="true" outlineLevel="0" collapsed="false">
      <c r="A741" s="45"/>
      <c r="B741" s="46"/>
      <c r="C741" s="46"/>
      <c r="D741" s="46"/>
      <c r="E741" s="46"/>
      <c r="F741" s="47"/>
      <c r="G741" s="48"/>
      <c r="H741" s="48"/>
      <c r="I741" s="48"/>
      <c r="J741" s="48"/>
      <c r="K741" s="48"/>
      <c r="L741" s="48"/>
      <c r="M741" s="49"/>
      <c r="N741" s="49"/>
      <c r="O741" s="49"/>
      <c r="P741" s="49"/>
      <c r="Q741" s="49"/>
      <c r="R741" s="49"/>
      <c r="S741" s="50"/>
      <c r="T741" s="50"/>
      <c r="U741" s="50"/>
      <c r="V741" s="51"/>
      <c r="W741" s="51"/>
      <c r="X741" s="51"/>
      <c r="Y741" s="51"/>
    </row>
    <row r="742" customFormat="false" ht="12.75" hidden="false" customHeight="true" outlineLevel="0" collapsed="false">
      <c r="A742" s="45"/>
      <c r="B742" s="46"/>
      <c r="C742" s="46"/>
      <c r="D742" s="46"/>
      <c r="E742" s="46"/>
      <c r="F742" s="47"/>
      <c r="G742" s="48"/>
      <c r="H742" s="48"/>
      <c r="I742" s="48"/>
      <c r="J742" s="48"/>
      <c r="K742" s="48"/>
      <c r="L742" s="48"/>
      <c r="M742" s="49"/>
      <c r="N742" s="49"/>
      <c r="O742" s="49"/>
      <c r="P742" s="49"/>
      <c r="Q742" s="49"/>
      <c r="R742" s="49"/>
      <c r="S742" s="50"/>
      <c r="T742" s="50"/>
      <c r="U742" s="50"/>
      <c r="V742" s="51"/>
      <c r="W742" s="51"/>
      <c r="X742" s="51"/>
      <c r="Y742" s="51"/>
    </row>
    <row r="743" customFormat="false" ht="12.75" hidden="false" customHeight="true" outlineLevel="0" collapsed="false">
      <c r="A743" s="45"/>
      <c r="B743" s="46"/>
      <c r="C743" s="46"/>
      <c r="D743" s="46"/>
      <c r="E743" s="46"/>
      <c r="F743" s="47"/>
      <c r="G743" s="48"/>
      <c r="H743" s="48"/>
      <c r="I743" s="48"/>
      <c r="J743" s="48"/>
      <c r="K743" s="48"/>
      <c r="L743" s="48"/>
      <c r="M743" s="49"/>
      <c r="N743" s="49"/>
      <c r="O743" s="49"/>
      <c r="P743" s="49"/>
      <c r="Q743" s="49"/>
      <c r="R743" s="49"/>
      <c r="S743" s="50"/>
      <c r="T743" s="50"/>
      <c r="U743" s="50"/>
      <c r="V743" s="51"/>
      <c r="W743" s="51"/>
      <c r="X743" s="51"/>
      <c r="Y743" s="51"/>
    </row>
    <row r="744" customFormat="false" ht="12.75" hidden="false" customHeight="true" outlineLevel="0" collapsed="false">
      <c r="A744" s="45"/>
      <c r="B744" s="46"/>
      <c r="C744" s="46"/>
      <c r="D744" s="46"/>
      <c r="E744" s="46"/>
      <c r="F744" s="47"/>
      <c r="G744" s="48"/>
      <c r="H744" s="48"/>
      <c r="I744" s="48"/>
      <c r="J744" s="48"/>
      <c r="K744" s="48"/>
      <c r="L744" s="48"/>
      <c r="M744" s="49"/>
      <c r="N744" s="49"/>
      <c r="O744" s="49"/>
      <c r="P744" s="49"/>
      <c r="Q744" s="49"/>
      <c r="R744" s="49"/>
      <c r="S744" s="50"/>
      <c r="T744" s="50"/>
      <c r="U744" s="50"/>
      <c r="V744" s="51"/>
      <c r="W744" s="51"/>
      <c r="X744" s="51"/>
      <c r="Y744" s="51"/>
    </row>
    <row r="745" customFormat="false" ht="12.75" hidden="false" customHeight="true" outlineLevel="0" collapsed="false">
      <c r="A745" s="45"/>
      <c r="B745" s="46"/>
      <c r="C745" s="46"/>
      <c r="D745" s="46"/>
      <c r="E745" s="46"/>
      <c r="F745" s="47"/>
      <c r="G745" s="48"/>
      <c r="H745" s="48"/>
      <c r="I745" s="48"/>
      <c r="J745" s="48"/>
      <c r="K745" s="48"/>
      <c r="L745" s="48"/>
      <c r="M745" s="49"/>
      <c r="N745" s="49"/>
      <c r="O745" s="49"/>
      <c r="P745" s="49"/>
      <c r="Q745" s="49"/>
      <c r="R745" s="49"/>
      <c r="S745" s="50"/>
      <c r="T745" s="50"/>
      <c r="U745" s="50"/>
      <c r="V745" s="51"/>
      <c r="W745" s="51"/>
      <c r="X745" s="51"/>
      <c r="Y745" s="51"/>
    </row>
    <row r="746" customFormat="false" ht="12.75" hidden="false" customHeight="true" outlineLevel="0" collapsed="false">
      <c r="A746" s="45"/>
      <c r="B746" s="46"/>
      <c r="C746" s="46"/>
      <c r="D746" s="46"/>
      <c r="E746" s="46"/>
      <c r="F746" s="47"/>
      <c r="G746" s="48"/>
      <c r="H746" s="48"/>
      <c r="I746" s="48"/>
      <c r="J746" s="48"/>
      <c r="K746" s="48"/>
      <c r="L746" s="48"/>
      <c r="M746" s="49"/>
      <c r="N746" s="49"/>
      <c r="O746" s="49"/>
      <c r="P746" s="49"/>
      <c r="Q746" s="49"/>
      <c r="R746" s="49"/>
      <c r="S746" s="50"/>
      <c r="T746" s="50"/>
      <c r="U746" s="50"/>
      <c r="V746" s="51"/>
      <c r="W746" s="51"/>
      <c r="X746" s="51"/>
      <c r="Y746" s="51"/>
    </row>
    <row r="747" customFormat="false" ht="12.75" hidden="false" customHeight="true" outlineLevel="0" collapsed="false">
      <c r="A747" s="45"/>
      <c r="B747" s="46"/>
      <c r="C747" s="46"/>
      <c r="D747" s="46"/>
      <c r="E747" s="46"/>
      <c r="F747" s="47"/>
      <c r="G747" s="48"/>
      <c r="H747" s="48"/>
      <c r="I747" s="48"/>
      <c r="J747" s="48"/>
      <c r="K747" s="48"/>
      <c r="L747" s="48"/>
      <c r="M747" s="49"/>
      <c r="N747" s="49"/>
      <c r="O747" s="49"/>
      <c r="P747" s="49"/>
      <c r="Q747" s="49"/>
      <c r="R747" s="49"/>
      <c r="S747" s="50"/>
      <c r="T747" s="50"/>
      <c r="U747" s="50"/>
      <c r="V747" s="51"/>
      <c r="W747" s="51"/>
      <c r="X747" s="51"/>
      <c r="Y747" s="51"/>
    </row>
    <row r="748" customFormat="false" ht="12.75" hidden="false" customHeight="true" outlineLevel="0" collapsed="false">
      <c r="A748" s="45"/>
      <c r="B748" s="46"/>
      <c r="C748" s="46"/>
      <c r="D748" s="46"/>
      <c r="E748" s="46"/>
      <c r="F748" s="47"/>
      <c r="G748" s="48"/>
      <c r="H748" s="48"/>
      <c r="I748" s="48"/>
      <c r="J748" s="48"/>
      <c r="K748" s="48"/>
      <c r="L748" s="48"/>
      <c r="M748" s="49"/>
      <c r="N748" s="49"/>
      <c r="O748" s="49"/>
      <c r="P748" s="49"/>
      <c r="Q748" s="49"/>
      <c r="R748" s="49"/>
      <c r="S748" s="50"/>
      <c r="T748" s="50"/>
      <c r="U748" s="50"/>
      <c r="V748" s="51"/>
      <c r="W748" s="51"/>
      <c r="X748" s="51"/>
      <c r="Y748" s="51"/>
    </row>
    <row r="749" customFormat="false" ht="12.75" hidden="false" customHeight="true" outlineLevel="0" collapsed="false">
      <c r="A749" s="45"/>
      <c r="B749" s="46"/>
      <c r="C749" s="46"/>
      <c r="D749" s="46"/>
      <c r="E749" s="46"/>
      <c r="F749" s="47"/>
      <c r="G749" s="48"/>
      <c r="H749" s="48"/>
      <c r="I749" s="48"/>
      <c r="J749" s="48"/>
      <c r="K749" s="48"/>
      <c r="L749" s="48"/>
      <c r="M749" s="49"/>
      <c r="N749" s="49"/>
      <c r="O749" s="49"/>
      <c r="P749" s="49"/>
      <c r="Q749" s="49"/>
      <c r="R749" s="49"/>
      <c r="S749" s="50"/>
      <c r="T749" s="50"/>
      <c r="U749" s="50"/>
      <c r="V749" s="51"/>
      <c r="W749" s="51"/>
      <c r="X749" s="51"/>
      <c r="Y749" s="51"/>
    </row>
    <row r="750" customFormat="false" ht="12.75" hidden="false" customHeight="true" outlineLevel="0" collapsed="false">
      <c r="A750" s="45"/>
      <c r="B750" s="46"/>
      <c r="C750" s="46"/>
      <c r="D750" s="46"/>
      <c r="E750" s="46"/>
      <c r="F750" s="47"/>
      <c r="G750" s="48"/>
      <c r="H750" s="48"/>
      <c r="I750" s="48"/>
      <c r="J750" s="48"/>
      <c r="K750" s="48"/>
      <c r="L750" s="48"/>
      <c r="M750" s="49"/>
      <c r="N750" s="49"/>
      <c r="O750" s="49"/>
      <c r="P750" s="49"/>
      <c r="Q750" s="49"/>
      <c r="R750" s="49"/>
      <c r="S750" s="50"/>
      <c r="T750" s="50"/>
      <c r="U750" s="50"/>
      <c r="V750" s="51"/>
      <c r="W750" s="51"/>
      <c r="X750" s="51"/>
      <c r="Y750" s="51"/>
    </row>
    <row r="751" customFormat="false" ht="12.75" hidden="false" customHeight="true" outlineLevel="0" collapsed="false">
      <c r="A751" s="45"/>
      <c r="B751" s="46"/>
      <c r="C751" s="46"/>
      <c r="D751" s="46"/>
      <c r="E751" s="46"/>
      <c r="F751" s="47"/>
      <c r="G751" s="48"/>
      <c r="H751" s="48"/>
      <c r="I751" s="48"/>
      <c r="J751" s="48"/>
      <c r="K751" s="48"/>
      <c r="L751" s="48"/>
      <c r="M751" s="49"/>
      <c r="N751" s="49"/>
      <c r="O751" s="49"/>
      <c r="P751" s="49"/>
      <c r="Q751" s="49"/>
      <c r="R751" s="49"/>
      <c r="S751" s="50"/>
      <c r="T751" s="50"/>
      <c r="U751" s="50"/>
      <c r="V751" s="51"/>
      <c r="W751" s="51"/>
      <c r="X751" s="51"/>
      <c r="Y751" s="51"/>
    </row>
    <row r="752" customFormat="false" ht="12.75" hidden="false" customHeight="true" outlineLevel="0" collapsed="false">
      <c r="A752" s="45"/>
      <c r="B752" s="46"/>
      <c r="C752" s="46"/>
      <c r="D752" s="46"/>
      <c r="E752" s="46"/>
      <c r="F752" s="47"/>
      <c r="G752" s="48"/>
      <c r="H752" s="48"/>
      <c r="I752" s="48"/>
      <c r="J752" s="48"/>
      <c r="K752" s="48"/>
      <c r="L752" s="48"/>
      <c r="M752" s="49"/>
      <c r="N752" s="49"/>
      <c r="O752" s="49"/>
      <c r="P752" s="49"/>
      <c r="Q752" s="49"/>
      <c r="R752" s="49"/>
      <c r="S752" s="50"/>
      <c r="T752" s="50"/>
      <c r="U752" s="50"/>
      <c r="V752" s="51"/>
      <c r="W752" s="51"/>
      <c r="X752" s="51"/>
      <c r="Y752" s="51"/>
    </row>
    <row r="753" customFormat="false" ht="12.75" hidden="false" customHeight="true" outlineLevel="0" collapsed="false">
      <c r="A753" s="45"/>
      <c r="B753" s="46"/>
      <c r="C753" s="46"/>
      <c r="D753" s="46"/>
      <c r="E753" s="46"/>
      <c r="F753" s="47"/>
      <c r="G753" s="48"/>
      <c r="H753" s="48"/>
      <c r="I753" s="48"/>
      <c r="J753" s="48"/>
      <c r="K753" s="48"/>
      <c r="L753" s="48"/>
      <c r="M753" s="49"/>
      <c r="N753" s="49"/>
      <c r="O753" s="49"/>
      <c r="P753" s="49"/>
      <c r="Q753" s="49"/>
      <c r="R753" s="49"/>
      <c r="S753" s="50"/>
      <c r="T753" s="50"/>
      <c r="U753" s="50"/>
      <c r="V753" s="51"/>
      <c r="W753" s="51"/>
      <c r="X753" s="51"/>
      <c r="Y753" s="51"/>
    </row>
    <row r="754" customFormat="false" ht="12.75" hidden="false" customHeight="true" outlineLevel="0" collapsed="false">
      <c r="A754" s="45"/>
      <c r="B754" s="46"/>
      <c r="C754" s="46"/>
      <c r="D754" s="46"/>
      <c r="E754" s="46"/>
      <c r="F754" s="47"/>
      <c r="G754" s="48"/>
      <c r="H754" s="48"/>
      <c r="I754" s="48"/>
      <c r="J754" s="48"/>
      <c r="K754" s="48"/>
      <c r="L754" s="48"/>
      <c r="M754" s="49"/>
      <c r="N754" s="49"/>
      <c r="O754" s="49"/>
      <c r="P754" s="49"/>
      <c r="Q754" s="49"/>
      <c r="R754" s="49"/>
      <c r="S754" s="50"/>
      <c r="T754" s="50"/>
      <c r="U754" s="50"/>
      <c r="V754" s="51"/>
      <c r="W754" s="51"/>
      <c r="X754" s="51"/>
      <c r="Y754" s="51"/>
    </row>
    <row r="755" customFormat="false" ht="12.75" hidden="false" customHeight="true" outlineLevel="0" collapsed="false">
      <c r="A755" s="45"/>
      <c r="B755" s="46"/>
      <c r="C755" s="46"/>
      <c r="D755" s="46"/>
      <c r="E755" s="46"/>
      <c r="F755" s="47"/>
      <c r="G755" s="48"/>
      <c r="H755" s="48"/>
      <c r="I755" s="48"/>
      <c r="J755" s="48"/>
      <c r="K755" s="48"/>
      <c r="L755" s="48"/>
      <c r="M755" s="49"/>
      <c r="N755" s="49"/>
      <c r="O755" s="49"/>
      <c r="P755" s="49"/>
      <c r="Q755" s="49"/>
      <c r="R755" s="49"/>
      <c r="S755" s="50"/>
      <c r="T755" s="50"/>
      <c r="U755" s="50"/>
      <c r="V755" s="51"/>
      <c r="W755" s="51"/>
      <c r="X755" s="51"/>
      <c r="Y755" s="51"/>
    </row>
    <row r="756" customFormat="false" ht="12.75" hidden="false" customHeight="true" outlineLevel="0" collapsed="false">
      <c r="A756" s="45"/>
      <c r="B756" s="46"/>
      <c r="C756" s="46"/>
      <c r="D756" s="46"/>
      <c r="E756" s="46"/>
      <c r="F756" s="47"/>
      <c r="G756" s="48"/>
      <c r="H756" s="48"/>
      <c r="I756" s="48"/>
      <c r="J756" s="48"/>
      <c r="K756" s="48"/>
      <c r="L756" s="48"/>
      <c r="M756" s="49"/>
      <c r="N756" s="49"/>
      <c r="O756" s="49"/>
      <c r="P756" s="49"/>
      <c r="Q756" s="49"/>
      <c r="R756" s="49"/>
      <c r="S756" s="50"/>
      <c r="T756" s="50"/>
      <c r="U756" s="50"/>
      <c r="V756" s="51"/>
      <c r="W756" s="51"/>
      <c r="X756" s="51"/>
      <c r="Y756" s="51"/>
    </row>
    <row r="757" customFormat="false" ht="12.75" hidden="false" customHeight="true" outlineLevel="0" collapsed="false">
      <c r="A757" s="45"/>
      <c r="B757" s="46"/>
      <c r="C757" s="46"/>
      <c r="D757" s="46"/>
      <c r="E757" s="46"/>
      <c r="F757" s="47"/>
      <c r="G757" s="48"/>
      <c r="H757" s="48"/>
      <c r="I757" s="48"/>
      <c r="J757" s="48"/>
      <c r="K757" s="48"/>
      <c r="L757" s="48"/>
      <c r="M757" s="49"/>
      <c r="N757" s="49"/>
      <c r="O757" s="49"/>
      <c r="P757" s="49"/>
      <c r="Q757" s="49"/>
      <c r="R757" s="49"/>
      <c r="S757" s="50"/>
      <c r="T757" s="50"/>
      <c r="U757" s="50"/>
      <c r="V757" s="51"/>
      <c r="W757" s="51"/>
      <c r="X757" s="51"/>
      <c r="Y757" s="51"/>
    </row>
    <row r="758" customFormat="false" ht="12.75" hidden="false" customHeight="true" outlineLevel="0" collapsed="false">
      <c r="A758" s="45"/>
      <c r="B758" s="46"/>
      <c r="C758" s="46"/>
      <c r="D758" s="46"/>
      <c r="E758" s="46"/>
      <c r="F758" s="47"/>
      <c r="G758" s="48"/>
      <c r="H758" s="48"/>
      <c r="I758" s="48"/>
      <c r="J758" s="48"/>
      <c r="K758" s="48"/>
      <c r="L758" s="48"/>
      <c r="M758" s="49"/>
      <c r="N758" s="49"/>
      <c r="O758" s="49"/>
      <c r="P758" s="49"/>
      <c r="Q758" s="49"/>
      <c r="R758" s="49"/>
      <c r="S758" s="50"/>
      <c r="T758" s="50"/>
      <c r="U758" s="50"/>
      <c r="V758" s="51"/>
      <c r="W758" s="51"/>
      <c r="X758" s="51"/>
      <c r="Y758" s="51"/>
    </row>
    <row r="759" customFormat="false" ht="12.75" hidden="false" customHeight="true" outlineLevel="0" collapsed="false">
      <c r="A759" s="45"/>
      <c r="B759" s="46"/>
      <c r="C759" s="46"/>
      <c r="D759" s="46"/>
      <c r="E759" s="46"/>
      <c r="F759" s="47"/>
      <c r="G759" s="48"/>
      <c r="H759" s="48"/>
      <c r="I759" s="48"/>
      <c r="J759" s="48"/>
      <c r="K759" s="48"/>
      <c r="L759" s="48"/>
      <c r="M759" s="49"/>
      <c r="N759" s="49"/>
      <c r="O759" s="49"/>
      <c r="P759" s="49"/>
      <c r="Q759" s="49"/>
      <c r="R759" s="49"/>
      <c r="S759" s="50"/>
      <c r="T759" s="50"/>
      <c r="U759" s="50"/>
      <c r="V759" s="51"/>
      <c r="W759" s="51"/>
      <c r="X759" s="51"/>
      <c r="Y759" s="51"/>
    </row>
    <row r="760" customFormat="false" ht="12.75" hidden="false" customHeight="true" outlineLevel="0" collapsed="false">
      <c r="A760" s="45"/>
      <c r="B760" s="46"/>
      <c r="C760" s="46"/>
      <c r="D760" s="46"/>
      <c r="E760" s="46"/>
      <c r="F760" s="47"/>
      <c r="G760" s="48"/>
      <c r="H760" s="48"/>
      <c r="I760" s="48"/>
      <c r="J760" s="48"/>
      <c r="K760" s="48"/>
      <c r="L760" s="48"/>
      <c r="M760" s="49"/>
      <c r="N760" s="49"/>
      <c r="O760" s="49"/>
      <c r="P760" s="49"/>
      <c r="Q760" s="49"/>
      <c r="R760" s="49"/>
      <c r="S760" s="50"/>
      <c r="T760" s="50"/>
      <c r="U760" s="50"/>
      <c r="V760" s="51"/>
      <c r="W760" s="51"/>
      <c r="X760" s="51"/>
      <c r="Y760" s="51"/>
    </row>
    <row r="761" customFormat="false" ht="12.75" hidden="false" customHeight="true" outlineLevel="0" collapsed="false">
      <c r="A761" s="45"/>
      <c r="B761" s="46"/>
      <c r="C761" s="46"/>
      <c r="D761" s="46"/>
      <c r="E761" s="46"/>
      <c r="F761" s="47"/>
      <c r="G761" s="48"/>
      <c r="H761" s="48"/>
      <c r="I761" s="48"/>
      <c r="J761" s="48"/>
      <c r="K761" s="48"/>
      <c r="L761" s="48"/>
      <c r="M761" s="49"/>
      <c r="N761" s="49"/>
      <c r="O761" s="49"/>
      <c r="P761" s="49"/>
      <c r="Q761" s="49"/>
      <c r="R761" s="49"/>
      <c r="S761" s="50"/>
      <c r="T761" s="50"/>
      <c r="U761" s="50"/>
      <c r="V761" s="51"/>
      <c r="W761" s="51"/>
      <c r="X761" s="51"/>
      <c r="Y761" s="51"/>
    </row>
    <row r="762" customFormat="false" ht="12.75" hidden="false" customHeight="true" outlineLevel="0" collapsed="false">
      <c r="A762" s="45"/>
      <c r="B762" s="46"/>
      <c r="C762" s="46"/>
      <c r="D762" s="46"/>
      <c r="E762" s="46"/>
      <c r="F762" s="47"/>
      <c r="G762" s="48"/>
      <c r="H762" s="48"/>
      <c r="I762" s="48"/>
      <c r="J762" s="48"/>
      <c r="K762" s="48"/>
      <c r="L762" s="48"/>
      <c r="M762" s="49"/>
      <c r="N762" s="49"/>
      <c r="O762" s="49"/>
      <c r="P762" s="49"/>
      <c r="Q762" s="49"/>
      <c r="R762" s="49"/>
      <c r="S762" s="50"/>
      <c r="T762" s="50"/>
      <c r="U762" s="50"/>
      <c r="V762" s="51"/>
      <c r="W762" s="51"/>
      <c r="X762" s="51"/>
      <c r="Y762" s="51"/>
    </row>
    <row r="763" customFormat="false" ht="12.75" hidden="false" customHeight="true" outlineLevel="0" collapsed="false">
      <c r="A763" s="45"/>
      <c r="B763" s="46"/>
      <c r="C763" s="46"/>
      <c r="D763" s="46"/>
      <c r="E763" s="46"/>
      <c r="F763" s="47"/>
      <c r="G763" s="48"/>
      <c r="H763" s="48"/>
      <c r="I763" s="48"/>
      <c r="J763" s="48"/>
      <c r="K763" s="48"/>
      <c r="L763" s="48"/>
      <c r="M763" s="49"/>
      <c r="N763" s="49"/>
      <c r="O763" s="49"/>
      <c r="P763" s="49"/>
      <c r="Q763" s="49"/>
      <c r="R763" s="49"/>
      <c r="S763" s="50"/>
      <c r="T763" s="50"/>
      <c r="U763" s="50"/>
      <c r="V763" s="51"/>
      <c r="W763" s="51"/>
      <c r="X763" s="51"/>
      <c r="Y763" s="51"/>
    </row>
    <row r="764" customFormat="false" ht="12.75" hidden="false" customHeight="true" outlineLevel="0" collapsed="false">
      <c r="A764" s="45"/>
      <c r="B764" s="46"/>
      <c r="C764" s="46"/>
      <c r="D764" s="46"/>
      <c r="E764" s="46"/>
      <c r="F764" s="47"/>
      <c r="G764" s="48"/>
      <c r="H764" s="48"/>
      <c r="I764" s="48"/>
      <c r="J764" s="48"/>
      <c r="K764" s="48"/>
      <c r="L764" s="48"/>
      <c r="M764" s="49"/>
      <c r="N764" s="49"/>
      <c r="O764" s="49"/>
      <c r="P764" s="49"/>
      <c r="Q764" s="49"/>
      <c r="R764" s="49"/>
      <c r="S764" s="50"/>
      <c r="T764" s="50"/>
      <c r="U764" s="50"/>
      <c r="V764" s="51"/>
      <c r="W764" s="51"/>
      <c r="X764" s="51"/>
      <c r="Y764" s="51"/>
    </row>
    <row r="765" customFormat="false" ht="12.75" hidden="false" customHeight="true" outlineLevel="0" collapsed="false">
      <c r="A765" s="45"/>
      <c r="B765" s="46"/>
      <c r="C765" s="46"/>
      <c r="D765" s="46"/>
      <c r="E765" s="46"/>
      <c r="F765" s="47"/>
      <c r="G765" s="48"/>
      <c r="H765" s="48"/>
      <c r="I765" s="48"/>
      <c r="J765" s="48"/>
      <c r="K765" s="48"/>
      <c r="L765" s="48"/>
      <c r="M765" s="49"/>
      <c r="N765" s="49"/>
      <c r="O765" s="49"/>
      <c r="P765" s="49"/>
      <c r="Q765" s="49"/>
      <c r="R765" s="49"/>
      <c r="S765" s="50"/>
      <c r="T765" s="50"/>
      <c r="U765" s="50"/>
      <c r="V765" s="51"/>
      <c r="W765" s="51"/>
      <c r="X765" s="51"/>
      <c r="Y765" s="51"/>
    </row>
    <row r="766" customFormat="false" ht="12.75" hidden="false" customHeight="true" outlineLevel="0" collapsed="false">
      <c r="A766" s="45"/>
      <c r="B766" s="46"/>
      <c r="C766" s="46"/>
      <c r="D766" s="46"/>
      <c r="E766" s="46"/>
      <c r="F766" s="47"/>
      <c r="G766" s="48"/>
      <c r="H766" s="48"/>
      <c r="I766" s="48"/>
      <c r="J766" s="48"/>
      <c r="K766" s="48"/>
      <c r="L766" s="48"/>
      <c r="M766" s="49"/>
      <c r="N766" s="49"/>
      <c r="O766" s="49"/>
      <c r="P766" s="49"/>
      <c r="Q766" s="49"/>
      <c r="R766" s="49"/>
      <c r="S766" s="50"/>
      <c r="T766" s="50"/>
      <c r="U766" s="50"/>
      <c r="V766" s="51"/>
      <c r="W766" s="51"/>
      <c r="X766" s="51"/>
      <c r="Y766" s="51"/>
    </row>
    <row r="767" customFormat="false" ht="12.75" hidden="false" customHeight="true" outlineLevel="0" collapsed="false">
      <c r="A767" s="45"/>
      <c r="B767" s="46"/>
      <c r="C767" s="46"/>
      <c r="D767" s="46"/>
      <c r="E767" s="46"/>
      <c r="F767" s="47"/>
      <c r="G767" s="48"/>
      <c r="H767" s="48"/>
      <c r="I767" s="48"/>
      <c r="J767" s="48"/>
      <c r="K767" s="48"/>
      <c r="L767" s="48"/>
      <c r="M767" s="49"/>
      <c r="N767" s="49"/>
      <c r="O767" s="49"/>
      <c r="P767" s="49"/>
      <c r="Q767" s="49"/>
      <c r="R767" s="49"/>
      <c r="S767" s="50"/>
      <c r="T767" s="50"/>
      <c r="U767" s="50"/>
      <c r="V767" s="51"/>
      <c r="W767" s="51"/>
      <c r="X767" s="51"/>
      <c r="Y767" s="51"/>
    </row>
    <row r="768" customFormat="false" ht="12.75" hidden="false" customHeight="true" outlineLevel="0" collapsed="false">
      <c r="A768" s="45"/>
      <c r="B768" s="46"/>
      <c r="C768" s="46"/>
      <c r="D768" s="46"/>
      <c r="E768" s="46"/>
      <c r="F768" s="47"/>
      <c r="G768" s="48"/>
      <c r="H768" s="48"/>
      <c r="I768" s="48"/>
      <c r="J768" s="48"/>
      <c r="K768" s="48"/>
      <c r="L768" s="48"/>
      <c r="M768" s="49"/>
      <c r="N768" s="49"/>
      <c r="O768" s="49"/>
      <c r="P768" s="49"/>
      <c r="Q768" s="49"/>
      <c r="R768" s="49"/>
      <c r="S768" s="50"/>
      <c r="T768" s="50"/>
      <c r="U768" s="50"/>
      <c r="V768" s="51"/>
      <c r="W768" s="51"/>
      <c r="X768" s="51"/>
      <c r="Y768" s="51"/>
    </row>
    <row r="769" customFormat="false" ht="12.75" hidden="false" customHeight="true" outlineLevel="0" collapsed="false">
      <c r="A769" s="45"/>
      <c r="B769" s="46"/>
      <c r="C769" s="46"/>
      <c r="D769" s="46"/>
      <c r="E769" s="46"/>
      <c r="F769" s="47"/>
      <c r="G769" s="48"/>
      <c r="H769" s="48"/>
      <c r="I769" s="48"/>
      <c r="J769" s="48"/>
      <c r="K769" s="48"/>
      <c r="L769" s="48"/>
      <c r="M769" s="49"/>
      <c r="N769" s="49"/>
      <c r="O769" s="49"/>
      <c r="P769" s="49"/>
      <c r="Q769" s="49"/>
      <c r="R769" s="49"/>
      <c r="S769" s="50"/>
      <c r="T769" s="50"/>
      <c r="U769" s="50"/>
      <c r="V769" s="51"/>
      <c r="W769" s="51"/>
      <c r="X769" s="51"/>
      <c r="Y769" s="51"/>
    </row>
    <row r="770" customFormat="false" ht="12.75" hidden="false" customHeight="true" outlineLevel="0" collapsed="false">
      <c r="A770" s="45"/>
      <c r="B770" s="46"/>
      <c r="C770" s="46"/>
      <c r="D770" s="46"/>
      <c r="E770" s="46"/>
      <c r="F770" s="47"/>
      <c r="G770" s="48"/>
      <c r="H770" s="48"/>
      <c r="I770" s="48"/>
      <c r="J770" s="48"/>
      <c r="K770" s="48"/>
      <c r="L770" s="48"/>
      <c r="M770" s="49"/>
      <c r="N770" s="49"/>
      <c r="O770" s="49"/>
      <c r="P770" s="49"/>
      <c r="Q770" s="49"/>
      <c r="R770" s="49"/>
      <c r="S770" s="50"/>
      <c r="T770" s="50"/>
      <c r="U770" s="50"/>
      <c r="V770" s="51"/>
      <c r="W770" s="51"/>
      <c r="X770" s="51"/>
      <c r="Y770" s="51"/>
    </row>
    <row r="771" customFormat="false" ht="12.75" hidden="false" customHeight="true" outlineLevel="0" collapsed="false">
      <c r="A771" s="45"/>
      <c r="B771" s="46"/>
      <c r="C771" s="46"/>
      <c r="D771" s="46"/>
      <c r="E771" s="46"/>
      <c r="F771" s="47"/>
      <c r="G771" s="48"/>
      <c r="H771" s="48"/>
      <c r="I771" s="48"/>
      <c r="J771" s="48"/>
      <c r="K771" s="48"/>
      <c r="L771" s="48"/>
      <c r="M771" s="49"/>
      <c r="N771" s="49"/>
      <c r="O771" s="49"/>
      <c r="P771" s="49"/>
      <c r="Q771" s="49"/>
      <c r="R771" s="49"/>
      <c r="S771" s="50"/>
      <c r="T771" s="50"/>
      <c r="U771" s="50"/>
      <c r="V771" s="51"/>
      <c r="W771" s="51"/>
      <c r="X771" s="51"/>
      <c r="Y771" s="51"/>
    </row>
    <row r="772" customFormat="false" ht="12.75" hidden="false" customHeight="true" outlineLevel="0" collapsed="false">
      <c r="A772" s="45"/>
      <c r="B772" s="46"/>
      <c r="C772" s="46"/>
      <c r="D772" s="46"/>
      <c r="E772" s="46"/>
      <c r="F772" s="47"/>
      <c r="G772" s="48"/>
      <c r="H772" s="48"/>
      <c r="I772" s="48"/>
      <c r="J772" s="48"/>
      <c r="K772" s="48"/>
      <c r="L772" s="48"/>
      <c r="M772" s="49"/>
      <c r="N772" s="49"/>
      <c r="O772" s="49"/>
      <c r="P772" s="49"/>
      <c r="Q772" s="49"/>
      <c r="R772" s="49"/>
      <c r="S772" s="50"/>
      <c r="T772" s="50"/>
      <c r="U772" s="50"/>
      <c r="V772" s="51"/>
      <c r="W772" s="51"/>
      <c r="X772" s="51"/>
      <c r="Y772" s="51"/>
    </row>
    <row r="773" customFormat="false" ht="12.75" hidden="false" customHeight="true" outlineLevel="0" collapsed="false">
      <c r="A773" s="45"/>
      <c r="B773" s="46"/>
      <c r="C773" s="46"/>
      <c r="D773" s="46"/>
      <c r="E773" s="46"/>
      <c r="F773" s="47"/>
      <c r="G773" s="48"/>
      <c r="H773" s="48"/>
      <c r="I773" s="48"/>
      <c r="J773" s="48"/>
      <c r="K773" s="48"/>
      <c r="L773" s="48"/>
      <c r="M773" s="49"/>
      <c r="N773" s="49"/>
      <c r="O773" s="49"/>
      <c r="P773" s="49"/>
      <c r="Q773" s="49"/>
      <c r="R773" s="49"/>
      <c r="S773" s="50"/>
      <c r="T773" s="50"/>
      <c r="U773" s="50"/>
      <c r="V773" s="51"/>
      <c r="W773" s="51"/>
      <c r="X773" s="51"/>
      <c r="Y773" s="51"/>
    </row>
    <row r="774" customFormat="false" ht="12.75" hidden="false" customHeight="true" outlineLevel="0" collapsed="false">
      <c r="A774" s="45"/>
      <c r="B774" s="46"/>
      <c r="C774" s="46"/>
      <c r="D774" s="46"/>
      <c r="E774" s="46"/>
      <c r="F774" s="47"/>
      <c r="G774" s="48"/>
      <c r="H774" s="48"/>
      <c r="I774" s="48"/>
      <c r="J774" s="48"/>
      <c r="K774" s="48"/>
      <c r="L774" s="48"/>
      <c r="M774" s="49"/>
      <c r="N774" s="49"/>
      <c r="O774" s="49"/>
      <c r="P774" s="49"/>
      <c r="Q774" s="49"/>
      <c r="R774" s="49"/>
      <c r="S774" s="50"/>
      <c r="T774" s="50"/>
      <c r="U774" s="50"/>
      <c r="V774" s="51"/>
      <c r="W774" s="51"/>
      <c r="X774" s="51"/>
      <c r="Y774" s="51"/>
    </row>
    <row r="775" customFormat="false" ht="12.75" hidden="false" customHeight="true" outlineLevel="0" collapsed="false">
      <c r="A775" s="45"/>
      <c r="B775" s="46"/>
      <c r="C775" s="46"/>
      <c r="D775" s="46"/>
      <c r="E775" s="46"/>
      <c r="F775" s="47"/>
      <c r="G775" s="48"/>
      <c r="H775" s="48"/>
      <c r="I775" s="48"/>
      <c r="J775" s="48"/>
      <c r="K775" s="48"/>
      <c r="L775" s="48"/>
      <c r="M775" s="49"/>
      <c r="N775" s="49"/>
      <c r="O775" s="49"/>
      <c r="P775" s="49"/>
      <c r="Q775" s="49"/>
      <c r="R775" s="49"/>
      <c r="S775" s="50"/>
      <c r="T775" s="50"/>
      <c r="U775" s="50"/>
      <c r="V775" s="51"/>
      <c r="W775" s="51"/>
      <c r="X775" s="51"/>
      <c r="Y775" s="51"/>
    </row>
    <row r="776" customFormat="false" ht="12.75" hidden="false" customHeight="true" outlineLevel="0" collapsed="false">
      <c r="A776" s="45"/>
      <c r="B776" s="46"/>
      <c r="C776" s="46"/>
      <c r="D776" s="46"/>
      <c r="E776" s="46"/>
      <c r="F776" s="47"/>
      <c r="G776" s="48"/>
      <c r="H776" s="48"/>
      <c r="I776" s="48"/>
      <c r="J776" s="48"/>
      <c r="K776" s="48"/>
      <c r="L776" s="48"/>
      <c r="M776" s="49"/>
      <c r="N776" s="49"/>
      <c r="O776" s="49"/>
      <c r="P776" s="49"/>
      <c r="Q776" s="49"/>
      <c r="R776" s="49"/>
      <c r="S776" s="50"/>
      <c r="T776" s="50"/>
      <c r="U776" s="50"/>
      <c r="V776" s="51"/>
      <c r="W776" s="51"/>
      <c r="X776" s="51"/>
      <c r="Y776" s="51"/>
    </row>
    <row r="777" customFormat="false" ht="12.75" hidden="false" customHeight="true" outlineLevel="0" collapsed="false">
      <c r="A777" s="45"/>
      <c r="B777" s="46"/>
      <c r="C777" s="46"/>
      <c r="D777" s="46"/>
      <c r="E777" s="46"/>
      <c r="F777" s="47"/>
      <c r="G777" s="48"/>
      <c r="H777" s="48"/>
      <c r="I777" s="48"/>
      <c r="J777" s="48"/>
      <c r="K777" s="48"/>
      <c r="L777" s="48"/>
      <c r="M777" s="49"/>
      <c r="N777" s="49"/>
      <c r="O777" s="49"/>
      <c r="P777" s="49"/>
      <c r="Q777" s="49"/>
      <c r="R777" s="49"/>
      <c r="S777" s="50"/>
      <c r="T777" s="50"/>
      <c r="U777" s="50"/>
      <c r="V777" s="51"/>
      <c r="W777" s="51"/>
      <c r="X777" s="51"/>
      <c r="Y777" s="51"/>
    </row>
    <row r="778" customFormat="false" ht="12.75" hidden="false" customHeight="true" outlineLevel="0" collapsed="false">
      <c r="A778" s="45"/>
      <c r="B778" s="46"/>
      <c r="C778" s="46"/>
      <c r="D778" s="46"/>
      <c r="E778" s="46"/>
      <c r="F778" s="47"/>
      <c r="G778" s="48"/>
      <c r="H778" s="48"/>
      <c r="I778" s="48"/>
      <c r="J778" s="48"/>
      <c r="K778" s="48"/>
      <c r="L778" s="48"/>
      <c r="M778" s="49"/>
      <c r="N778" s="49"/>
      <c r="O778" s="49"/>
      <c r="P778" s="49"/>
      <c r="Q778" s="49"/>
      <c r="R778" s="49"/>
      <c r="S778" s="50"/>
      <c r="T778" s="50"/>
      <c r="U778" s="50"/>
      <c r="V778" s="51"/>
      <c r="W778" s="51"/>
      <c r="X778" s="51"/>
      <c r="Y778" s="51"/>
    </row>
    <row r="779" customFormat="false" ht="12.75" hidden="false" customHeight="true" outlineLevel="0" collapsed="false">
      <c r="A779" s="45"/>
      <c r="B779" s="46"/>
      <c r="C779" s="46"/>
      <c r="D779" s="46"/>
      <c r="E779" s="46"/>
      <c r="F779" s="47"/>
      <c r="G779" s="48"/>
      <c r="H779" s="48"/>
      <c r="I779" s="48"/>
      <c r="J779" s="48"/>
      <c r="K779" s="48"/>
      <c r="L779" s="48"/>
      <c r="M779" s="49"/>
      <c r="N779" s="49"/>
      <c r="O779" s="49"/>
      <c r="P779" s="49"/>
      <c r="Q779" s="49"/>
      <c r="R779" s="49"/>
      <c r="S779" s="50"/>
      <c r="T779" s="50"/>
      <c r="U779" s="50"/>
      <c r="V779" s="51"/>
      <c r="W779" s="51"/>
      <c r="X779" s="51"/>
      <c r="Y779" s="51"/>
    </row>
    <row r="780" customFormat="false" ht="12.75" hidden="false" customHeight="true" outlineLevel="0" collapsed="false">
      <c r="A780" s="45"/>
      <c r="B780" s="46"/>
      <c r="C780" s="46"/>
      <c r="D780" s="46"/>
      <c r="E780" s="46"/>
      <c r="F780" s="47"/>
      <c r="G780" s="48"/>
      <c r="H780" s="48"/>
      <c r="I780" s="48"/>
      <c r="J780" s="48"/>
      <c r="K780" s="48"/>
      <c r="L780" s="48"/>
      <c r="M780" s="49"/>
      <c r="N780" s="49"/>
      <c r="O780" s="49"/>
      <c r="P780" s="49"/>
      <c r="Q780" s="49"/>
      <c r="R780" s="49"/>
      <c r="S780" s="50"/>
      <c r="T780" s="50"/>
      <c r="U780" s="50"/>
      <c r="V780" s="51"/>
      <c r="W780" s="51"/>
      <c r="X780" s="51"/>
      <c r="Y780" s="51"/>
    </row>
    <row r="781" customFormat="false" ht="12.75" hidden="false" customHeight="true" outlineLevel="0" collapsed="false">
      <c r="A781" s="45"/>
      <c r="B781" s="46"/>
      <c r="C781" s="46"/>
      <c r="D781" s="46"/>
      <c r="E781" s="46"/>
      <c r="F781" s="47"/>
      <c r="G781" s="48"/>
      <c r="H781" s="48"/>
      <c r="I781" s="48"/>
      <c r="J781" s="48"/>
      <c r="K781" s="48"/>
      <c r="L781" s="48"/>
      <c r="M781" s="49"/>
      <c r="N781" s="49"/>
      <c r="O781" s="49"/>
      <c r="P781" s="49"/>
      <c r="Q781" s="49"/>
      <c r="R781" s="49"/>
      <c r="S781" s="50"/>
      <c r="T781" s="50"/>
      <c r="U781" s="50"/>
      <c r="V781" s="51"/>
      <c r="W781" s="51"/>
      <c r="X781" s="51"/>
      <c r="Y781" s="51"/>
    </row>
    <row r="782" customFormat="false" ht="12.75" hidden="false" customHeight="true" outlineLevel="0" collapsed="false">
      <c r="A782" s="45"/>
      <c r="B782" s="46"/>
      <c r="C782" s="46"/>
      <c r="D782" s="46"/>
      <c r="E782" s="46"/>
      <c r="F782" s="47"/>
      <c r="G782" s="48"/>
      <c r="H782" s="48"/>
      <c r="I782" s="48"/>
      <c r="J782" s="48"/>
      <c r="K782" s="48"/>
      <c r="L782" s="48"/>
      <c r="M782" s="49"/>
      <c r="N782" s="49"/>
      <c r="O782" s="49"/>
      <c r="P782" s="49"/>
      <c r="Q782" s="49"/>
      <c r="R782" s="49"/>
      <c r="S782" s="50"/>
      <c r="T782" s="50"/>
      <c r="U782" s="50"/>
      <c r="V782" s="51"/>
      <c r="W782" s="51"/>
      <c r="X782" s="51"/>
      <c r="Y782" s="51"/>
    </row>
    <row r="783" customFormat="false" ht="12.75" hidden="false" customHeight="true" outlineLevel="0" collapsed="false">
      <c r="A783" s="45"/>
      <c r="B783" s="46"/>
      <c r="C783" s="46"/>
      <c r="D783" s="46"/>
      <c r="E783" s="46"/>
      <c r="F783" s="47"/>
      <c r="G783" s="48"/>
      <c r="H783" s="48"/>
      <c r="I783" s="48"/>
      <c r="J783" s="48"/>
      <c r="K783" s="48"/>
      <c r="L783" s="48"/>
      <c r="M783" s="49"/>
      <c r="N783" s="49"/>
      <c r="O783" s="49"/>
      <c r="P783" s="49"/>
      <c r="Q783" s="49"/>
      <c r="R783" s="49"/>
      <c r="S783" s="50"/>
      <c r="T783" s="50"/>
      <c r="U783" s="50"/>
      <c r="V783" s="51"/>
      <c r="W783" s="51"/>
      <c r="X783" s="51"/>
      <c r="Y783" s="51"/>
    </row>
    <row r="784" customFormat="false" ht="12.75" hidden="false" customHeight="true" outlineLevel="0" collapsed="false">
      <c r="A784" s="45"/>
      <c r="B784" s="46"/>
      <c r="C784" s="46"/>
      <c r="D784" s="46"/>
      <c r="E784" s="46"/>
      <c r="F784" s="47"/>
      <c r="G784" s="48"/>
      <c r="H784" s="48"/>
      <c r="I784" s="48"/>
      <c r="J784" s="48"/>
      <c r="K784" s="48"/>
      <c r="L784" s="48"/>
      <c r="M784" s="49"/>
      <c r="N784" s="49"/>
      <c r="O784" s="49"/>
      <c r="P784" s="49"/>
      <c r="Q784" s="49"/>
      <c r="R784" s="49"/>
      <c r="S784" s="50"/>
      <c r="T784" s="50"/>
      <c r="U784" s="50"/>
      <c r="V784" s="51"/>
      <c r="W784" s="51"/>
      <c r="X784" s="51"/>
      <c r="Y784" s="51"/>
    </row>
    <row r="785" customFormat="false" ht="12.75" hidden="false" customHeight="true" outlineLevel="0" collapsed="false">
      <c r="A785" s="45"/>
      <c r="B785" s="46"/>
      <c r="C785" s="46"/>
      <c r="D785" s="46"/>
      <c r="E785" s="46"/>
      <c r="F785" s="47"/>
      <c r="G785" s="48"/>
      <c r="H785" s="48"/>
      <c r="I785" s="48"/>
      <c r="J785" s="48"/>
      <c r="K785" s="48"/>
      <c r="L785" s="48"/>
      <c r="M785" s="49"/>
      <c r="N785" s="49"/>
      <c r="O785" s="49"/>
      <c r="P785" s="49"/>
      <c r="Q785" s="49"/>
      <c r="R785" s="49"/>
      <c r="S785" s="50"/>
      <c r="T785" s="50"/>
      <c r="U785" s="50"/>
      <c r="V785" s="51"/>
      <c r="W785" s="51"/>
      <c r="X785" s="51"/>
      <c r="Y785" s="51"/>
    </row>
    <row r="786" customFormat="false" ht="12.75" hidden="false" customHeight="true" outlineLevel="0" collapsed="false">
      <c r="A786" s="45"/>
      <c r="B786" s="46"/>
      <c r="C786" s="46"/>
      <c r="D786" s="46"/>
      <c r="E786" s="46"/>
      <c r="F786" s="47"/>
      <c r="G786" s="48"/>
      <c r="H786" s="48"/>
      <c r="I786" s="48"/>
      <c r="J786" s="48"/>
      <c r="K786" s="48"/>
      <c r="L786" s="48"/>
      <c r="M786" s="49"/>
      <c r="N786" s="49"/>
      <c r="O786" s="49"/>
      <c r="P786" s="49"/>
      <c r="Q786" s="49"/>
      <c r="R786" s="49"/>
      <c r="S786" s="50"/>
      <c r="T786" s="50"/>
      <c r="U786" s="50"/>
      <c r="V786" s="51"/>
      <c r="W786" s="51"/>
      <c r="X786" s="51"/>
      <c r="Y786" s="51"/>
    </row>
    <row r="787" customFormat="false" ht="12.75" hidden="false" customHeight="true" outlineLevel="0" collapsed="false">
      <c r="A787" s="45"/>
      <c r="B787" s="46"/>
      <c r="C787" s="46"/>
      <c r="D787" s="46"/>
      <c r="E787" s="46"/>
      <c r="F787" s="47"/>
      <c r="G787" s="48"/>
      <c r="H787" s="48"/>
      <c r="I787" s="48"/>
      <c r="J787" s="48"/>
      <c r="K787" s="48"/>
      <c r="L787" s="48"/>
      <c r="M787" s="49"/>
      <c r="N787" s="49"/>
      <c r="O787" s="49"/>
      <c r="P787" s="49"/>
      <c r="Q787" s="49"/>
      <c r="R787" s="49"/>
      <c r="S787" s="50"/>
      <c r="T787" s="50"/>
      <c r="U787" s="50"/>
      <c r="V787" s="51"/>
      <c r="W787" s="51"/>
      <c r="X787" s="51"/>
      <c r="Y787" s="51"/>
    </row>
    <row r="788" customFormat="false" ht="12.75" hidden="false" customHeight="true" outlineLevel="0" collapsed="false">
      <c r="A788" s="45"/>
      <c r="B788" s="46"/>
      <c r="C788" s="46"/>
      <c r="D788" s="46"/>
      <c r="E788" s="46"/>
      <c r="F788" s="47"/>
      <c r="G788" s="48"/>
      <c r="H788" s="48"/>
      <c r="I788" s="48"/>
      <c r="J788" s="48"/>
      <c r="K788" s="48"/>
      <c r="L788" s="48"/>
      <c r="M788" s="49"/>
      <c r="N788" s="49"/>
      <c r="O788" s="49"/>
      <c r="P788" s="49"/>
      <c r="Q788" s="49"/>
      <c r="R788" s="49"/>
      <c r="S788" s="50"/>
      <c r="T788" s="50"/>
      <c r="U788" s="50"/>
      <c r="V788" s="51"/>
      <c r="W788" s="51"/>
      <c r="X788" s="51"/>
      <c r="Y788" s="51"/>
    </row>
    <row r="789" customFormat="false" ht="12.75" hidden="false" customHeight="true" outlineLevel="0" collapsed="false">
      <c r="A789" s="45"/>
      <c r="B789" s="46"/>
      <c r="C789" s="46"/>
      <c r="D789" s="46"/>
      <c r="E789" s="46"/>
      <c r="F789" s="47"/>
      <c r="G789" s="48"/>
      <c r="H789" s="48"/>
      <c r="I789" s="48"/>
      <c r="J789" s="48"/>
      <c r="K789" s="48"/>
      <c r="L789" s="48"/>
      <c r="M789" s="49"/>
      <c r="N789" s="49"/>
      <c r="O789" s="49"/>
      <c r="P789" s="49"/>
      <c r="Q789" s="49"/>
      <c r="R789" s="49"/>
      <c r="S789" s="50"/>
      <c r="T789" s="50"/>
      <c r="U789" s="50"/>
      <c r="V789" s="51"/>
      <c r="W789" s="51"/>
      <c r="X789" s="51"/>
      <c r="Y789" s="51"/>
    </row>
    <row r="790" customFormat="false" ht="12.75" hidden="false" customHeight="true" outlineLevel="0" collapsed="false">
      <c r="A790" s="45"/>
      <c r="B790" s="46"/>
      <c r="C790" s="46"/>
      <c r="D790" s="46"/>
      <c r="E790" s="46"/>
      <c r="F790" s="47"/>
      <c r="G790" s="48"/>
      <c r="H790" s="48"/>
      <c r="I790" s="48"/>
      <c r="J790" s="48"/>
      <c r="K790" s="48"/>
      <c r="L790" s="48"/>
      <c r="M790" s="49"/>
      <c r="N790" s="49"/>
      <c r="O790" s="49"/>
      <c r="P790" s="49"/>
      <c r="Q790" s="49"/>
      <c r="R790" s="49"/>
      <c r="S790" s="50"/>
      <c r="T790" s="50"/>
      <c r="U790" s="50"/>
      <c r="V790" s="51"/>
      <c r="W790" s="51"/>
      <c r="X790" s="51"/>
      <c r="Y790" s="51"/>
    </row>
    <row r="791" customFormat="false" ht="12.75" hidden="false" customHeight="true" outlineLevel="0" collapsed="false">
      <c r="A791" s="45"/>
      <c r="B791" s="46"/>
      <c r="C791" s="46"/>
      <c r="D791" s="46"/>
      <c r="E791" s="46"/>
      <c r="F791" s="47"/>
      <c r="G791" s="48"/>
      <c r="H791" s="48"/>
      <c r="I791" s="48"/>
      <c r="J791" s="48"/>
      <c r="K791" s="48"/>
      <c r="L791" s="48"/>
      <c r="M791" s="49"/>
      <c r="N791" s="49"/>
      <c r="O791" s="49"/>
      <c r="P791" s="49"/>
      <c r="Q791" s="49"/>
      <c r="R791" s="49"/>
      <c r="S791" s="50"/>
      <c r="T791" s="50"/>
      <c r="U791" s="50"/>
      <c r="V791" s="51"/>
      <c r="W791" s="51"/>
      <c r="X791" s="51"/>
      <c r="Y791" s="51"/>
    </row>
    <row r="792" customFormat="false" ht="12.75" hidden="false" customHeight="true" outlineLevel="0" collapsed="false">
      <c r="A792" s="45"/>
      <c r="B792" s="46"/>
      <c r="C792" s="46"/>
      <c r="D792" s="46"/>
      <c r="E792" s="46"/>
      <c r="F792" s="47"/>
      <c r="G792" s="48"/>
      <c r="H792" s="48"/>
      <c r="I792" s="48"/>
      <c r="J792" s="48"/>
      <c r="K792" s="48"/>
      <c r="L792" s="48"/>
      <c r="M792" s="49"/>
      <c r="N792" s="49"/>
      <c r="O792" s="49"/>
      <c r="P792" s="49"/>
      <c r="Q792" s="49"/>
      <c r="R792" s="49"/>
      <c r="S792" s="50"/>
      <c r="T792" s="50"/>
      <c r="U792" s="50"/>
      <c r="V792" s="51"/>
      <c r="W792" s="51"/>
      <c r="X792" s="51"/>
      <c r="Y792" s="51"/>
    </row>
    <row r="793" customFormat="false" ht="12.75" hidden="false" customHeight="true" outlineLevel="0" collapsed="false">
      <c r="A793" s="45"/>
      <c r="B793" s="46"/>
      <c r="C793" s="46"/>
      <c r="D793" s="46"/>
      <c r="E793" s="46"/>
      <c r="F793" s="47"/>
      <c r="G793" s="48"/>
      <c r="H793" s="48"/>
      <c r="I793" s="48"/>
      <c r="J793" s="48"/>
      <c r="K793" s="48"/>
      <c r="L793" s="48"/>
      <c r="M793" s="49"/>
      <c r="N793" s="49"/>
      <c r="O793" s="49"/>
      <c r="P793" s="49"/>
      <c r="Q793" s="49"/>
      <c r="R793" s="49"/>
      <c r="S793" s="50"/>
      <c r="T793" s="50"/>
      <c r="U793" s="50"/>
      <c r="V793" s="51"/>
      <c r="W793" s="51"/>
      <c r="X793" s="51"/>
      <c r="Y793" s="51"/>
    </row>
    <row r="794" customFormat="false" ht="12.75" hidden="false" customHeight="true" outlineLevel="0" collapsed="false">
      <c r="A794" s="45"/>
      <c r="B794" s="46"/>
      <c r="C794" s="46"/>
      <c r="D794" s="46"/>
      <c r="E794" s="46"/>
      <c r="F794" s="47"/>
      <c r="G794" s="48"/>
      <c r="H794" s="48"/>
      <c r="I794" s="48"/>
      <c r="J794" s="48"/>
      <c r="K794" s="48"/>
      <c r="L794" s="48"/>
      <c r="M794" s="49"/>
      <c r="N794" s="49"/>
      <c r="O794" s="49"/>
      <c r="P794" s="49"/>
      <c r="Q794" s="49"/>
      <c r="R794" s="49"/>
      <c r="S794" s="50"/>
      <c r="T794" s="50"/>
      <c r="U794" s="50"/>
      <c r="V794" s="51"/>
      <c r="W794" s="51"/>
      <c r="X794" s="51"/>
      <c r="Y794" s="51"/>
    </row>
    <row r="795" customFormat="false" ht="12.75" hidden="false" customHeight="true" outlineLevel="0" collapsed="false">
      <c r="A795" s="45"/>
      <c r="B795" s="46"/>
      <c r="C795" s="46"/>
      <c r="D795" s="46"/>
      <c r="E795" s="46"/>
      <c r="F795" s="47"/>
      <c r="G795" s="48"/>
      <c r="H795" s="48"/>
      <c r="I795" s="48"/>
      <c r="J795" s="48"/>
      <c r="K795" s="48"/>
      <c r="L795" s="48"/>
      <c r="M795" s="49"/>
      <c r="N795" s="49"/>
      <c r="O795" s="49"/>
      <c r="P795" s="49"/>
      <c r="Q795" s="49"/>
      <c r="R795" s="49"/>
      <c r="S795" s="50"/>
      <c r="T795" s="50"/>
      <c r="U795" s="50"/>
      <c r="V795" s="51"/>
      <c r="W795" s="51"/>
      <c r="X795" s="51"/>
      <c r="Y795" s="51"/>
    </row>
    <row r="796" customFormat="false" ht="12.75" hidden="false" customHeight="true" outlineLevel="0" collapsed="false">
      <c r="A796" s="45"/>
      <c r="B796" s="46"/>
      <c r="C796" s="46"/>
      <c r="D796" s="46"/>
      <c r="E796" s="46"/>
      <c r="F796" s="47"/>
      <c r="G796" s="48"/>
      <c r="H796" s="48"/>
      <c r="I796" s="48"/>
      <c r="J796" s="48"/>
      <c r="K796" s="48"/>
      <c r="L796" s="48"/>
      <c r="M796" s="49"/>
      <c r="N796" s="49"/>
      <c r="O796" s="49"/>
      <c r="P796" s="49"/>
      <c r="Q796" s="49"/>
      <c r="R796" s="49"/>
      <c r="S796" s="50"/>
      <c r="T796" s="50"/>
      <c r="U796" s="50"/>
      <c r="V796" s="51"/>
      <c r="W796" s="51"/>
      <c r="X796" s="51"/>
      <c r="Y796" s="51"/>
    </row>
    <row r="797" customFormat="false" ht="12.75" hidden="false" customHeight="true" outlineLevel="0" collapsed="false">
      <c r="A797" s="45"/>
      <c r="B797" s="46"/>
      <c r="C797" s="46"/>
      <c r="D797" s="46"/>
      <c r="E797" s="46"/>
      <c r="F797" s="47"/>
      <c r="G797" s="48"/>
      <c r="H797" s="48"/>
      <c r="I797" s="48"/>
      <c r="J797" s="48"/>
      <c r="K797" s="48"/>
      <c r="L797" s="48"/>
      <c r="M797" s="49"/>
      <c r="N797" s="49"/>
      <c r="O797" s="49"/>
      <c r="P797" s="49"/>
      <c r="Q797" s="49"/>
      <c r="R797" s="49"/>
      <c r="S797" s="50"/>
      <c r="T797" s="50"/>
      <c r="U797" s="50"/>
      <c r="V797" s="51"/>
      <c r="W797" s="51"/>
      <c r="X797" s="51"/>
      <c r="Y797" s="51"/>
    </row>
    <row r="798" customFormat="false" ht="12.75" hidden="false" customHeight="true" outlineLevel="0" collapsed="false">
      <c r="A798" s="45"/>
      <c r="B798" s="46"/>
      <c r="C798" s="46"/>
      <c r="D798" s="46"/>
      <c r="E798" s="46"/>
      <c r="F798" s="47"/>
      <c r="G798" s="48"/>
      <c r="H798" s="48"/>
      <c r="I798" s="48"/>
      <c r="J798" s="48"/>
      <c r="K798" s="48"/>
      <c r="L798" s="48"/>
      <c r="M798" s="49"/>
      <c r="N798" s="49"/>
      <c r="O798" s="49"/>
      <c r="P798" s="49"/>
      <c r="Q798" s="49"/>
      <c r="R798" s="49"/>
      <c r="S798" s="50"/>
      <c r="T798" s="50"/>
      <c r="U798" s="50"/>
      <c r="V798" s="51"/>
      <c r="W798" s="51"/>
      <c r="X798" s="51"/>
      <c r="Y798" s="51"/>
    </row>
    <row r="799" customFormat="false" ht="12.75" hidden="false" customHeight="true" outlineLevel="0" collapsed="false">
      <c r="A799" s="45"/>
      <c r="B799" s="46"/>
      <c r="C799" s="46"/>
      <c r="D799" s="46"/>
      <c r="E799" s="46"/>
      <c r="F799" s="47"/>
      <c r="G799" s="48"/>
      <c r="H799" s="48"/>
      <c r="I799" s="48"/>
      <c r="J799" s="48"/>
      <c r="K799" s="48"/>
      <c r="L799" s="48"/>
      <c r="M799" s="49"/>
      <c r="N799" s="49"/>
      <c r="O799" s="49"/>
      <c r="P799" s="49"/>
      <c r="Q799" s="49"/>
      <c r="R799" s="49"/>
      <c r="S799" s="50"/>
      <c r="T799" s="50"/>
      <c r="U799" s="50"/>
      <c r="V799" s="51"/>
      <c r="W799" s="51"/>
      <c r="X799" s="51"/>
      <c r="Y799" s="51"/>
    </row>
    <row r="800" customFormat="false" ht="12.75" hidden="false" customHeight="true" outlineLevel="0" collapsed="false">
      <c r="A800" s="45"/>
      <c r="B800" s="46"/>
      <c r="C800" s="46"/>
      <c r="D800" s="46"/>
      <c r="E800" s="46"/>
      <c r="F800" s="47"/>
      <c r="G800" s="48"/>
      <c r="H800" s="48"/>
      <c r="I800" s="48"/>
      <c r="J800" s="48"/>
      <c r="K800" s="48"/>
      <c r="L800" s="48"/>
      <c r="M800" s="49"/>
      <c r="N800" s="49"/>
      <c r="O800" s="49"/>
      <c r="P800" s="49"/>
      <c r="Q800" s="49"/>
      <c r="R800" s="49"/>
      <c r="S800" s="50"/>
      <c r="T800" s="50"/>
      <c r="U800" s="50"/>
      <c r="V800" s="51"/>
      <c r="W800" s="51"/>
      <c r="X800" s="51"/>
      <c r="Y800" s="51"/>
    </row>
    <row r="801" customFormat="false" ht="12.75" hidden="false" customHeight="true" outlineLevel="0" collapsed="false">
      <c r="A801" s="45"/>
      <c r="B801" s="46"/>
      <c r="C801" s="46"/>
      <c r="D801" s="46"/>
      <c r="E801" s="46"/>
      <c r="F801" s="47"/>
      <c r="G801" s="48"/>
      <c r="H801" s="48"/>
      <c r="I801" s="48"/>
      <c r="J801" s="48"/>
      <c r="K801" s="48"/>
      <c r="L801" s="48"/>
      <c r="M801" s="49"/>
      <c r="N801" s="49"/>
      <c r="O801" s="49"/>
      <c r="P801" s="49"/>
      <c r="Q801" s="49"/>
      <c r="R801" s="49"/>
      <c r="S801" s="50"/>
      <c r="T801" s="50"/>
      <c r="U801" s="50"/>
      <c r="V801" s="51"/>
      <c r="W801" s="51"/>
      <c r="X801" s="51"/>
      <c r="Y801" s="51"/>
    </row>
    <row r="802" customFormat="false" ht="12.75" hidden="false" customHeight="true" outlineLevel="0" collapsed="false">
      <c r="A802" s="45"/>
      <c r="B802" s="46"/>
      <c r="C802" s="46"/>
      <c r="D802" s="46"/>
      <c r="E802" s="46"/>
      <c r="F802" s="47"/>
      <c r="G802" s="48"/>
      <c r="H802" s="48"/>
      <c r="I802" s="48"/>
      <c r="J802" s="48"/>
      <c r="K802" s="48"/>
      <c r="L802" s="48"/>
      <c r="M802" s="49"/>
      <c r="N802" s="49"/>
      <c r="O802" s="49"/>
      <c r="P802" s="49"/>
      <c r="Q802" s="49"/>
      <c r="R802" s="49"/>
      <c r="S802" s="50"/>
      <c r="T802" s="50"/>
      <c r="U802" s="50"/>
      <c r="V802" s="51"/>
      <c r="W802" s="51"/>
      <c r="X802" s="51"/>
      <c r="Y802" s="51"/>
    </row>
    <row r="803" customFormat="false" ht="12.75" hidden="false" customHeight="true" outlineLevel="0" collapsed="false">
      <c r="A803" s="45"/>
      <c r="B803" s="46"/>
      <c r="C803" s="46"/>
      <c r="D803" s="46"/>
      <c r="E803" s="46"/>
      <c r="F803" s="47"/>
      <c r="G803" s="48"/>
      <c r="H803" s="48"/>
      <c r="I803" s="48"/>
      <c r="J803" s="48"/>
      <c r="K803" s="48"/>
      <c r="L803" s="48"/>
      <c r="M803" s="49"/>
      <c r="N803" s="49"/>
      <c r="O803" s="49"/>
      <c r="P803" s="49"/>
      <c r="Q803" s="49"/>
      <c r="R803" s="49"/>
      <c r="S803" s="50"/>
      <c r="T803" s="50"/>
      <c r="U803" s="50"/>
      <c r="V803" s="51"/>
      <c r="W803" s="51"/>
      <c r="X803" s="51"/>
      <c r="Y803" s="51"/>
    </row>
    <row r="804" customFormat="false" ht="12.75" hidden="false" customHeight="true" outlineLevel="0" collapsed="false">
      <c r="A804" s="45"/>
      <c r="B804" s="46"/>
      <c r="C804" s="46"/>
      <c r="D804" s="46"/>
      <c r="E804" s="46"/>
      <c r="F804" s="47"/>
      <c r="G804" s="48"/>
      <c r="H804" s="48"/>
      <c r="I804" s="48"/>
      <c r="J804" s="48"/>
      <c r="K804" s="48"/>
      <c r="L804" s="48"/>
      <c r="M804" s="49"/>
      <c r="N804" s="49"/>
      <c r="O804" s="49"/>
      <c r="P804" s="49"/>
      <c r="Q804" s="49"/>
      <c r="R804" s="49"/>
      <c r="S804" s="50"/>
      <c r="T804" s="50"/>
      <c r="U804" s="50"/>
      <c r="V804" s="51"/>
      <c r="W804" s="51"/>
      <c r="X804" s="51"/>
      <c r="Y804" s="51"/>
    </row>
    <row r="805" customFormat="false" ht="12.75" hidden="false" customHeight="true" outlineLevel="0" collapsed="false">
      <c r="A805" s="45"/>
      <c r="B805" s="46"/>
      <c r="C805" s="46"/>
      <c r="D805" s="46"/>
      <c r="E805" s="46"/>
      <c r="F805" s="47"/>
      <c r="G805" s="48"/>
      <c r="H805" s="48"/>
      <c r="I805" s="48"/>
      <c r="J805" s="48"/>
      <c r="K805" s="48"/>
      <c r="L805" s="48"/>
      <c r="M805" s="49"/>
      <c r="N805" s="49"/>
      <c r="O805" s="49"/>
      <c r="P805" s="49"/>
      <c r="Q805" s="49"/>
      <c r="R805" s="49"/>
      <c r="S805" s="50"/>
      <c r="T805" s="50"/>
      <c r="U805" s="50"/>
      <c r="V805" s="51"/>
      <c r="W805" s="51"/>
      <c r="X805" s="51"/>
      <c r="Y805" s="51"/>
    </row>
    <row r="806" customFormat="false" ht="12.75" hidden="false" customHeight="true" outlineLevel="0" collapsed="false">
      <c r="A806" s="45"/>
      <c r="B806" s="46"/>
      <c r="C806" s="46"/>
      <c r="D806" s="46"/>
      <c r="E806" s="46"/>
      <c r="F806" s="47"/>
      <c r="G806" s="48"/>
      <c r="H806" s="48"/>
      <c r="I806" s="48"/>
      <c r="J806" s="48"/>
      <c r="K806" s="48"/>
      <c r="L806" s="48"/>
      <c r="M806" s="49"/>
      <c r="N806" s="49"/>
      <c r="O806" s="49"/>
      <c r="P806" s="49"/>
      <c r="Q806" s="49"/>
      <c r="R806" s="49"/>
      <c r="S806" s="50"/>
      <c r="T806" s="50"/>
      <c r="U806" s="50"/>
      <c r="V806" s="51"/>
      <c r="W806" s="51"/>
      <c r="X806" s="51"/>
      <c r="Y806" s="51"/>
    </row>
    <row r="807" customFormat="false" ht="12.75" hidden="false" customHeight="true" outlineLevel="0" collapsed="false">
      <c r="A807" s="45"/>
      <c r="B807" s="46"/>
      <c r="C807" s="46"/>
      <c r="D807" s="46"/>
      <c r="E807" s="46"/>
      <c r="F807" s="47"/>
      <c r="G807" s="48"/>
      <c r="H807" s="48"/>
      <c r="I807" s="48"/>
      <c r="J807" s="48"/>
      <c r="K807" s="48"/>
      <c r="L807" s="48"/>
      <c r="M807" s="49"/>
      <c r="N807" s="49"/>
      <c r="O807" s="49"/>
      <c r="P807" s="49"/>
      <c r="Q807" s="49"/>
      <c r="R807" s="49"/>
      <c r="S807" s="50"/>
      <c r="T807" s="50"/>
      <c r="U807" s="50"/>
      <c r="V807" s="51"/>
      <c r="W807" s="51"/>
      <c r="X807" s="51"/>
      <c r="Y807" s="51"/>
    </row>
    <row r="808" customFormat="false" ht="12.75" hidden="false" customHeight="true" outlineLevel="0" collapsed="false">
      <c r="A808" s="45"/>
      <c r="B808" s="46"/>
      <c r="C808" s="46"/>
      <c r="D808" s="46"/>
      <c r="E808" s="46"/>
      <c r="F808" s="47"/>
      <c r="G808" s="48"/>
      <c r="H808" s="48"/>
      <c r="I808" s="48"/>
      <c r="J808" s="48"/>
      <c r="K808" s="48"/>
      <c r="L808" s="48"/>
      <c r="M808" s="49"/>
      <c r="N808" s="49"/>
      <c r="O808" s="49"/>
      <c r="P808" s="49"/>
      <c r="Q808" s="49"/>
      <c r="R808" s="49"/>
      <c r="S808" s="50"/>
      <c r="T808" s="50"/>
      <c r="U808" s="50"/>
      <c r="V808" s="51"/>
      <c r="W808" s="51"/>
      <c r="X808" s="51"/>
      <c r="Y808" s="51"/>
    </row>
    <row r="809" customFormat="false" ht="12.75" hidden="false" customHeight="true" outlineLevel="0" collapsed="false">
      <c r="A809" s="45"/>
      <c r="B809" s="46"/>
      <c r="C809" s="46"/>
      <c r="D809" s="46"/>
      <c r="E809" s="46"/>
      <c r="F809" s="47"/>
      <c r="G809" s="48"/>
      <c r="H809" s="48"/>
      <c r="I809" s="48"/>
      <c r="J809" s="48"/>
      <c r="K809" s="48"/>
      <c r="L809" s="48"/>
      <c r="M809" s="49"/>
      <c r="N809" s="49"/>
      <c r="O809" s="49"/>
      <c r="P809" s="49"/>
      <c r="Q809" s="49"/>
      <c r="R809" s="49"/>
      <c r="S809" s="50"/>
      <c r="T809" s="50"/>
      <c r="U809" s="50"/>
      <c r="V809" s="51"/>
      <c r="W809" s="51"/>
      <c r="X809" s="51"/>
      <c r="Y809" s="51"/>
    </row>
    <row r="810" customFormat="false" ht="12.75" hidden="false" customHeight="true" outlineLevel="0" collapsed="false">
      <c r="A810" s="45"/>
      <c r="B810" s="46"/>
      <c r="C810" s="46"/>
      <c r="D810" s="46"/>
      <c r="E810" s="46"/>
      <c r="F810" s="47"/>
      <c r="G810" s="48"/>
      <c r="H810" s="48"/>
      <c r="I810" s="48"/>
      <c r="J810" s="48"/>
      <c r="K810" s="48"/>
      <c r="L810" s="48"/>
      <c r="M810" s="49"/>
      <c r="N810" s="49"/>
      <c r="O810" s="49"/>
      <c r="P810" s="49"/>
      <c r="Q810" s="49"/>
      <c r="R810" s="49"/>
      <c r="S810" s="50"/>
      <c r="T810" s="50"/>
      <c r="U810" s="50"/>
      <c r="V810" s="51"/>
      <c r="W810" s="51"/>
      <c r="X810" s="51"/>
      <c r="Y810" s="51"/>
    </row>
    <row r="811" customFormat="false" ht="12.75" hidden="false" customHeight="true" outlineLevel="0" collapsed="false">
      <c r="A811" s="45"/>
      <c r="B811" s="46"/>
      <c r="C811" s="46"/>
      <c r="D811" s="46"/>
      <c r="E811" s="46"/>
      <c r="F811" s="47"/>
      <c r="G811" s="48"/>
      <c r="H811" s="48"/>
      <c r="I811" s="48"/>
      <c r="J811" s="48"/>
      <c r="K811" s="48"/>
      <c r="L811" s="48"/>
      <c r="M811" s="49"/>
      <c r="N811" s="49"/>
      <c r="O811" s="49"/>
      <c r="P811" s="49"/>
      <c r="Q811" s="49"/>
      <c r="R811" s="49"/>
      <c r="S811" s="50"/>
      <c r="T811" s="50"/>
      <c r="U811" s="50"/>
      <c r="V811" s="51"/>
      <c r="W811" s="51"/>
      <c r="X811" s="51"/>
      <c r="Y811" s="51"/>
    </row>
    <row r="812" customFormat="false" ht="12.75" hidden="false" customHeight="true" outlineLevel="0" collapsed="false">
      <c r="A812" s="45"/>
      <c r="B812" s="46"/>
      <c r="C812" s="46"/>
      <c r="D812" s="46"/>
      <c r="E812" s="46"/>
      <c r="F812" s="47"/>
      <c r="G812" s="48"/>
      <c r="H812" s="48"/>
      <c r="I812" s="48"/>
      <c r="J812" s="48"/>
      <c r="K812" s="48"/>
      <c r="L812" s="48"/>
      <c r="M812" s="49"/>
      <c r="N812" s="49"/>
      <c r="O812" s="49"/>
      <c r="P812" s="49"/>
      <c r="Q812" s="49"/>
      <c r="R812" s="49"/>
      <c r="S812" s="50"/>
      <c r="T812" s="50"/>
      <c r="U812" s="50"/>
      <c r="V812" s="51"/>
      <c r="W812" s="51"/>
      <c r="X812" s="51"/>
      <c r="Y812" s="51"/>
    </row>
    <row r="813" customFormat="false" ht="12.75" hidden="false" customHeight="true" outlineLevel="0" collapsed="false">
      <c r="A813" s="45"/>
      <c r="B813" s="46"/>
      <c r="C813" s="46"/>
      <c r="D813" s="46"/>
      <c r="E813" s="46"/>
      <c r="F813" s="47"/>
      <c r="G813" s="48"/>
      <c r="H813" s="48"/>
      <c r="I813" s="48"/>
      <c r="J813" s="48"/>
      <c r="K813" s="48"/>
      <c r="L813" s="48"/>
      <c r="M813" s="49"/>
      <c r="N813" s="49"/>
      <c r="O813" s="49"/>
      <c r="P813" s="49"/>
      <c r="Q813" s="49"/>
      <c r="R813" s="49"/>
      <c r="S813" s="50"/>
      <c r="T813" s="50"/>
      <c r="U813" s="50"/>
      <c r="V813" s="51"/>
      <c r="W813" s="51"/>
      <c r="X813" s="51"/>
      <c r="Y813" s="51"/>
    </row>
    <row r="814" customFormat="false" ht="12.75" hidden="false" customHeight="true" outlineLevel="0" collapsed="false">
      <c r="A814" s="45"/>
      <c r="B814" s="46"/>
      <c r="C814" s="46"/>
      <c r="D814" s="46"/>
      <c r="E814" s="46"/>
      <c r="F814" s="47"/>
      <c r="G814" s="48"/>
      <c r="H814" s="48"/>
      <c r="I814" s="48"/>
      <c r="J814" s="48"/>
      <c r="K814" s="48"/>
      <c r="L814" s="48"/>
      <c r="M814" s="49"/>
      <c r="N814" s="49"/>
      <c r="O814" s="49"/>
      <c r="P814" s="49"/>
      <c r="Q814" s="49"/>
      <c r="R814" s="49"/>
      <c r="S814" s="50"/>
      <c r="T814" s="50"/>
      <c r="U814" s="50"/>
      <c r="V814" s="51"/>
      <c r="W814" s="51"/>
      <c r="X814" s="51"/>
      <c r="Y814" s="51"/>
    </row>
    <row r="815" customFormat="false" ht="12.75" hidden="false" customHeight="true" outlineLevel="0" collapsed="false">
      <c r="A815" s="45"/>
      <c r="B815" s="46"/>
      <c r="C815" s="46"/>
      <c r="D815" s="46"/>
      <c r="E815" s="46"/>
      <c r="F815" s="47"/>
      <c r="G815" s="48"/>
      <c r="H815" s="48"/>
      <c r="I815" s="48"/>
      <c r="J815" s="48"/>
      <c r="K815" s="48"/>
      <c r="L815" s="48"/>
      <c r="M815" s="49"/>
      <c r="N815" s="49"/>
      <c r="O815" s="49"/>
      <c r="P815" s="49"/>
      <c r="Q815" s="49"/>
      <c r="R815" s="49"/>
      <c r="S815" s="50"/>
      <c r="T815" s="50"/>
      <c r="U815" s="50"/>
      <c r="V815" s="51"/>
      <c r="W815" s="51"/>
      <c r="X815" s="51"/>
      <c r="Y815" s="51"/>
    </row>
    <row r="816" customFormat="false" ht="12.75" hidden="false" customHeight="true" outlineLevel="0" collapsed="false">
      <c r="A816" s="45"/>
      <c r="B816" s="46"/>
      <c r="C816" s="46"/>
      <c r="D816" s="46"/>
      <c r="E816" s="46"/>
      <c r="F816" s="47"/>
      <c r="G816" s="48"/>
      <c r="H816" s="48"/>
      <c r="I816" s="48"/>
      <c r="J816" s="48"/>
      <c r="K816" s="48"/>
      <c r="L816" s="48"/>
      <c r="M816" s="49"/>
      <c r="N816" s="49"/>
      <c r="O816" s="49"/>
      <c r="P816" s="49"/>
      <c r="Q816" s="49"/>
      <c r="R816" s="49"/>
      <c r="S816" s="50"/>
      <c r="T816" s="50"/>
      <c r="U816" s="50"/>
      <c r="V816" s="51"/>
      <c r="W816" s="51"/>
      <c r="X816" s="51"/>
      <c r="Y816" s="51"/>
    </row>
    <row r="817" customFormat="false" ht="12.75" hidden="false" customHeight="true" outlineLevel="0" collapsed="false">
      <c r="A817" s="45"/>
      <c r="B817" s="46"/>
      <c r="C817" s="46"/>
      <c r="D817" s="46"/>
      <c r="E817" s="46"/>
      <c r="F817" s="47"/>
      <c r="G817" s="48"/>
      <c r="H817" s="48"/>
      <c r="I817" s="48"/>
      <c r="J817" s="48"/>
      <c r="K817" s="48"/>
      <c r="L817" s="48"/>
      <c r="M817" s="49"/>
      <c r="N817" s="49"/>
      <c r="O817" s="49"/>
      <c r="P817" s="49"/>
      <c r="Q817" s="49"/>
      <c r="R817" s="49"/>
      <c r="S817" s="50"/>
      <c r="T817" s="50"/>
      <c r="U817" s="50"/>
      <c r="V817" s="51"/>
      <c r="W817" s="51"/>
      <c r="X817" s="51"/>
      <c r="Y817" s="51"/>
    </row>
    <row r="818" customFormat="false" ht="12.75" hidden="false" customHeight="true" outlineLevel="0" collapsed="false">
      <c r="A818" s="45"/>
      <c r="B818" s="46"/>
      <c r="C818" s="46"/>
      <c r="D818" s="46"/>
      <c r="E818" s="46"/>
      <c r="F818" s="47"/>
      <c r="G818" s="48"/>
      <c r="H818" s="48"/>
      <c r="I818" s="48"/>
      <c r="J818" s="48"/>
      <c r="K818" s="48"/>
      <c r="L818" s="48"/>
      <c r="M818" s="49"/>
      <c r="N818" s="49"/>
      <c r="O818" s="49"/>
      <c r="P818" s="49"/>
      <c r="Q818" s="49"/>
      <c r="R818" s="49"/>
      <c r="S818" s="50"/>
      <c r="T818" s="50"/>
      <c r="U818" s="50"/>
      <c r="V818" s="51"/>
      <c r="W818" s="51"/>
      <c r="X818" s="51"/>
      <c r="Y818" s="51"/>
    </row>
    <row r="819" customFormat="false" ht="12.75" hidden="false" customHeight="true" outlineLevel="0" collapsed="false">
      <c r="A819" s="45"/>
      <c r="B819" s="46"/>
      <c r="C819" s="46"/>
      <c r="D819" s="46"/>
      <c r="E819" s="46"/>
      <c r="F819" s="47"/>
      <c r="G819" s="48"/>
      <c r="H819" s="48"/>
      <c r="I819" s="48"/>
      <c r="J819" s="48"/>
      <c r="K819" s="48"/>
      <c r="L819" s="48"/>
      <c r="M819" s="49"/>
      <c r="N819" s="49"/>
      <c r="O819" s="49"/>
      <c r="P819" s="49"/>
      <c r="Q819" s="49"/>
      <c r="R819" s="49"/>
      <c r="S819" s="50"/>
      <c r="T819" s="50"/>
      <c r="U819" s="50"/>
      <c r="V819" s="51"/>
      <c r="W819" s="51"/>
      <c r="X819" s="51"/>
      <c r="Y819" s="51"/>
    </row>
    <row r="820" customFormat="false" ht="12.75" hidden="false" customHeight="true" outlineLevel="0" collapsed="false">
      <c r="A820" s="45"/>
      <c r="B820" s="46"/>
      <c r="C820" s="46"/>
      <c r="D820" s="46"/>
      <c r="E820" s="46"/>
      <c r="F820" s="47"/>
      <c r="G820" s="48"/>
      <c r="H820" s="48"/>
      <c r="I820" s="48"/>
      <c r="J820" s="48"/>
      <c r="K820" s="48"/>
      <c r="L820" s="48"/>
      <c r="M820" s="49"/>
      <c r="N820" s="49"/>
      <c r="O820" s="49"/>
      <c r="P820" s="49"/>
      <c r="Q820" s="49"/>
      <c r="R820" s="49"/>
      <c r="S820" s="50"/>
      <c r="T820" s="50"/>
      <c r="U820" s="50"/>
      <c r="V820" s="51"/>
      <c r="W820" s="51"/>
      <c r="X820" s="51"/>
      <c r="Y820" s="51"/>
    </row>
    <row r="821" customFormat="false" ht="12.75" hidden="false" customHeight="true" outlineLevel="0" collapsed="false">
      <c r="A821" s="45"/>
      <c r="B821" s="46"/>
      <c r="C821" s="46"/>
      <c r="D821" s="46"/>
      <c r="E821" s="46"/>
      <c r="F821" s="47"/>
      <c r="G821" s="48"/>
      <c r="H821" s="48"/>
      <c r="I821" s="48"/>
      <c r="J821" s="48"/>
      <c r="K821" s="48"/>
      <c r="L821" s="48"/>
      <c r="M821" s="49"/>
      <c r="N821" s="49"/>
      <c r="O821" s="49"/>
      <c r="P821" s="49"/>
      <c r="Q821" s="49"/>
      <c r="R821" s="49"/>
      <c r="S821" s="50"/>
      <c r="T821" s="50"/>
      <c r="U821" s="50"/>
      <c r="V821" s="51"/>
      <c r="W821" s="51"/>
      <c r="X821" s="51"/>
      <c r="Y821" s="51"/>
    </row>
    <row r="822" customFormat="false" ht="12.75" hidden="false" customHeight="true" outlineLevel="0" collapsed="false">
      <c r="A822" s="45"/>
      <c r="B822" s="46"/>
      <c r="C822" s="46"/>
      <c r="D822" s="46"/>
      <c r="E822" s="46"/>
      <c r="F822" s="47"/>
      <c r="G822" s="48"/>
      <c r="H822" s="48"/>
      <c r="I822" s="48"/>
      <c r="J822" s="48"/>
      <c r="K822" s="48"/>
      <c r="L822" s="48"/>
      <c r="M822" s="49"/>
      <c r="N822" s="49"/>
      <c r="O822" s="49"/>
      <c r="P822" s="49"/>
      <c r="Q822" s="49"/>
      <c r="R822" s="49"/>
      <c r="S822" s="50"/>
      <c r="T822" s="50"/>
      <c r="U822" s="50"/>
      <c r="V822" s="51"/>
      <c r="W822" s="51"/>
      <c r="X822" s="51"/>
      <c r="Y822" s="51"/>
    </row>
    <row r="823" customFormat="false" ht="12.75" hidden="false" customHeight="true" outlineLevel="0" collapsed="false">
      <c r="A823" s="45"/>
      <c r="B823" s="46"/>
      <c r="C823" s="46"/>
      <c r="D823" s="46"/>
      <c r="E823" s="46"/>
      <c r="F823" s="47"/>
      <c r="G823" s="48"/>
      <c r="H823" s="48"/>
      <c r="I823" s="48"/>
      <c r="J823" s="48"/>
      <c r="K823" s="48"/>
      <c r="L823" s="48"/>
      <c r="M823" s="49"/>
      <c r="N823" s="49"/>
      <c r="O823" s="49"/>
      <c r="P823" s="49"/>
      <c r="Q823" s="49"/>
      <c r="R823" s="49"/>
      <c r="S823" s="50"/>
      <c r="T823" s="50"/>
      <c r="U823" s="50"/>
      <c r="V823" s="51"/>
      <c r="W823" s="51"/>
      <c r="X823" s="51"/>
      <c r="Y823" s="51"/>
    </row>
    <row r="824" customFormat="false" ht="12.75" hidden="false" customHeight="true" outlineLevel="0" collapsed="false">
      <c r="A824" s="45"/>
      <c r="B824" s="46"/>
      <c r="C824" s="46"/>
      <c r="D824" s="46"/>
      <c r="E824" s="46"/>
      <c r="F824" s="47"/>
      <c r="G824" s="48"/>
      <c r="H824" s="48"/>
      <c r="I824" s="48"/>
      <c r="J824" s="48"/>
      <c r="K824" s="48"/>
      <c r="L824" s="48"/>
      <c r="M824" s="49"/>
      <c r="N824" s="49"/>
      <c r="O824" s="49"/>
      <c r="P824" s="49"/>
      <c r="Q824" s="49"/>
      <c r="R824" s="49"/>
      <c r="S824" s="50"/>
      <c r="T824" s="50"/>
      <c r="U824" s="50"/>
      <c r="V824" s="51"/>
      <c r="W824" s="51"/>
      <c r="X824" s="51"/>
      <c r="Y824" s="51"/>
    </row>
    <row r="825" customFormat="false" ht="12.75" hidden="false" customHeight="true" outlineLevel="0" collapsed="false">
      <c r="A825" s="45"/>
      <c r="B825" s="46"/>
      <c r="C825" s="46"/>
      <c r="D825" s="46"/>
      <c r="E825" s="46"/>
      <c r="F825" s="47"/>
      <c r="G825" s="48"/>
      <c r="H825" s="48"/>
      <c r="I825" s="48"/>
      <c r="J825" s="48"/>
      <c r="K825" s="48"/>
      <c r="L825" s="48"/>
      <c r="M825" s="49"/>
      <c r="N825" s="49"/>
      <c r="O825" s="49"/>
      <c r="P825" s="49"/>
      <c r="Q825" s="49"/>
      <c r="R825" s="49"/>
      <c r="S825" s="50"/>
      <c r="T825" s="50"/>
      <c r="U825" s="50"/>
      <c r="V825" s="51"/>
      <c r="W825" s="51"/>
      <c r="X825" s="51"/>
      <c r="Y825" s="51"/>
    </row>
    <row r="826" customFormat="false" ht="12.75" hidden="false" customHeight="true" outlineLevel="0" collapsed="false">
      <c r="A826" s="45"/>
      <c r="B826" s="46"/>
      <c r="C826" s="46"/>
      <c r="D826" s="46"/>
      <c r="E826" s="46"/>
      <c r="F826" s="47"/>
      <c r="G826" s="48"/>
      <c r="H826" s="48"/>
      <c r="I826" s="48"/>
      <c r="J826" s="48"/>
      <c r="K826" s="48"/>
      <c r="L826" s="48"/>
      <c r="M826" s="49"/>
      <c r="N826" s="49"/>
      <c r="O826" s="49"/>
      <c r="P826" s="49"/>
      <c r="Q826" s="49"/>
      <c r="R826" s="49"/>
      <c r="S826" s="50"/>
      <c r="T826" s="50"/>
      <c r="U826" s="50"/>
      <c r="V826" s="51"/>
      <c r="W826" s="51"/>
      <c r="X826" s="51"/>
      <c r="Y826" s="51"/>
    </row>
    <row r="827" customFormat="false" ht="12.75" hidden="false" customHeight="true" outlineLevel="0" collapsed="false">
      <c r="A827" s="45"/>
      <c r="B827" s="46"/>
      <c r="C827" s="46"/>
      <c r="D827" s="46"/>
      <c r="E827" s="46"/>
      <c r="F827" s="47"/>
      <c r="G827" s="48"/>
      <c r="H827" s="48"/>
      <c r="I827" s="48"/>
      <c r="J827" s="48"/>
      <c r="K827" s="48"/>
      <c r="L827" s="48"/>
      <c r="M827" s="49"/>
      <c r="N827" s="49"/>
      <c r="O827" s="49"/>
      <c r="P827" s="49"/>
      <c r="Q827" s="49"/>
      <c r="R827" s="49"/>
      <c r="S827" s="50"/>
      <c r="T827" s="50"/>
      <c r="U827" s="50"/>
      <c r="V827" s="51"/>
      <c r="W827" s="51"/>
      <c r="X827" s="51"/>
      <c r="Y827" s="51"/>
    </row>
    <row r="828" customFormat="false" ht="12.75" hidden="false" customHeight="true" outlineLevel="0" collapsed="false">
      <c r="A828" s="45"/>
      <c r="B828" s="46"/>
      <c r="C828" s="46"/>
      <c r="D828" s="46"/>
      <c r="E828" s="46"/>
      <c r="F828" s="47"/>
      <c r="G828" s="48"/>
      <c r="H828" s="48"/>
      <c r="I828" s="48"/>
      <c r="J828" s="48"/>
      <c r="K828" s="48"/>
      <c r="L828" s="48"/>
      <c r="M828" s="49"/>
      <c r="N828" s="49"/>
      <c r="O828" s="49"/>
      <c r="P828" s="49"/>
      <c r="Q828" s="49"/>
      <c r="R828" s="49"/>
      <c r="S828" s="50"/>
      <c r="T828" s="50"/>
      <c r="U828" s="50"/>
      <c r="V828" s="51"/>
      <c r="W828" s="51"/>
      <c r="X828" s="51"/>
      <c r="Y828" s="51"/>
    </row>
    <row r="829" customFormat="false" ht="12.75" hidden="false" customHeight="true" outlineLevel="0" collapsed="false">
      <c r="A829" s="45"/>
      <c r="B829" s="46"/>
      <c r="C829" s="46"/>
      <c r="D829" s="46"/>
      <c r="E829" s="46"/>
      <c r="F829" s="47"/>
      <c r="G829" s="48"/>
      <c r="H829" s="48"/>
      <c r="I829" s="48"/>
      <c r="J829" s="48"/>
      <c r="K829" s="48"/>
      <c r="L829" s="48"/>
      <c r="M829" s="49"/>
      <c r="N829" s="49"/>
      <c r="O829" s="49"/>
      <c r="P829" s="49"/>
      <c r="Q829" s="49"/>
      <c r="R829" s="49"/>
      <c r="S829" s="50"/>
      <c r="T829" s="50"/>
      <c r="U829" s="50"/>
      <c r="V829" s="51"/>
      <c r="W829" s="51"/>
      <c r="X829" s="51"/>
      <c r="Y829" s="51"/>
    </row>
    <row r="830" customFormat="false" ht="12.75" hidden="false" customHeight="true" outlineLevel="0" collapsed="false">
      <c r="A830" s="45"/>
      <c r="B830" s="46"/>
      <c r="C830" s="46"/>
      <c r="D830" s="46"/>
      <c r="E830" s="46"/>
      <c r="F830" s="47"/>
      <c r="G830" s="48"/>
      <c r="H830" s="48"/>
      <c r="I830" s="48"/>
      <c r="J830" s="48"/>
      <c r="K830" s="48"/>
      <c r="L830" s="48"/>
      <c r="M830" s="49"/>
      <c r="N830" s="49"/>
      <c r="O830" s="49"/>
      <c r="P830" s="49"/>
      <c r="Q830" s="49"/>
      <c r="R830" s="49"/>
      <c r="S830" s="50"/>
      <c r="T830" s="50"/>
      <c r="U830" s="50"/>
      <c r="V830" s="51"/>
      <c r="W830" s="51"/>
      <c r="X830" s="51"/>
      <c r="Y830" s="51"/>
    </row>
    <row r="831" customFormat="false" ht="12.75" hidden="false" customHeight="true" outlineLevel="0" collapsed="false">
      <c r="A831" s="45"/>
      <c r="B831" s="46"/>
      <c r="C831" s="46"/>
      <c r="D831" s="46"/>
      <c r="E831" s="46"/>
      <c r="F831" s="47"/>
      <c r="G831" s="48"/>
      <c r="H831" s="48"/>
      <c r="I831" s="48"/>
      <c r="J831" s="48"/>
      <c r="K831" s="48"/>
      <c r="L831" s="48"/>
      <c r="M831" s="49"/>
      <c r="N831" s="49"/>
      <c r="O831" s="49"/>
      <c r="P831" s="49"/>
      <c r="Q831" s="49"/>
      <c r="R831" s="49"/>
      <c r="S831" s="50"/>
      <c r="T831" s="50"/>
      <c r="U831" s="50"/>
      <c r="V831" s="51"/>
      <c r="W831" s="51"/>
      <c r="X831" s="51"/>
      <c r="Y831" s="51"/>
    </row>
    <row r="832" customFormat="false" ht="12.75" hidden="false" customHeight="true" outlineLevel="0" collapsed="false">
      <c r="A832" s="45"/>
      <c r="B832" s="46"/>
      <c r="C832" s="46"/>
      <c r="D832" s="46"/>
      <c r="E832" s="46"/>
      <c r="F832" s="47"/>
      <c r="G832" s="48"/>
      <c r="H832" s="48"/>
      <c r="I832" s="48"/>
      <c r="J832" s="48"/>
      <c r="K832" s="48"/>
      <c r="L832" s="48"/>
      <c r="M832" s="49"/>
      <c r="N832" s="49"/>
      <c r="O832" s="49"/>
      <c r="P832" s="49"/>
      <c r="Q832" s="49"/>
      <c r="R832" s="49"/>
      <c r="S832" s="50"/>
      <c r="T832" s="50"/>
      <c r="U832" s="50"/>
      <c r="V832" s="51"/>
      <c r="W832" s="51"/>
      <c r="X832" s="51"/>
      <c r="Y832" s="51"/>
    </row>
    <row r="833" customFormat="false" ht="12.75" hidden="false" customHeight="true" outlineLevel="0" collapsed="false">
      <c r="A833" s="45"/>
      <c r="B833" s="46"/>
      <c r="C833" s="46"/>
      <c r="D833" s="46"/>
      <c r="E833" s="46"/>
      <c r="F833" s="47"/>
      <c r="G833" s="48"/>
      <c r="H833" s="48"/>
      <c r="I833" s="48"/>
      <c r="J833" s="48"/>
      <c r="K833" s="48"/>
      <c r="L833" s="48"/>
      <c r="M833" s="49"/>
      <c r="N833" s="49"/>
      <c r="O833" s="49"/>
      <c r="P833" s="49"/>
      <c r="Q833" s="49"/>
      <c r="R833" s="49"/>
      <c r="S833" s="50"/>
      <c r="T833" s="50"/>
      <c r="U833" s="50"/>
      <c r="V833" s="51"/>
      <c r="W833" s="51"/>
      <c r="X833" s="51"/>
      <c r="Y833" s="51"/>
    </row>
    <row r="834" customFormat="false" ht="12.75" hidden="false" customHeight="true" outlineLevel="0" collapsed="false">
      <c r="A834" s="45"/>
      <c r="B834" s="46"/>
      <c r="C834" s="46"/>
      <c r="D834" s="46"/>
      <c r="E834" s="46"/>
      <c r="F834" s="47"/>
      <c r="G834" s="48"/>
      <c r="H834" s="48"/>
      <c r="I834" s="48"/>
      <c r="J834" s="48"/>
      <c r="K834" s="48"/>
      <c r="L834" s="48"/>
      <c r="M834" s="49"/>
      <c r="N834" s="49"/>
      <c r="O834" s="49"/>
      <c r="P834" s="49"/>
      <c r="Q834" s="49"/>
      <c r="R834" s="49"/>
      <c r="S834" s="50"/>
      <c r="T834" s="50"/>
      <c r="U834" s="50"/>
      <c r="V834" s="51"/>
      <c r="W834" s="51"/>
      <c r="X834" s="51"/>
      <c r="Y834" s="51"/>
    </row>
    <row r="835" customFormat="false" ht="12.75" hidden="false" customHeight="true" outlineLevel="0" collapsed="false">
      <c r="A835" s="45"/>
      <c r="B835" s="46"/>
      <c r="C835" s="46"/>
      <c r="D835" s="46"/>
      <c r="E835" s="46"/>
      <c r="F835" s="47"/>
      <c r="G835" s="48"/>
      <c r="H835" s="48"/>
      <c r="I835" s="48"/>
      <c r="J835" s="48"/>
      <c r="K835" s="48"/>
      <c r="L835" s="48"/>
      <c r="M835" s="49"/>
      <c r="N835" s="49"/>
      <c r="O835" s="49"/>
      <c r="P835" s="49"/>
      <c r="Q835" s="49"/>
      <c r="R835" s="49"/>
      <c r="S835" s="50"/>
      <c r="T835" s="50"/>
      <c r="U835" s="50"/>
      <c r="V835" s="51"/>
      <c r="W835" s="51"/>
      <c r="X835" s="51"/>
      <c r="Y835" s="51"/>
    </row>
    <row r="836" customFormat="false" ht="12.75" hidden="false" customHeight="true" outlineLevel="0" collapsed="false">
      <c r="A836" s="45"/>
      <c r="B836" s="46"/>
      <c r="C836" s="46"/>
      <c r="D836" s="46"/>
      <c r="E836" s="46"/>
      <c r="F836" s="47"/>
      <c r="G836" s="48"/>
      <c r="H836" s="48"/>
      <c r="I836" s="48"/>
      <c r="J836" s="48"/>
      <c r="K836" s="48"/>
      <c r="L836" s="48"/>
      <c r="M836" s="49"/>
      <c r="N836" s="49"/>
      <c r="O836" s="49"/>
      <c r="P836" s="49"/>
      <c r="Q836" s="49"/>
      <c r="R836" s="49"/>
      <c r="S836" s="50"/>
      <c r="T836" s="50"/>
      <c r="U836" s="50"/>
      <c r="V836" s="51"/>
      <c r="W836" s="51"/>
      <c r="X836" s="51"/>
      <c r="Y836" s="51"/>
    </row>
    <row r="837" customFormat="false" ht="12.75" hidden="false" customHeight="true" outlineLevel="0" collapsed="false">
      <c r="A837" s="45"/>
      <c r="B837" s="46"/>
      <c r="C837" s="46"/>
      <c r="D837" s="46"/>
      <c r="E837" s="46"/>
      <c r="F837" s="47"/>
      <c r="G837" s="48"/>
      <c r="H837" s="48"/>
      <c r="I837" s="48"/>
      <c r="J837" s="48"/>
      <c r="K837" s="48"/>
      <c r="L837" s="48"/>
      <c r="M837" s="49"/>
      <c r="N837" s="49"/>
      <c r="O837" s="49"/>
      <c r="P837" s="49"/>
      <c r="Q837" s="49"/>
      <c r="R837" s="49"/>
      <c r="S837" s="50"/>
      <c r="T837" s="50"/>
      <c r="U837" s="50"/>
      <c r="V837" s="51"/>
      <c r="W837" s="51"/>
      <c r="X837" s="51"/>
      <c r="Y837" s="51"/>
    </row>
    <row r="838" customFormat="false" ht="12.75" hidden="false" customHeight="true" outlineLevel="0" collapsed="false">
      <c r="A838" s="45"/>
      <c r="B838" s="46"/>
      <c r="C838" s="46"/>
      <c r="D838" s="46"/>
      <c r="E838" s="46"/>
      <c r="F838" s="47"/>
      <c r="G838" s="48"/>
      <c r="H838" s="48"/>
      <c r="I838" s="48"/>
      <c r="J838" s="48"/>
      <c r="K838" s="48"/>
      <c r="L838" s="48"/>
      <c r="M838" s="49"/>
      <c r="N838" s="49"/>
      <c r="O838" s="49"/>
      <c r="P838" s="49"/>
      <c r="Q838" s="49"/>
      <c r="R838" s="49"/>
      <c r="S838" s="50"/>
      <c r="T838" s="50"/>
      <c r="U838" s="50"/>
      <c r="V838" s="51"/>
      <c r="W838" s="51"/>
      <c r="X838" s="51"/>
      <c r="Y838" s="51"/>
    </row>
    <row r="839" customFormat="false" ht="12.75" hidden="false" customHeight="true" outlineLevel="0" collapsed="false">
      <c r="A839" s="45"/>
      <c r="B839" s="46"/>
      <c r="C839" s="46"/>
      <c r="D839" s="46"/>
      <c r="E839" s="46"/>
      <c r="F839" s="47"/>
      <c r="G839" s="48"/>
      <c r="H839" s="48"/>
      <c r="I839" s="48"/>
      <c r="J839" s="48"/>
      <c r="K839" s="48"/>
      <c r="L839" s="48"/>
      <c r="M839" s="49"/>
      <c r="N839" s="49"/>
      <c r="O839" s="49"/>
      <c r="P839" s="49"/>
      <c r="Q839" s="49"/>
      <c r="R839" s="49"/>
      <c r="S839" s="50"/>
      <c r="T839" s="50"/>
      <c r="U839" s="50"/>
      <c r="V839" s="51"/>
      <c r="W839" s="51"/>
      <c r="X839" s="51"/>
      <c r="Y839" s="51"/>
    </row>
    <row r="840" customFormat="false" ht="12.75" hidden="false" customHeight="true" outlineLevel="0" collapsed="false">
      <c r="A840" s="45"/>
      <c r="B840" s="46"/>
      <c r="C840" s="46"/>
      <c r="D840" s="46"/>
      <c r="E840" s="46"/>
      <c r="F840" s="47"/>
      <c r="G840" s="48"/>
      <c r="H840" s="48"/>
      <c r="I840" s="48"/>
      <c r="J840" s="48"/>
      <c r="K840" s="48"/>
      <c r="L840" s="48"/>
      <c r="M840" s="49"/>
      <c r="N840" s="49"/>
      <c r="O840" s="49"/>
      <c r="P840" s="49"/>
      <c r="Q840" s="49"/>
      <c r="R840" s="49"/>
      <c r="S840" s="50"/>
      <c r="T840" s="50"/>
      <c r="U840" s="50"/>
      <c r="V840" s="51"/>
      <c r="W840" s="51"/>
      <c r="X840" s="51"/>
      <c r="Y840" s="51"/>
    </row>
    <row r="841" customFormat="false" ht="12.75" hidden="false" customHeight="true" outlineLevel="0" collapsed="false">
      <c r="A841" s="45"/>
      <c r="B841" s="46"/>
      <c r="C841" s="46"/>
      <c r="D841" s="46"/>
      <c r="E841" s="46"/>
      <c r="F841" s="47"/>
      <c r="G841" s="48"/>
      <c r="H841" s="48"/>
      <c r="I841" s="48"/>
      <c r="J841" s="48"/>
      <c r="K841" s="48"/>
      <c r="L841" s="48"/>
      <c r="M841" s="49"/>
      <c r="N841" s="49"/>
      <c r="O841" s="49"/>
      <c r="P841" s="49"/>
      <c r="Q841" s="49"/>
      <c r="R841" s="49"/>
      <c r="S841" s="50"/>
      <c r="T841" s="50"/>
      <c r="U841" s="50"/>
      <c r="V841" s="51"/>
      <c r="W841" s="51"/>
      <c r="X841" s="51"/>
      <c r="Y841" s="51"/>
    </row>
    <row r="842" customFormat="false" ht="12.75" hidden="false" customHeight="true" outlineLevel="0" collapsed="false">
      <c r="A842" s="45"/>
      <c r="B842" s="46"/>
      <c r="C842" s="46"/>
      <c r="D842" s="46"/>
      <c r="E842" s="46"/>
      <c r="F842" s="47"/>
      <c r="G842" s="48"/>
      <c r="H842" s="48"/>
      <c r="I842" s="48"/>
      <c r="J842" s="48"/>
      <c r="K842" s="48"/>
      <c r="L842" s="48"/>
      <c r="M842" s="49"/>
      <c r="N842" s="49"/>
      <c r="O842" s="49"/>
      <c r="P842" s="49"/>
      <c r="Q842" s="49"/>
      <c r="R842" s="49"/>
      <c r="S842" s="50"/>
      <c r="T842" s="50"/>
      <c r="U842" s="50"/>
      <c r="V842" s="51"/>
      <c r="W842" s="51"/>
      <c r="X842" s="51"/>
      <c r="Y842" s="51"/>
    </row>
    <row r="843" customFormat="false" ht="12.75" hidden="false" customHeight="true" outlineLevel="0" collapsed="false">
      <c r="A843" s="45"/>
      <c r="B843" s="46"/>
      <c r="C843" s="46"/>
      <c r="D843" s="46"/>
      <c r="E843" s="46"/>
      <c r="F843" s="47"/>
      <c r="G843" s="48"/>
      <c r="H843" s="48"/>
      <c r="I843" s="48"/>
      <c r="J843" s="48"/>
      <c r="K843" s="48"/>
      <c r="L843" s="48"/>
      <c r="M843" s="49"/>
      <c r="N843" s="49"/>
      <c r="O843" s="49"/>
      <c r="P843" s="49"/>
      <c r="Q843" s="49"/>
      <c r="R843" s="49"/>
      <c r="S843" s="50"/>
      <c r="T843" s="50"/>
      <c r="U843" s="50"/>
      <c r="V843" s="51"/>
      <c r="W843" s="51"/>
      <c r="X843" s="51"/>
      <c r="Y843" s="51"/>
    </row>
    <row r="844" customFormat="false" ht="12.75" hidden="false" customHeight="true" outlineLevel="0" collapsed="false">
      <c r="A844" s="45"/>
      <c r="B844" s="46"/>
      <c r="C844" s="46"/>
      <c r="D844" s="46"/>
      <c r="E844" s="46"/>
      <c r="F844" s="47"/>
      <c r="G844" s="48"/>
      <c r="H844" s="48"/>
      <c r="I844" s="48"/>
      <c r="J844" s="48"/>
      <c r="K844" s="48"/>
      <c r="L844" s="48"/>
      <c r="M844" s="49"/>
      <c r="N844" s="49"/>
      <c r="O844" s="49"/>
      <c r="P844" s="49"/>
      <c r="Q844" s="49"/>
      <c r="R844" s="49"/>
      <c r="S844" s="50"/>
      <c r="T844" s="50"/>
      <c r="U844" s="50"/>
      <c r="V844" s="51"/>
      <c r="W844" s="51"/>
      <c r="X844" s="51"/>
      <c r="Y844" s="51"/>
    </row>
    <row r="845" customFormat="false" ht="12.75" hidden="false" customHeight="true" outlineLevel="0" collapsed="false">
      <c r="A845" s="45"/>
      <c r="B845" s="46"/>
      <c r="C845" s="46"/>
      <c r="D845" s="46"/>
      <c r="E845" s="46"/>
      <c r="F845" s="47"/>
      <c r="G845" s="48"/>
      <c r="H845" s="48"/>
      <c r="I845" s="48"/>
      <c r="J845" s="48"/>
      <c r="K845" s="48"/>
      <c r="L845" s="48"/>
      <c r="M845" s="49"/>
      <c r="N845" s="49"/>
      <c r="O845" s="49"/>
      <c r="P845" s="49"/>
      <c r="Q845" s="49"/>
      <c r="R845" s="49"/>
      <c r="S845" s="50"/>
      <c r="T845" s="50"/>
      <c r="U845" s="50"/>
      <c r="V845" s="51"/>
      <c r="W845" s="51"/>
      <c r="X845" s="51"/>
      <c r="Y845" s="51"/>
    </row>
    <row r="846" customFormat="false" ht="12.75" hidden="false" customHeight="true" outlineLevel="0" collapsed="false">
      <c r="A846" s="45"/>
      <c r="B846" s="46"/>
      <c r="C846" s="46"/>
      <c r="D846" s="46"/>
      <c r="E846" s="46"/>
      <c r="F846" s="47"/>
      <c r="G846" s="48"/>
      <c r="H846" s="48"/>
      <c r="I846" s="48"/>
      <c r="J846" s="48"/>
      <c r="K846" s="48"/>
      <c r="L846" s="48"/>
      <c r="M846" s="49"/>
      <c r="N846" s="49"/>
      <c r="O846" s="49"/>
      <c r="P846" s="49"/>
      <c r="Q846" s="49"/>
      <c r="R846" s="49"/>
      <c r="S846" s="50"/>
      <c r="T846" s="50"/>
      <c r="U846" s="50"/>
      <c r="V846" s="51"/>
      <c r="W846" s="51"/>
      <c r="X846" s="51"/>
      <c r="Y846" s="51"/>
    </row>
    <row r="847" customFormat="false" ht="12.75" hidden="false" customHeight="true" outlineLevel="0" collapsed="false">
      <c r="A847" s="45"/>
      <c r="B847" s="46"/>
      <c r="C847" s="46"/>
      <c r="D847" s="46"/>
      <c r="E847" s="46"/>
      <c r="F847" s="47"/>
      <c r="G847" s="48"/>
      <c r="H847" s="48"/>
      <c r="I847" s="48"/>
      <c r="J847" s="48"/>
      <c r="K847" s="48"/>
      <c r="L847" s="48"/>
      <c r="M847" s="49"/>
      <c r="N847" s="49"/>
      <c r="O847" s="49"/>
      <c r="P847" s="49"/>
      <c r="Q847" s="49"/>
      <c r="R847" s="49"/>
      <c r="S847" s="50"/>
      <c r="T847" s="50"/>
      <c r="U847" s="50"/>
      <c r="V847" s="51"/>
      <c r="W847" s="51"/>
      <c r="X847" s="51"/>
      <c r="Y847" s="51"/>
    </row>
    <row r="848" customFormat="false" ht="12.75" hidden="false" customHeight="true" outlineLevel="0" collapsed="false">
      <c r="A848" s="45"/>
      <c r="B848" s="46"/>
      <c r="C848" s="46"/>
      <c r="D848" s="46"/>
      <c r="E848" s="46"/>
      <c r="F848" s="47"/>
      <c r="G848" s="48"/>
      <c r="H848" s="48"/>
      <c r="I848" s="48"/>
      <c r="J848" s="48"/>
      <c r="K848" s="48"/>
      <c r="L848" s="48"/>
      <c r="M848" s="49"/>
      <c r="N848" s="49"/>
      <c r="O848" s="49"/>
      <c r="P848" s="49"/>
      <c r="Q848" s="49"/>
      <c r="R848" s="49"/>
      <c r="S848" s="50"/>
      <c r="T848" s="50"/>
      <c r="U848" s="50"/>
      <c r="V848" s="51"/>
      <c r="W848" s="51"/>
      <c r="X848" s="51"/>
      <c r="Y848" s="51"/>
    </row>
    <row r="849" customFormat="false" ht="12.75" hidden="false" customHeight="true" outlineLevel="0" collapsed="false">
      <c r="A849" s="45"/>
      <c r="B849" s="46"/>
      <c r="C849" s="46"/>
      <c r="D849" s="46"/>
      <c r="E849" s="46"/>
      <c r="F849" s="47"/>
      <c r="G849" s="48"/>
      <c r="H849" s="48"/>
      <c r="I849" s="48"/>
      <c r="J849" s="48"/>
      <c r="K849" s="48"/>
      <c r="L849" s="48"/>
      <c r="M849" s="49"/>
      <c r="N849" s="49"/>
      <c r="O849" s="49"/>
      <c r="P849" s="49"/>
      <c r="Q849" s="49"/>
      <c r="R849" s="49"/>
      <c r="S849" s="50"/>
      <c r="T849" s="50"/>
      <c r="U849" s="50"/>
      <c r="V849" s="51"/>
      <c r="W849" s="51"/>
      <c r="X849" s="51"/>
      <c r="Y849" s="51"/>
    </row>
    <row r="850" customFormat="false" ht="12.75" hidden="false" customHeight="true" outlineLevel="0" collapsed="false">
      <c r="A850" s="45"/>
      <c r="B850" s="46"/>
      <c r="C850" s="46"/>
      <c r="D850" s="46"/>
      <c r="E850" s="46"/>
      <c r="F850" s="47"/>
      <c r="G850" s="48"/>
      <c r="H850" s="48"/>
      <c r="I850" s="48"/>
      <c r="J850" s="48"/>
      <c r="K850" s="48"/>
      <c r="L850" s="48"/>
      <c r="M850" s="49"/>
      <c r="N850" s="49"/>
      <c r="O850" s="49"/>
      <c r="P850" s="49"/>
      <c r="Q850" s="49"/>
      <c r="R850" s="49"/>
      <c r="S850" s="50"/>
      <c r="T850" s="50"/>
      <c r="U850" s="50"/>
      <c r="V850" s="51"/>
      <c r="W850" s="51"/>
      <c r="X850" s="51"/>
      <c r="Y850" s="51"/>
    </row>
    <row r="851" customFormat="false" ht="12.75" hidden="false" customHeight="true" outlineLevel="0" collapsed="false">
      <c r="A851" s="45"/>
      <c r="B851" s="46"/>
      <c r="C851" s="46"/>
      <c r="D851" s="46"/>
      <c r="E851" s="46"/>
      <c r="F851" s="47"/>
      <c r="G851" s="48"/>
      <c r="H851" s="48"/>
      <c r="I851" s="48"/>
      <c r="J851" s="48"/>
      <c r="K851" s="48"/>
      <c r="L851" s="48"/>
      <c r="M851" s="49"/>
      <c r="N851" s="49"/>
      <c r="O851" s="49"/>
      <c r="P851" s="49"/>
      <c r="Q851" s="49"/>
      <c r="R851" s="49"/>
      <c r="S851" s="50"/>
      <c r="T851" s="50"/>
      <c r="U851" s="50"/>
      <c r="V851" s="51"/>
      <c r="W851" s="51"/>
      <c r="X851" s="51"/>
      <c r="Y851" s="51"/>
    </row>
    <row r="852" customFormat="false" ht="12.75" hidden="false" customHeight="true" outlineLevel="0" collapsed="false">
      <c r="A852" s="45"/>
      <c r="B852" s="46"/>
      <c r="C852" s="46"/>
      <c r="D852" s="46"/>
      <c r="E852" s="46"/>
      <c r="F852" s="47"/>
      <c r="G852" s="48"/>
      <c r="H852" s="48"/>
      <c r="I852" s="48"/>
      <c r="J852" s="48"/>
      <c r="K852" s="48"/>
      <c r="L852" s="48"/>
      <c r="M852" s="49"/>
      <c r="N852" s="49"/>
      <c r="O852" s="49"/>
      <c r="P852" s="49"/>
      <c r="Q852" s="49"/>
      <c r="R852" s="49"/>
      <c r="S852" s="50"/>
      <c r="T852" s="50"/>
      <c r="U852" s="50"/>
      <c r="V852" s="51"/>
      <c r="W852" s="51"/>
      <c r="X852" s="51"/>
      <c r="Y852" s="51"/>
    </row>
    <row r="853" customFormat="false" ht="12.75" hidden="false" customHeight="true" outlineLevel="0" collapsed="false">
      <c r="A853" s="45"/>
      <c r="B853" s="46"/>
      <c r="C853" s="46"/>
      <c r="D853" s="46"/>
      <c r="E853" s="46"/>
      <c r="F853" s="47"/>
      <c r="G853" s="48"/>
      <c r="H853" s="48"/>
      <c r="I853" s="48"/>
      <c r="J853" s="48"/>
      <c r="K853" s="48"/>
      <c r="L853" s="48"/>
      <c r="M853" s="49"/>
      <c r="N853" s="49"/>
      <c r="O853" s="49"/>
      <c r="P853" s="49"/>
      <c r="Q853" s="49"/>
      <c r="R853" s="49"/>
      <c r="S853" s="50"/>
      <c r="T853" s="50"/>
      <c r="U853" s="50"/>
      <c r="V853" s="51"/>
      <c r="W853" s="51"/>
      <c r="X853" s="51"/>
      <c r="Y853" s="51"/>
    </row>
    <row r="854" customFormat="false" ht="12.75" hidden="false" customHeight="true" outlineLevel="0" collapsed="false">
      <c r="A854" s="45"/>
      <c r="B854" s="46"/>
      <c r="C854" s="46"/>
      <c r="D854" s="46"/>
      <c r="E854" s="46"/>
      <c r="F854" s="47"/>
      <c r="G854" s="48"/>
      <c r="H854" s="48"/>
      <c r="I854" s="48"/>
      <c r="J854" s="48"/>
      <c r="K854" s="48"/>
      <c r="L854" s="48"/>
      <c r="M854" s="49"/>
      <c r="N854" s="49"/>
      <c r="O854" s="49"/>
      <c r="P854" s="49"/>
      <c r="Q854" s="49"/>
      <c r="R854" s="49"/>
      <c r="S854" s="50"/>
      <c r="T854" s="50"/>
      <c r="U854" s="50"/>
      <c r="V854" s="51"/>
      <c r="W854" s="51"/>
      <c r="X854" s="51"/>
      <c r="Y854" s="51"/>
    </row>
    <row r="855" customFormat="false" ht="12.75" hidden="false" customHeight="true" outlineLevel="0" collapsed="false">
      <c r="A855" s="45"/>
      <c r="B855" s="46"/>
      <c r="C855" s="46"/>
      <c r="D855" s="46"/>
      <c r="E855" s="46"/>
      <c r="F855" s="47"/>
      <c r="G855" s="48"/>
      <c r="H855" s="48"/>
      <c r="I855" s="48"/>
      <c r="J855" s="48"/>
      <c r="K855" s="48"/>
      <c r="L855" s="48"/>
      <c r="M855" s="49"/>
      <c r="N855" s="49"/>
      <c r="O855" s="49"/>
      <c r="P855" s="49"/>
      <c r="Q855" s="49"/>
      <c r="R855" s="49"/>
      <c r="S855" s="50"/>
      <c r="T855" s="50"/>
      <c r="U855" s="50"/>
      <c r="V855" s="51"/>
      <c r="W855" s="51"/>
      <c r="X855" s="51"/>
      <c r="Y855" s="51"/>
    </row>
    <row r="856" customFormat="false" ht="12.75" hidden="false" customHeight="true" outlineLevel="0" collapsed="false">
      <c r="A856" s="45"/>
      <c r="B856" s="46"/>
      <c r="C856" s="46"/>
      <c r="D856" s="46"/>
      <c r="E856" s="46"/>
      <c r="F856" s="47"/>
      <c r="G856" s="48"/>
      <c r="H856" s="48"/>
      <c r="I856" s="48"/>
      <c r="J856" s="48"/>
      <c r="K856" s="48"/>
      <c r="L856" s="48"/>
      <c r="M856" s="49"/>
      <c r="N856" s="49"/>
      <c r="O856" s="49"/>
      <c r="P856" s="49"/>
      <c r="Q856" s="49"/>
      <c r="R856" s="49"/>
      <c r="S856" s="50"/>
      <c r="T856" s="50"/>
      <c r="U856" s="50"/>
      <c r="V856" s="51"/>
      <c r="W856" s="51"/>
      <c r="X856" s="51"/>
      <c r="Y856" s="51"/>
    </row>
    <row r="857" customFormat="false" ht="12.75" hidden="false" customHeight="true" outlineLevel="0" collapsed="false">
      <c r="A857" s="45"/>
      <c r="B857" s="46"/>
      <c r="C857" s="46"/>
      <c r="D857" s="46"/>
      <c r="E857" s="46"/>
      <c r="F857" s="47"/>
      <c r="G857" s="48"/>
      <c r="H857" s="48"/>
      <c r="I857" s="48"/>
      <c r="J857" s="48"/>
      <c r="K857" s="48"/>
      <c r="L857" s="48"/>
      <c r="M857" s="49"/>
      <c r="N857" s="49"/>
      <c r="O857" s="49"/>
      <c r="P857" s="49"/>
      <c r="Q857" s="49"/>
      <c r="R857" s="49"/>
      <c r="S857" s="50"/>
      <c r="T857" s="50"/>
      <c r="U857" s="50"/>
      <c r="V857" s="51"/>
      <c r="W857" s="51"/>
      <c r="X857" s="51"/>
      <c r="Y857" s="51"/>
    </row>
    <row r="858" customFormat="false" ht="12.75" hidden="false" customHeight="true" outlineLevel="0" collapsed="false">
      <c r="A858" s="45"/>
      <c r="B858" s="46"/>
      <c r="C858" s="46"/>
      <c r="D858" s="46"/>
      <c r="E858" s="46"/>
      <c r="F858" s="47"/>
      <c r="G858" s="48"/>
      <c r="H858" s="48"/>
      <c r="I858" s="48"/>
      <c r="J858" s="48"/>
      <c r="K858" s="48"/>
      <c r="L858" s="48"/>
      <c r="M858" s="49"/>
      <c r="N858" s="49"/>
      <c r="O858" s="49"/>
      <c r="P858" s="49"/>
      <c r="Q858" s="49"/>
      <c r="R858" s="49"/>
      <c r="S858" s="50"/>
      <c r="T858" s="50"/>
      <c r="U858" s="50"/>
      <c r="V858" s="51"/>
      <c r="W858" s="51"/>
      <c r="X858" s="51"/>
      <c r="Y858" s="51"/>
    </row>
    <row r="859" customFormat="false" ht="12.75" hidden="false" customHeight="true" outlineLevel="0" collapsed="false">
      <c r="A859" s="45"/>
      <c r="B859" s="46"/>
      <c r="C859" s="46"/>
      <c r="D859" s="46"/>
      <c r="E859" s="46"/>
      <c r="F859" s="47"/>
      <c r="G859" s="48"/>
      <c r="H859" s="48"/>
      <c r="I859" s="48"/>
      <c r="J859" s="48"/>
      <c r="K859" s="48"/>
      <c r="L859" s="48"/>
      <c r="M859" s="49"/>
      <c r="N859" s="49"/>
      <c r="O859" s="49"/>
      <c r="P859" s="49"/>
      <c r="Q859" s="49"/>
      <c r="R859" s="49"/>
      <c r="S859" s="50"/>
      <c r="T859" s="50"/>
      <c r="U859" s="50"/>
      <c r="V859" s="51"/>
      <c r="W859" s="51"/>
      <c r="X859" s="51"/>
      <c r="Y859" s="51"/>
    </row>
    <row r="860" customFormat="false" ht="12.75" hidden="false" customHeight="true" outlineLevel="0" collapsed="false">
      <c r="A860" s="45"/>
      <c r="B860" s="46"/>
      <c r="C860" s="46"/>
      <c r="D860" s="46"/>
      <c r="E860" s="46"/>
      <c r="F860" s="47"/>
      <c r="G860" s="48"/>
      <c r="H860" s="48"/>
      <c r="I860" s="48"/>
      <c r="J860" s="48"/>
      <c r="K860" s="48"/>
      <c r="L860" s="48"/>
      <c r="M860" s="49"/>
      <c r="N860" s="49"/>
      <c r="O860" s="49"/>
      <c r="P860" s="49"/>
      <c r="Q860" s="49"/>
      <c r="R860" s="49"/>
      <c r="S860" s="50"/>
      <c r="T860" s="50"/>
      <c r="U860" s="50"/>
      <c r="V860" s="51"/>
      <c r="W860" s="51"/>
      <c r="X860" s="51"/>
      <c r="Y860" s="51"/>
    </row>
    <row r="861" customFormat="false" ht="12.75" hidden="false" customHeight="true" outlineLevel="0" collapsed="false">
      <c r="A861" s="45"/>
      <c r="B861" s="46"/>
      <c r="C861" s="46"/>
      <c r="D861" s="46"/>
      <c r="E861" s="46"/>
      <c r="F861" s="47"/>
      <c r="G861" s="48"/>
      <c r="H861" s="48"/>
      <c r="I861" s="48"/>
      <c r="J861" s="48"/>
      <c r="K861" s="48"/>
      <c r="L861" s="48"/>
      <c r="M861" s="49"/>
      <c r="N861" s="49"/>
      <c r="O861" s="49"/>
      <c r="P861" s="49"/>
      <c r="Q861" s="49"/>
      <c r="R861" s="49"/>
      <c r="S861" s="50"/>
      <c r="T861" s="50"/>
      <c r="U861" s="50"/>
      <c r="V861" s="51"/>
      <c r="W861" s="51"/>
      <c r="X861" s="51"/>
      <c r="Y861" s="51"/>
    </row>
    <row r="862" customFormat="false" ht="12.75" hidden="false" customHeight="true" outlineLevel="0" collapsed="false">
      <c r="A862" s="45"/>
      <c r="B862" s="46"/>
      <c r="C862" s="46"/>
      <c r="D862" s="46"/>
      <c r="E862" s="46"/>
      <c r="F862" s="47"/>
      <c r="G862" s="48"/>
      <c r="H862" s="48"/>
      <c r="I862" s="48"/>
      <c r="J862" s="48"/>
      <c r="K862" s="48"/>
      <c r="L862" s="48"/>
      <c r="M862" s="49"/>
      <c r="N862" s="49"/>
      <c r="O862" s="49"/>
      <c r="P862" s="49"/>
      <c r="Q862" s="49"/>
      <c r="R862" s="49"/>
      <c r="S862" s="50"/>
      <c r="T862" s="50"/>
      <c r="U862" s="50"/>
      <c r="V862" s="51"/>
      <c r="W862" s="51"/>
      <c r="X862" s="51"/>
      <c r="Y862" s="51"/>
    </row>
    <row r="863" customFormat="false" ht="12.75" hidden="false" customHeight="true" outlineLevel="0" collapsed="false">
      <c r="A863" s="45"/>
      <c r="B863" s="46"/>
      <c r="C863" s="46"/>
      <c r="D863" s="46"/>
      <c r="E863" s="46"/>
      <c r="F863" s="47"/>
      <c r="G863" s="48"/>
      <c r="H863" s="48"/>
      <c r="I863" s="48"/>
      <c r="J863" s="48"/>
      <c r="K863" s="48"/>
      <c r="L863" s="48"/>
      <c r="M863" s="49"/>
      <c r="N863" s="49"/>
      <c r="O863" s="49"/>
      <c r="P863" s="49"/>
      <c r="Q863" s="49"/>
      <c r="R863" s="49"/>
      <c r="S863" s="50"/>
      <c r="T863" s="50"/>
      <c r="U863" s="50"/>
      <c r="V863" s="51"/>
      <c r="W863" s="51"/>
      <c r="X863" s="51"/>
      <c r="Y863" s="51"/>
    </row>
    <row r="864" customFormat="false" ht="12.75" hidden="false" customHeight="true" outlineLevel="0" collapsed="false">
      <c r="A864" s="45"/>
      <c r="B864" s="46"/>
      <c r="C864" s="46"/>
      <c r="D864" s="46"/>
      <c r="E864" s="46"/>
      <c r="F864" s="47"/>
      <c r="G864" s="48"/>
      <c r="H864" s="48"/>
      <c r="I864" s="48"/>
      <c r="J864" s="48"/>
      <c r="K864" s="48"/>
      <c r="L864" s="48"/>
      <c r="M864" s="49"/>
      <c r="N864" s="49"/>
      <c r="O864" s="49"/>
      <c r="P864" s="49"/>
      <c r="Q864" s="49"/>
      <c r="R864" s="49"/>
      <c r="S864" s="50"/>
      <c r="T864" s="50"/>
      <c r="U864" s="50"/>
      <c r="V864" s="51"/>
      <c r="W864" s="51"/>
      <c r="X864" s="51"/>
      <c r="Y864" s="51"/>
    </row>
    <row r="865" customFormat="false" ht="12.75" hidden="false" customHeight="true" outlineLevel="0" collapsed="false">
      <c r="A865" s="45"/>
      <c r="B865" s="46"/>
      <c r="C865" s="46"/>
      <c r="D865" s="46"/>
      <c r="E865" s="46"/>
      <c r="F865" s="47"/>
      <c r="G865" s="48"/>
      <c r="H865" s="48"/>
      <c r="I865" s="48"/>
      <c r="J865" s="48"/>
      <c r="K865" s="48"/>
      <c r="L865" s="48"/>
      <c r="M865" s="49"/>
      <c r="N865" s="49"/>
      <c r="O865" s="49"/>
      <c r="P865" s="49"/>
      <c r="Q865" s="49"/>
      <c r="R865" s="49"/>
      <c r="S865" s="50"/>
      <c r="T865" s="50"/>
      <c r="U865" s="50"/>
      <c r="V865" s="51"/>
      <c r="W865" s="51"/>
      <c r="X865" s="51"/>
      <c r="Y865" s="51"/>
    </row>
    <row r="866" customFormat="false" ht="12.75" hidden="false" customHeight="true" outlineLevel="0" collapsed="false">
      <c r="A866" s="45"/>
      <c r="B866" s="46"/>
      <c r="C866" s="46"/>
      <c r="D866" s="46"/>
      <c r="E866" s="46"/>
      <c r="F866" s="47"/>
      <c r="G866" s="48"/>
      <c r="H866" s="48"/>
      <c r="I866" s="48"/>
      <c r="J866" s="48"/>
      <c r="K866" s="48"/>
      <c r="L866" s="48"/>
      <c r="M866" s="49"/>
      <c r="N866" s="49"/>
      <c r="O866" s="49"/>
      <c r="P866" s="49"/>
      <c r="Q866" s="49"/>
      <c r="R866" s="49"/>
      <c r="S866" s="50"/>
      <c r="T866" s="50"/>
      <c r="U866" s="50"/>
      <c r="V866" s="51"/>
      <c r="W866" s="51"/>
      <c r="X866" s="51"/>
      <c r="Y866" s="51"/>
    </row>
    <row r="867" customFormat="false" ht="12.75" hidden="false" customHeight="true" outlineLevel="0" collapsed="false">
      <c r="A867" s="45"/>
      <c r="B867" s="46"/>
      <c r="C867" s="46"/>
      <c r="D867" s="46"/>
      <c r="E867" s="46"/>
      <c r="F867" s="47"/>
      <c r="G867" s="48"/>
      <c r="H867" s="48"/>
      <c r="I867" s="48"/>
      <c r="J867" s="48"/>
      <c r="K867" s="48"/>
      <c r="L867" s="48"/>
      <c r="M867" s="49"/>
      <c r="N867" s="49"/>
      <c r="O867" s="49"/>
      <c r="P867" s="49"/>
      <c r="Q867" s="49"/>
      <c r="R867" s="49"/>
      <c r="S867" s="50"/>
      <c r="T867" s="50"/>
      <c r="U867" s="50"/>
      <c r="V867" s="51"/>
      <c r="W867" s="51"/>
      <c r="X867" s="51"/>
      <c r="Y867" s="51"/>
    </row>
    <row r="868" customFormat="false" ht="12.75" hidden="false" customHeight="true" outlineLevel="0" collapsed="false">
      <c r="A868" s="45"/>
      <c r="B868" s="46"/>
      <c r="C868" s="46"/>
      <c r="D868" s="46"/>
      <c r="E868" s="46"/>
      <c r="F868" s="47"/>
      <c r="G868" s="48"/>
      <c r="H868" s="48"/>
      <c r="I868" s="48"/>
      <c r="J868" s="48"/>
      <c r="K868" s="48"/>
      <c r="L868" s="48"/>
      <c r="M868" s="49"/>
      <c r="N868" s="49"/>
      <c r="O868" s="49"/>
      <c r="P868" s="49"/>
      <c r="Q868" s="49"/>
      <c r="R868" s="49"/>
      <c r="S868" s="50"/>
      <c r="T868" s="50"/>
      <c r="U868" s="50"/>
      <c r="V868" s="51"/>
      <c r="W868" s="51"/>
      <c r="X868" s="51"/>
      <c r="Y868" s="51"/>
    </row>
    <row r="869" customFormat="false" ht="12.75" hidden="false" customHeight="true" outlineLevel="0" collapsed="false">
      <c r="A869" s="45"/>
      <c r="B869" s="46"/>
      <c r="C869" s="46"/>
      <c r="D869" s="46"/>
      <c r="E869" s="46"/>
      <c r="F869" s="47"/>
      <c r="G869" s="48"/>
      <c r="H869" s="48"/>
      <c r="I869" s="48"/>
      <c r="J869" s="48"/>
      <c r="K869" s="48"/>
      <c r="L869" s="48"/>
      <c r="M869" s="49"/>
      <c r="N869" s="49"/>
      <c r="O869" s="49"/>
      <c r="P869" s="49"/>
      <c r="Q869" s="49"/>
      <c r="R869" s="49"/>
      <c r="S869" s="50"/>
      <c r="T869" s="50"/>
      <c r="U869" s="50"/>
      <c r="V869" s="51"/>
      <c r="W869" s="51"/>
      <c r="X869" s="51"/>
      <c r="Y869" s="51"/>
    </row>
    <row r="870" customFormat="false" ht="12.75" hidden="false" customHeight="true" outlineLevel="0" collapsed="false">
      <c r="A870" s="45"/>
      <c r="B870" s="46"/>
      <c r="C870" s="46"/>
      <c r="D870" s="46"/>
      <c r="E870" s="46"/>
      <c r="F870" s="47"/>
      <c r="G870" s="48"/>
      <c r="H870" s="48"/>
      <c r="I870" s="48"/>
      <c r="J870" s="48"/>
      <c r="K870" s="48"/>
      <c r="L870" s="48"/>
      <c r="M870" s="49"/>
      <c r="N870" s="49"/>
      <c r="O870" s="49"/>
      <c r="P870" s="49"/>
      <c r="Q870" s="49"/>
      <c r="R870" s="49"/>
      <c r="S870" s="50"/>
      <c r="T870" s="50"/>
      <c r="U870" s="50"/>
      <c r="V870" s="51"/>
      <c r="W870" s="51"/>
      <c r="X870" s="51"/>
      <c r="Y870" s="51"/>
    </row>
    <row r="871" customFormat="false" ht="12.75" hidden="false" customHeight="true" outlineLevel="0" collapsed="false">
      <c r="A871" s="45"/>
      <c r="B871" s="46"/>
      <c r="C871" s="46"/>
      <c r="D871" s="46"/>
      <c r="E871" s="46"/>
      <c r="F871" s="47"/>
      <c r="G871" s="48"/>
      <c r="H871" s="48"/>
      <c r="I871" s="48"/>
      <c r="J871" s="48"/>
      <c r="K871" s="48"/>
      <c r="L871" s="48"/>
      <c r="M871" s="49"/>
      <c r="N871" s="49"/>
      <c r="O871" s="49"/>
      <c r="P871" s="49"/>
      <c r="Q871" s="49"/>
      <c r="R871" s="49"/>
      <c r="S871" s="50"/>
      <c r="T871" s="50"/>
      <c r="U871" s="50"/>
      <c r="V871" s="51"/>
      <c r="W871" s="51"/>
      <c r="X871" s="51"/>
      <c r="Y871" s="51"/>
    </row>
    <row r="872" customFormat="false" ht="12.75" hidden="false" customHeight="true" outlineLevel="0" collapsed="false">
      <c r="A872" s="45"/>
      <c r="B872" s="46"/>
      <c r="C872" s="46"/>
      <c r="D872" s="46"/>
      <c r="E872" s="46"/>
      <c r="F872" s="47"/>
      <c r="G872" s="48"/>
      <c r="H872" s="48"/>
      <c r="I872" s="48"/>
      <c r="J872" s="48"/>
      <c r="K872" s="48"/>
      <c r="L872" s="48"/>
      <c r="M872" s="49"/>
      <c r="N872" s="49"/>
      <c r="O872" s="49"/>
      <c r="P872" s="49"/>
      <c r="Q872" s="49"/>
      <c r="R872" s="49"/>
      <c r="S872" s="50"/>
      <c r="T872" s="50"/>
      <c r="U872" s="50"/>
      <c r="V872" s="51"/>
      <c r="W872" s="51"/>
      <c r="X872" s="51"/>
      <c r="Y872" s="51"/>
    </row>
    <row r="873" customFormat="false" ht="12.75" hidden="false" customHeight="true" outlineLevel="0" collapsed="false">
      <c r="A873" s="45"/>
      <c r="B873" s="46"/>
      <c r="C873" s="46"/>
      <c r="D873" s="46"/>
      <c r="E873" s="46"/>
      <c r="F873" s="47"/>
      <c r="G873" s="48"/>
      <c r="H873" s="48"/>
      <c r="I873" s="48"/>
      <c r="J873" s="48"/>
      <c r="K873" s="48"/>
      <c r="L873" s="48"/>
      <c r="M873" s="49"/>
      <c r="N873" s="49"/>
      <c r="O873" s="49"/>
      <c r="P873" s="49"/>
      <c r="Q873" s="49"/>
      <c r="R873" s="49"/>
      <c r="S873" s="50"/>
      <c r="T873" s="50"/>
      <c r="U873" s="50"/>
      <c r="V873" s="51"/>
      <c r="W873" s="51"/>
      <c r="X873" s="51"/>
      <c r="Y873" s="51"/>
    </row>
    <row r="874" customFormat="false" ht="12.75" hidden="false" customHeight="true" outlineLevel="0" collapsed="false">
      <c r="A874" s="45"/>
      <c r="B874" s="46"/>
      <c r="C874" s="46"/>
      <c r="D874" s="46"/>
      <c r="E874" s="46"/>
      <c r="F874" s="47"/>
      <c r="G874" s="48"/>
      <c r="H874" s="48"/>
      <c r="I874" s="48"/>
      <c r="J874" s="48"/>
      <c r="K874" s="48"/>
      <c r="L874" s="48"/>
      <c r="M874" s="49"/>
      <c r="N874" s="49"/>
      <c r="O874" s="49"/>
      <c r="P874" s="49"/>
      <c r="Q874" s="49"/>
      <c r="R874" s="49"/>
      <c r="S874" s="50"/>
      <c r="T874" s="50"/>
      <c r="U874" s="50"/>
      <c r="V874" s="51"/>
      <c r="W874" s="51"/>
      <c r="X874" s="51"/>
      <c r="Y874" s="51"/>
    </row>
    <row r="875" customFormat="false" ht="12.75" hidden="false" customHeight="true" outlineLevel="0" collapsed="false">
      <c r="A875" s="45"/>
      <c r="B875" s="46"/>
      <c r="C875" s="46"/>
      <c r="D875" s="46"/>
      <c r="E875" s="46"/>
      <c r="F875" s="47"/>
      <c r="G875" s="48"/>
      <c r="H875" s="48"/>
      <c r="I875" s="48"/>
      <c r="J875" s="48"/>
      <c r="K875" s="48"/>
      <c r="L875" s="48"/>
      <c r="M875" s="49"/>
      <c r="N875" s="49"/>
      <c r="O875" s="49"/>
      <c r="P875" s="49"/>
      <c r="Q875" s="49"/>
      <c r="R875" s="49"/>
      <c r="S875" s="50"/>
      <c r="T875" s="50"/>
      <c r="U875" s="50"/>
      <c r="V875" s="51"/>
      <c r="W875" s="51"/>
      <c r="X875" s="51"/>
      <c r="Y875" s="51"/>
    </row>
    <row r="876" customFormat="false" ht="12.75" hidden="false" customHeight="true" outlineLevel="0" collapsed="false">
      <c r="A876" s="45"/>
      <c r="B876" s="46"/>
      <c r="C876" s="46"/>
      <c r="D876" s="46"/>
      <c r="E876" s="46"/>
      <c r="F876" s="47"/>
      <c r="G876" s="48"/>
      <c r="H876" s="48"/>
      <c r="I876" s="48"/>
      <c r="J876" s="48"/>
      <c r="K876" s="48"/>
      <c r="L876" s="48"/>
      <c r="M876" s="49"/>
      <c r="N876" s="49"/>
      <c r="O876" s="49"/>
      <c r="P876" s="49"/>
      <c r="Q876" s="49"/>
      <c r="R876" s="49"/>
      <c r="S876" s="50"/>
      <c r="T876" s="50"/>
      <c r="U876" s="50"/>
      <c r="V876" s="51"/>
      <c r="W876" s="51"/>
      <c r="X876" s="51"/>
      <c r="Y876" s="51"/>
    </row>
    <row r="877" customFormat="false" ht="12.75" hidden="false" customHeight="true" outlineLevel="0" collapsed="false">
      <c r="A877" s="45"/>
      <c r="B877" s="46"/>
      <c r="C877" s="46"/>
      <c r="D877" s="46"/>
      <c r="E877" s="46"/>
      <c r="F877" s="47"/>
      <c r="G877" s="48"/>
      <c r="H877" s="48"/>
      <c r="I877" s="48"/>
      <c r="J877" s="48"/>
      <c r="K877" s="48"/>
      <c r="L877" s="48"/>
      <c r="M877" s="49"/>
      <c r="N877" s="49"/>
      <c r="O877" s="49"/>
      <c r="P877" s="49"/>
      <c r="Q877" s="49"/>
      <c r="R877" s="49"/>
      <c r="S877" s="50"/>
      <c r="T877" s="50"/>
      <c r="U877" s="50"/>
      <c r="V877" s="51"/>
      <c r="W877" s="51"/>
      <c r="X877" s="51"/>
      <c r="Y877" s="51"/>
    </row>
    <row r="878" customFormat="false" ht="12.75" hidden="false" customHeight="true" outlineLevel="0" collapsed="false">
      <c r="A878" s="45"/>
      <c r="B878" s="46"/>
      <c r="C878" s="46"/>
      <c r="D878" s="46"/>
      <c r="E878" s="46"/>
      <c r="F878" s="47"/>
      <c r="G878" s="48"/>
      <c r="H878" s="48"/>
      <c r="I878" s="48"/>
      <c r="J878" s="48"/>
      <c r="K878" s="48"/>
      <c r="L878" s="48"/>
      <c r="M878" s="49"/>
      <c r="N878" s="49"/>
      <c r="O878" s="49"/>
      <c r="P878" s="49"/>
      <c r="Q878" s="49"/>
      <c r="R878" s="49"/>
      <c r="S878" s="50"/>
      <c r="T878" s="50"/>
      <c r="U878" s="50"/>
      <c r="V878" s="51"/>
      <c r="W878" s="51"/>
      <c r="X878" s="51"/>
      <c r="Y878" s="51"/>
    </row>
    <row r="879" customFormat="false" ht="12.75" hidden="false" customHeight="true" outlineLevel="0" collapsed="false">
      <c r="A879" s="45"/>
      <c r="B879" s="46"/>
      <c r="C879" s="46"/>
      <c r="D879" s="46"/>
      <c r="E879" s="46"/>
      <c r="F879" s="47"/>
      <c r="G879" s="48"/>
      <c r="H879" s="48"/>
      <c r="I879" s="48"/>
      <c r="J879" s="48"/>
      <c r="K879" s="48"/>
      <c r="L879" s="48"/>
      <c r="M879" s="49"/>
      <c r="N879" s="49"/>
      <c r="O879" s="49"/>
      <c r="P879" s="49"/>
      <c r="Q879" s="49"/>
      <c r="R879" s="49"/>
      <c r="S879" s="50"/>
      <c r="T879" s="50"/>
      <c r="U879" s="50"/>
      <c r="V879" s="51"/>
      <c r="W879" s="51"/>
      <c r="X879" s="51"/>
      <c r="Y879" s="51"/>
    </row>
    <row r="880" customFormat="false" ht="12.75" hidden="false" customHeight="true" outlineLevel="0" collapsed="false">
      <c r="A880" s="45"/>
      <c r="B880" s="46"/>
      <c r="C880" s="46"/>
      <c r="D880" s="46"/>
      <c r="E880" s="46"/>
      <c r="F880" s="47"/>
      <c r="G880" s="48"/>
      <c r="H880" s="48"/>
      <c r="I880" s="48"/>
      <c r="J880" s="48"/>
      <c r="K880" s="48"/>
      <c r="L880" s="48"/>
      <c r="M880" s="49"/>
      <c r="N880" s="49"/>
      <c r="O880" s="49"/>
      <c r="P880" s="49"/>
      <c r="Q880" s="49"/>
      <c r="R880" s="49"/>
      <c r="S880" s="50"/>
      <c r="T880" s="50"/>
      <c r="U880" s="50"/>
      <c r="V880" s="51"/>
      <c r="W880" s="51"/>
      <c r="X880" s="51"/>
      <c r="Y880" s="51"/>
    </row>
    <row r="881" customFormat="false" ht="12.75" hidden="false" customHeight="true" outlineLevel="0" collapsed="false">
      <c r="A881" s="45"/>
      <c r="B881" s="46"/>
      <c r="C881" s="46"/>
      <c r="D881" s="46"/>
      <c r="E881" s="46"/>
      <c r="F881" s="47"/>
      <c r="G881" s="48"/>
      <c r="H881" s="48"/>
      <c r="I881" s="48"/>
      <c r="J881" s="48"/>
      <c r="K881" s="48"/>
      <c r="L881" s="48"/>
      <c r="M881" s="49"/>
      <c r="N881" s="49"/>
      <c r="O881" s="49"/>
      <c r="P881" s="49"/>
      <c r="Q881" s="49"/>
      <c r="R881" s="49"/>
      <c r="S881" s="50"/>
      <c r="T881" s="50"/>
      <c r="U881" s="50"/>
      <c r="V881" s="51"/>
      <c r="W881" s="51"/>
      <c r="X881" s="51"/>
      <c r="Y881" s="51"/>
    </row>
    <row r="882" customFormat="false" ht="12.75" hidden="false" customHeight="true" outlineLevel="0" collapsed="false">
      <c r="A882" s="45"/>
      <c r="B882" s="46"/>
      <c r="C882" s="46"/>
      <c r="D882" s="46"/>
      <c r="E882" s="46"/>
      <c r="F882" s="47"/>
      <c r="G882" s="48"/>
      <c r="H882" s="48"/>
      <c r="I882" s="48"/>
      <c r="J882" s="48"/>
      <c r="K882" s="48"/>
      <c r="L882" s="48"/>
      <c r="M882" s="49"/>
      <c r="N882" s="49"/>
      <c r="O882" s="49"/>
      <c r="P882" s="49"/>
      <c r="Q882" s="49"/>
      <c r="R882" s="49"/>
      <c r="S882" s="50"/>
      <c r="T882" s="50"/>
      <c r="U882" s="50"/>
      <c r="V882" s="51"/>
      <c r="W882" s="51"/>
      <c r="X882" s="51"/>
      <c r="Y882" s="51"/>
    </row>
    <row r="883" customFormat="false" ht="12.75" hidden="false" customHeight="true" outlineLevel="0" collapsed="false">
      <c r="A883" s="45"/>
      <c r="B883" s="46"/>
      <c r="C883" s="46"/>
      <c r="D883" s="46"/>
      <c r="E883" s="46"/>
      <c r="F883" s="47"/>
      <c r="G883" s="48"/>
      <c r="H883" s="48"/>
      <c r="I883" s="48"/>
      <c r="J883" s="48"/>
      <c r="K883" s="48"/>
      <c r="L883" s="48"/>
      <c r="M883" s="49"/>
      <c r="N883" s="49"/>
      <c r="O883" s="49"/>
      <c r="P883" s="49"/>
      <c r="Q883" s="49"/>
      <c r="R883" s="49"/>
      <c r="S883" s="50"/>
      <c r="T883" s="50"/>
      <c r="U883" s="50"/>
      <c r="V883" s="51"/>
      <c r="W883" s="51"/>
      <c r="X883" s="51"/>
      <c r="Y883" s="51"/>
    </row>
    <row r="884" customFormat="false" ht="12.75" hidden="false" customHeight="true" outlineLevel="0" collapsed="false">
      <c r="A884" s="45"/>
      <c r="B884" s="46"/>
      <c r="C884" s="46"/>
      <c r="D884" s="46"/>
      <c r="E884" s="46"/>
      <c r="F884" s="47"/>
      <c r="G884" s="48"/>
      <c r="H884" s="48"/>
      <c r="I884" s="48"/>
      <c r="J884" s="48"/>
      <c r="K884" s="48"/>
      <c r="L884" s="48"/>
      <c r="M884" s="49"/>
      <c r="N884" s="49"/>
      <c r="O884" s="49"/>
      <c r="P884" s="49"/>
      <c r="Q884" s="49"/>
      <c r="R884" s="49"/>
      <c r="S884" s="50"/>
      <c r="T884" s="50"/>
      <c r="U884" s="50"/>
      <c r="V884" s="51"/>
      <c r="W884" s="51"/>
      <c r="X884" s="51"/>
      <c r="Y884" s="51"/>
    </row>
    <row r="885" customFormat="false" ht="12.75" hidden="false" customHeight="true" outlineLevel="0" collapsed="false">
      <c r="A885" s="45"/>
      <c r="B885" s="46"/>
      <c r="C885" s="46"/>
      <c r="D885" s="46"/>
      <c r="E885" s="46"/>
      <c r="F885" s="47"/>
      <c r="G885" s="48"/>
      <c r="H885" s="48"/>
      <c r="I885" s="48"/>
      <c r="J885" s="48"/>
      <c r="K885" s="48"/>
      <c r="L885" s="48"/>
      <c r="M885" s="49"/>
      <c r="N885" s="49"/>
      <c r="O885" s="49"/>
      <c r="P885" s="49"/>
      <c r="Q885" s="49"/>
      <c r="R885" s="49"/>
      <c r="S885" s="50"/>
      <c r="T885" s="50"/>
      <c r="U885" s="50"/>
      <c r="V885" s="51"/>
      <c r="W885" s="51"/>
      <c r="X885" s="51"/>
      <c r="Y885" s="51"/>
    </row>
    <row r="886" customFormat="false" ht="12.75" hidden="false" customHeight="true" outlineLevel="0" collapsed="false">
      <c r="A886" s="45"/>
      <c r="B886" s="46"/>
      <c r="C886" s="46"/>
      <c r="D886" s="46"/>
      <c r="E886" s="46"/>
      <c r="F886" s="47"/>
      <c r="G886" s="48"/>
      <c r="H886" s="48"/>
      <c r="I886" s="48"/>
      <c r="J886" s="48"/>
      <c r="K886" s="48"/>
      <c r="L886" s="48"/>
      <c r="M886" s="49"/>
      <c r="N886" s="49"/>
      <c r="O886" s="49"/>
      <c r="P886" s="49"/>
      <c r="Q886" s="49"/>
      <c r="R886" s="49"/>
      <c r="S886" s="50"/>
      <c r="T886" s="50"/>
      <c r="U886" s="50"/>
      <c r="V886" s="51"/>
      <c r="W886" s="51"/>
      <c r="X886" s="51"/>
      <c r="Y886" s="51"/>
    </row>
    <row r="887" customFormat="false" ht="12.75" hidden="false" customHeight="true" outlineLevel="0" collapsed="false">
      <c r="A887" s="45"/>
      <c r="B887" s="46"/>
      <c r="C887" s="46"/>
      <c r="D887" s="46"/>
      <c r="E887" s="46"/>
      <c r="F887" s="47"/>
      <c r="G887" s="48"/>
      <c r="H887" s="48"/>
      <c r="I887" s="48"/>
      <c r="J887" s="48"/>
      <c r="K887" s="48"/>
      <c r="L887" s="48"/>
      <c r="M887" s="49"/>
      <c r="N887" s="49"/>
      <c r="O887" s="49"/>
      <c r="P887" s="49"/>
      <c r="Q887" s="49"/>
      <c r="R887" s="49"/>
      <c r="S887" s="50"/>
      <c r="T887" s="50"/>
      <c r="U887" s="50"/>
      <c r="V887" s="51"/>
      <c r="W887" s="51"/>
      <c r="X887" s="51"/>
      <c r="Y887" s="51"/>
    </row>
    <row r="888" customFormat="false" ht="12.75" hidden="false" customHeight="true" outlineLevel="0" collapsed="false">
      <c r="A888" s="45"/>
      <c r="B888" s="46"/>
      <c r="C888" s="46"/>
      <c r="D888" s="46"/>
      <c r="E888" s="46"/>
      <c r="F888" s="47"/>
      <c r="G888" s="48"/>
      <c r="H888" s="48"/>
      <c r="I888" s="48"/>
      <c r="J888" s="48"/>
      <c r="K888" s="48"/>
      <c r="L888" s="48"/>
      <c r="M888" s="49"/>
      <c r="N888" s="49"/>
      <c r="O888" s="49"/>
      <c r="P888" s="49"/>
      <c r="Q888" s="49"/>
      <c r="R888" s="49"/>
      <c r="S888" s="50"/>
      <c r="T888" s="50"/>
      <c r="U888" s="50"/>
      <c r="V888" s="51"/>
      <c r="W888" s="51"/>
      <c r="X888" s="51"/>
      <c r="Y888" s="51"/>
    </row>
    <row r="889" customFormat="false" ht="12.75" hidden="false" customHeight="true" outlineLevel="0" collapsed="false">
      <c r="A889" s="45"/>
      <c r="B889" s="46"/>
      <c r="C889" s="46"/>
      <c r="D889" s="46"/>
      <c r="E889" s="46"/>
      <c r="F889" s="47"/>
      <c r="G889" s="48"/>
      <c r="H889" s="48"/>
      <c r="I889" s="48"/>
      <c r="J889" s="48"/>
      <c r="K889" s="48"/>
      <c r="L889" s="48"/>
      <c r="M889" s="49"/>
      <c r="N889" s="49"/>
      <c r="O889" s="49"/>
      <c r="P889" s="49"/>
      <c r="Q889" s="49"/>
      <c r="R889" s="49"/>
      <c r="S889" s="50"/>
      <c r="T889" s="50"/>
      <c r="U889" s="50"/>
      <c r="V889" s="51"/>
      <c r="W889" s="51"/>
      <c r="X889" s="51"/>
      <c r="Y889" s="51"/>
    </row>
    <row r="890" customFormat="false" ht="12.75" hidden="false" customHeight="true" outlineLevel="0" collapsed="false">
      <c r="A890" s="45"/>
      <c r="B890" s="46"/>
      <c r="C890" s="46"/>
      <c r="D890" s="46"/>
      <c r="E890" s="46"/>
      <c r="F890" s="47"/>
      <c r="G890" s="48"/>
      <c r="H890" s="48"/>
      <c r="I890" s="48"/>
      <c r="J890" s="48"/>
      <c r="K890" s="48"/>
      <c r="L890" s="48"/>
      <c r="M890" s="49"/>
      <c r="N890" s="49"/>
      <c r="O890" s="49"/>
      <c r="P890" s="49"/>
      <c r="Q890" s="49"/>
      <c r="R890" s="49"/>
      <c r="S890" s="50"/>
      <c r="T890" s="50"/>
      <c r="U890" s="50"/>
      <c r="V890" s="51"/>
      <c r="W890" s="51"/>
      <c r="X890" s="51"/>
      <c r="Y890" s="51"/>
    </row>
    <row r="891" customFormat="false" ht="12.75" hidden="false" customHeight="true" outlineLevel="0" collapsed="false">
      <c r="A891" s="45"/>
      <c r="B891" s="46"/>
      <c r="C891" s="46"/>
      <c r="D891" s="46"/>
      <c r="E891" s="46"/>
      <c r="F891" s="47"/>
      <c r="G891" s="48"/>
      <c r="H891" s="48"/>
      <c r="I891" s="48"/>
      <c r="J891" s="48"/>
      <c r="K891" s="48"/>
      <c r="L891" s="48"/>
      <c r="M891" s="49"/>
      <c r="N891" s="49"/>
      <c r="O891" s="49"/>
      <c r="P891" s="49"/>
      <c r="Q891" s="49"/>
      <c r="R891" s="49"/>
      <c r="S891" s="50"/>
      <c r="T891" s="50"/>
      <c r="U891" s="50"/>
      <c r="V891" s="51"/>
      <c r="W891" s="51"/>
      <c r="X891" s="51"/>
      <c r="Y891" s="51"/>
    </row>
    <row r="892" customFormat="false" ht="12.75" hidden="false" customHeight="true" outlineLevel="0" collapsed="false">
      <c r="A892" s="45"/>
      <c r="B892" s="46"/>
      <c r="C892" s="46"/>
      <c r="D892" s="46"/>
      <c r="E892" s="46"/>
      <c r="F892" s="47"/>
      <c r="G892" s="48"/>
      <c r="H892" s="48"/>
      <c r="I892" s="48"/>
      <c r="J892" s="48"/>
      <c r="K892" s="48"/>
      <c r="L892" s="48"/>
      <c r="M892" s="49"/>
      <c r="N892" s="49"/>
      <c r="O892" s="49"/>
      <c r="P892" s="49"/>
      <c r="Q892" s="49"/>
      <c r="R892" s="49"/>
      <c r="S892" s="50"/>
      <c r="T892" s="50"/>
      <c r="U892" s="50"/>
      <c r="V892" s="51"/>
      <c r="W892" s="51"/>
      <c r="X892" s="51"/>
      <c r="Y892" s="51"/>
    </row>
    <row r="893" customFormat="false" ht="12.75" hidden="false" customHeight="true" outlineLevel="0" collapsed="false">
      <c r="A893" s="45"/>
      <c r="B893" s="46"/>
      <c r="C893" s="46"/>
      <c r="D893" s="46"/>
      <c r="E893" s="46"/>
      <c r="F893" s="47"/>
      <c r="G893" s="48"/>
      <c r="H893" s="48"/>
      <c r="I893" s="48"/>
      <c r="J893" s="48"/>
      <c r="K893" s="48"/>
      <c r="L893" s="48"/>
      <c r="M893" s="49"/>
      <c r="N893" s="49"/>
      <c r="O893" s="49"/>
      <c r="P893" s="49"/>
      <c r="Q893" s="49"/>
      <c r="R893" s="49"/>
      <c r="S893" s="50"/>
      <c r="T893" s="50"/>
      <c r="U893" s="50"/>
      <c r="V893" s="51"/>
      <c r="W893" s="51"/>
      <c r="X893" s="51"/>
      <c r="Y893" s="51"/>
    </row>
    <row r="894" customFormat="false" ht="12.75" hidden="false" customHeight="true" outlineLevel="0" collapsed="false">
      <c r="A894" s="45"/>
      <c r="B894" s="46"/>
      <c r="C894" s="46"/>
      <c r="D894" s="46"/>
      <c r="E894" s="46"/>
      <c r="F894" s="47"/>
      <c r="G894" s="48"/>
      <c r="H894" s="48"/>
      <c r="I894" s="48"/>
      <c r="J894" s="48"/>
      <c r="K894" s="48"/>
      <c r="L894" s="48"/>
      <c r="M894" s="49"/>
      <c r="N894" s="49"/>
      <c r="O894" s="49"/>
      <c r="P894" s="49"/>
      <c r="Q894" s="49"/>
      <c r="R894" s="49"/>
      <c r="S894" s="50"/>
      <c r="T894" s="50"/>
      <c r="U894" s="50"/>
      <c r="V894" s="51"/>
      <c r="W894" s="51"/>
      <c r="X894" s="51"/>
      <c r="Y894" s="51"/>
    </row>
    <row r="895" customFormat="false" ht="12.75" hidden="false" customHeight="true" outlineLevel="0" collapsed="false">
      <c r="A895" s="45"/>
      <c r="B895" s="46"/>
      <c r="C895" s="46"/>
      <c r="D895" s="46"/>
      <c r="E895" s="46"/>
      <c r="F895" s="47"/>
      <c r="G895" s="48"/>
      <c r="H895" s="48"/>
      <c r="I895" s="48"/>
      <c r="J895" s="48"/>
      <c r="K895" s="48"/>
      <c r="L895" s="48"/>
      <c r="M895" s="49"/>
      <c r="N895" s="49"/>
      <c r="O895" s="49"/>
      <c r="P895" s="49"/>
      <c r="Q895" s="49"/>
      <c r="R895" s="49"/>
      <c r="S895" s="50"/>
      <c r="T895" s="50"/>
      <c r="U895" s="50"/>
      <c r="V895" s="51"/>
      <c r="W895" s="51"/>
      <c r="X895" s="51"/>
      <c r="Y895" s="51"/>
    </row>
    <row r="896" customFormat="false" ht="12.75" hidden="false" customHeight="true" outlineLevel="0" collapsed="false">
      <c r="A896" s="45"/>
      <c r="B896" s="46"/>
      <c r="C896" s="46"/>
      <c r="D896" s="46"/>
      <c r="E896" s="46"/>
      <c r="F896" s="47"/>
      <c r="G896" s="48"/>
      <c r="H896" s="48"/>
      <c r="I896" s="48"/>
      <c r="J896" s="48"/>
      <c r="K896" s="48"/>
      <c r="L896" s="48"/>
      <c r="M896" s="49"/>
      <c r="N896" s="49"/>
      <c r="O896" s="49"/>
      <c r="P896" s="49"/>
      <c r="Q896" s="49"/>
      <c r="R896" s="49"/>
      <c r="S896" s="50"/>
      <c r="T896" s="50"/>
      <c r="U896" s="50"/>
      <c r="V896" s="51"/>
      <c r="W896" s="51"/>
      <c r="X896" s="51"/>
      <c r="Y896" s="51"/>
    </row>
    <row r="897" customFormat="false" ht="12.75" hidden="false" customHeight="true" outlineLevel="0" collapsed="false">
      <c r="A897" s="45"/>
      <c r="B897" s="46"/>
      <c r="C897" s="46"/>
      <c r="D897" s="46"/>
      <c r="E897" s="46"/>
      <c r="F897" s="47"/>
      <c r="G897" s="48"/>
      <c r="H897" s="48"/>
      <c r="I897" s="48"/>
      <c r="J897" s="48"/>
      <c r="K897" s="48"/>
      <c r="L897" s="48"/>
      <c r="M897" s="49"/>
      <c r="N897" s="49"/>
      <c r="O897" s="49"/>
      <c r="P897" s="49"/>
      <c r="Q897" s="49"/>
      <c r="R897" s="49"/>
      <c r="S897" s="50"/>
      <c r="T897" s="50"/>
      <c r="U897" s="50"/>
      <c r="V897" s="51"/>
      <c r="W897" s="51"/>
      <c r="X897" s="51"/>
      <c r="Y897" s="51"/>
    </row>
    <row r="898" customFormat="false" ht="12.75" hidden="false" customHeight="true" outlineLevel="0" collapsed="false">
      <c r="A898" s="45"/>
      <c r="B898" s="46"/>
      <c r="C898" s="46"/>
      <c r="D898" s="46"/>
      <c r="E898" s="46"/>
      <c r="F898" s="47"/>
      <c r="G898" s="48"/>
      <c r="H898" s="48"/>
      <c r="I898" s="48"/>
      <c r="J898" s="48"/>
      <c r="K898" s="48"/>
      <c r="L898" s="48"/>
      <c r="M898" s="49"/>
      <c r="N898" s="49"/>
      <c r="O898" s="49"/>
      <c r="P898" s="49"/>
      <c r="Q898" s="49"/>
      <c r="R898" s="49"/>
      <c r="S898" s="50"/>
      <c r="T898" s="50"/>
      <c r="U898" s="50"/>
      <c r="V898" s="51"/>
      <c r="W898" s="51"/>
      <c r="X898" s="51"/>
      <c r="Y898" s="51"/>
    </row>
    <row r="899" customFormat="false" ht="12.75" hidden="false" customHeight="true" outlineLevel="0" collapsed="false">
      <c r="A899" s="45"/>
      <c r="B899" s="46"/>
      <c r="C899" s="46"/>
      <c r="D899" s="46"/>
      <c r="E899" s="46"/>
      <c r="F899" s="47"/>
      <c r="G899" s="48"/>
      <c r="H899" s="48"/>
      <c r="I899" s="48"/>
      <c r="J899" s="48"/>
      <c r="K899" s="48"/>
      <c r="L899" s="48"/>
      <c r="M899" s="49"/>
      <c r="N899" s="49"/>
      <c r="O899" s="49"/>
      <c r="P899" s="49"/>
      <c r="Q899" s="49"/>
      <c r="R899" s="49"/>
      <c r="S899" s="50"/>
      <c r="T899" s="50"/>
      <c r="U899" s="50"/>
      <c r="V899" s="51"/>
      <c r="W899" s="51"/>
      <c r="X899" s="51"/>
      <c r="Y899" s="51"/>
    </row>
    <row r="900" customFormat="false" ht="12.75" hidden="false" customHeight="true" outlineLevel="0" collapsed="false">
      <c r="A900" s="45"/>
      <c r="B900" s="46"/>
      <c r="C900" s="46"/>
      <c r="D900" s="46"/>
      <c r="E900" s="46"/>
      <c r="F900" s="47"/>
      <c r="G900" s="48"/>
      <c r="H900" s="48"/>
      <c r="I900" s="48"/>
      <c r="J900" s="48"/>
      <c r="K900" s="48"/>
      <c r="L900" s="48"/>
      <c r="M900" s="49"/>
      <c r="N900" s="49"/>
      <c r="O900" s="49"/>
      <c r="P900" s="49"/>
      <c r="Q900" s="49"/>
      <c r="R900" s="49"/>
      <c r="S900" s="50"/>
      <c r="T900" s="50"/>
      <c r="U900" s="50"/>
      <c r="V900" s="51"/>
      <c r="W900" s="51"/>
      <c r="X900" s="51"/>
      <c r="Y900" s="51"/>
    </row>
    <row r="901" customFormat="false" ht="12.75" hidden="false" customHeight="true" outlineLevel="0" collapsed="false">
      <c r="A901" s="45"/>
      <c r="B901" s="46"/>
      <c r="C901" s="46"/>
      <c r="D901" s="46"/>
      <c r="E901" s="46"/>
      <c r="F901" s="47"/>
      <c r="G901" s="48"/>
      <c r="H901" s="48"/>
      <c r="I901" s="48"/>
      <c r="J901" s="48"/>
      <c r="K901" s="48"/>
      <c r="L901" s="48"/>
      <c r="M901" s="49"/>
      <c r="N901" s="49"/>
      <c r="O901" s="49"/>
      <c r="P901" s="49"/>
      <c r="Q901" s="49"/>
      <c r="R901" s="49"/>
      <c r="S901" s="50"/>
      <c r="T901" s="50"/>
      <c r="U901" s="50"/>
      <c r="V901" s="51"/>
      <c r="W901" s="51"/>
      <c r="X901" s="51"/>
      <c r="Y901" s="51"/>
    </row>
    <row r="902" customFormat="false" ht="12.75" hidden="false" customHeight="true" outlineLevel="0" collapsed="false">
      <c r="A902" s="45"/>
      <c r="B902" s="46"/>
      <c r="C902" s="46"/>
      <c r="D902" s="46"/>
      <c r="E902" s="46"/>
      <c r="F902" s="47"/>
      <c r="G902" s="48"/>
      <c r="H902" s="48"/>
      <c r="I902" s="48"/>
      <c r="J902" s="48"/>
      <c r="K902" s="48"/>
      <c r="L902" s="48"/>
      <c r="M902" s="49"/>
      <c r="N902" s="49"/>
      <c r="O902" s="49"/>
      <c r="P902" s="49"/>
      <c r="Q902" s="49"/>
      <c r="R902" s="49"/>
      <c r="S902" s="50"/>
      <c r="T902" s="50"/>
      <c r="U902" s="50"/>
      <c r="V902" s="51"/>
      <c r="W902" s="51"/>
      <c r="X902" s="51"/>
      <c r="Y902" s="51"/>
    </row>
    <row r="903" customFormat="false" ht="12.75" hidden="false" customHeight="true" outlineLevel="0" collapsed="false">
      <c r="A903" s="45"/>
      <c r="B903" s="46"/>
      <c r="C903" s="46"/>
      <c r="D903" s="46"/>
      <c r="E903" s="46"/>
      <c r="F903" s="47"/>
      <c r="G903" s="48"/>
      <c r="H903" s="48"/>
      <c r="I903" s="48"/>
      <c r="J903" s="48"/>
      <c r="K903" s="48"/>
      <c r="L903" s="48"/>
      <c r="M903" s="49"/>
      <c r="N903" s="49"/>
      <c r="O903" s="49"/>
      <c r="P903" s="49"/>
      <c r="Q903" s="49"/>
      <c r="R903" s="49"/>
      <c r="S903" s="50"/>
      <c r="T903" s="50"/>
      <c r="U903" s="50"/>
      <c r="V903" s="51"/>
      <c r="W903" s="51"/>
      <c r="X903" s="51"/>
      <c r="Y903" s="51"/>
    </row>
    <row r="904" customFormat="false" ht="12.75" hidden="false" customHeight="true" outlineLevel="0" collapsed="false">
      <c r="A904" s="45"/>
      <c r="B904" s="46"/>
      <c r="C904" s="46"/>
      <c r="D904" s="46"/>
      <c r="E904" s="46"/>
      <c r="F904" s="47"/>
      <c r="G904" s="48"/>
      <c r="H904" s="48"/>
      <c r="I904" s="48"/>
      <c r="J904" s="48"/>
      <c r="K904" s="48"/>
      <c r="L904" s="48"/>
      <c r="M904" s="49"/>
      <c r="N904" s="49"/>
      <c r="O904" s="49"/>
      <c r="P904" s="49"/>
      <c r="Q904" s="49"/>
      <c r="R904" s="49"/>
      <c r="S904" s="50"/>
      <c r="T904" s="50"/>
      <c r="U904" s="50"/>
      <c r="V904" s="51"/>
      <c r="W904" s="51"/>
      <c r="X904" s="51"/>
      <c r="Y904" s="51"/>
    </row>
    <row r="905" customFormat="false" ht="12.75" hidden="false" customHeight="true" outlineLevel="0" collapsed="false">
      <c r="A905" s="45"/>
      <c r="B905" s="46"/>
      <c r="C905" s="46"/>
      <c r="D905" s="46"/>
      <c r="E905" s="46"/>
      <c r="F905" s="47"/>
      <c r="G905" s="48"/>
      <c r="H905" s="48"/>
      <c r="I905" s="48"/>
      <c r="J905" s="48"/>
      <c r="K905" s="48"/>
      <c r="L905" s="48"/>
      <c r="M905" s="49"/>
      <c r="N905" s="49"/>
      <c r="O905" s="49"/>
      <c r="P905" s="49"/>
      <c r="Q905" s="49"/>
      <c r="R905" s="49"/>
      <c r="S905" s="50"/>
      <c r="T905" s="50"/>
      <c r="U905" s="50"/>
      <c r="V905" s="51"/>
      <c r="W905" s="51"/>
      <c r="X905" s="51"/>
      <c r="Y905" s="51"/>
    </row>
    <row r="906" customFormat="false" ht="12.75" hidden="false" customHeight="true" outlineLevel="0" collapsed="false">
      <c r="A906" s="45"/>
      <c r="B906" s="46"/>
      <c r="C906" s="46"/>
      <c r="D906" s="46"/>
      <c r="E906" s="46"/>
      <c r="F906" s="47"/>
      <c r="G906" s="48"/>
      <c r="H906" s="48"/>
      <c r="I906" s="48"/>
      <c r="J906" s="48"/>
      <c r="K906" s="48"/>
      <c r="L906" s="48"/>
      <c r="M906" s="49"/>
      <c r="N906" s="49"/>
      <c r="O906" s="49"/>
      <c r="P906" s="49"/>
      <c r="Q906" s="49"/>
      <c r="R906" s="49"/>
      <c r="S906" s="50"/>
      <c r="T906" s="50"/>
      <c r="U906" s="50"/>
      <c r="V906" s="51"/>
      <c r="W906" s="51"/>
      <c r="X906" s="51"/>
      <c r="Y906" s="51"/>
    </row>
    <row r="907" customFormat="false" ht="12.75" hidden="false" customHeight="true" outlineLevel="0" collapsed="false">
      <c r="A907" s="45"/>
      <c r="B907" s="46"/>
      <c r="C907" s="46"/>
      <c r="D907" s="46"/>
      <c r="E907" s="46"/>
      <c r="F907" s="47"/>
      <c r="G907" s="48"/>
      <c r="H907" s="48"/>
      <c r="I907" s="48"/>
      <c r="J907" s="48"/>
      <c r="K907" s="48"/>
      <c r="L907" s="48"/>
      <c r="M907" s="49"/>
      <c r="N907" s="49"/>
      <c r="O907" s="49"/>
      <c r="P907" s="49"/>
      <c r="Q907" s="49"/>
      <c r="R907" s="49"/>
      <c r="S907" s="50"/>
      <c r="T907" s="50"/>
      <c r="U907" s="50"/>
      <c r="V907" s="51"/>
      <c r="W907" s="51"/>
      <c r="X907" s="51"/>
      <c r="Y907" s="51"/>
    </row>
    <row r="908" customFormat="false" ht="12.75" hidden="false" customHeight="true" outlineLevel="0" collapsed="false">
      <c r="A908" s="45"/>
      <c r="B908" s="46"/>
      <c r="C908" s="46"/>
      <c r="D908" s="46"/>
      <c r="E908" s="46"/>
      <c r="F908" s="47"/>
      <c r="G908" s="48"/>
      <c r="H908" s="48"/>
      <c r="I908" s="48"/>
      <c r="J908" s="48"/>
      <c r="K908" s="48"/>
      <c r="L908" s="48"/>
      <c r="M908" s="49"/>
      <c r="N908" s="49"/>
      <c r="O908" s="49"/>
      <c r="P908" s="49"/>
      <c r="Q908" s="49"/>
      <c r="R908" s="49"/>
      <c r="S908" s="50"/>
      <c r="T908" s="50"/>
      <c r="U908" s="50"/>
      <c r="V908" s="51"/>
      <c r="W908" s="51"/>
      <c r="X908" s="51"/>
      <c r="Y908" s="51"/>
    </row>
    <row r="909" customFormat="false" ht="12.75" hidden="false" customHeight="true" outlineLevel="0" collapsed="false">
      <c r="A909" s="45"/>
      <c r="B909" s="46"/>
      <c r="C909" s="46"/>
      <c r="D909" s="46"/>
      <c r="E909" s="46"/>
      <c r="F909" s="47"/>
      <c r="G909" s="48"/>
      <c r="H909" s="48"/>
      <c r="I909" s="48"/>
      <c r="J909" s="48"/>
      <c r="K909" s="48"/>
      <c r="L909" s="48"/>
      <c r="M909" s="49"/>
      <c r="N909" s="49"/>
      <c r="O909" s="49"/>
      <c r="P909" s="49"/>
      <c r="Q909" s="49"/>
      <c r="R909" s="49"/>
      <c r="S909" s="50"/>
      <c r="T909" s="50"/>
      <c r="U909" s="50"/>
      <c r="V909" s="51"/>
      <c r="W909" s="51"/>
      <c r="X909" s="51"/>
      <c r="Y909" s="51"/>
    </row>
    <row r="910" customFormat="false" ht="12.75" hidden="false" customHeight="true" outlineLevel="0" collapsed="false">
      <c r="A910" s="45"/>
      <c r="B910" s="46"/>
      <c r="C910" s="46"/>
      <c r="D910" s="46"/>
      <c r="E910" s="46"/>
      <c r="F910" s="47"/>
      <c r="G910" s="48"/>
      <c r="H910" s="48"/>
      <c r="I910" s="48"/>
      <c r="J910" s="48"/>
      <c r="K910" s="48"/>
      <c r="L910" s="48"/>
      <c r="M910" s="49"/>
      <c r="N910" s="49"/>
      <c r="O910" s="49"/>
      <c r="P910" s="49"/>
      <c r="Q910" s="49"/>
      <c r="R910" s="49"/>
      <c r="S910" s="50"/>
      <c r="T910" s="50"/>
      <c r="U910" s="50"/>
      <c r="V910" s="51"/>
      <c r="W910" s="51"/>
      <c r="X910" s="51"/>
      <c r="Y910" s="51"/>
    </row>
    <row r="911" customFormat="false" ht="12.75" hidden="false" customHeight="true" outlineLevel="0" collapsed="false">
      <c r="A911" s="45"/>
      <c r="B911" s="46"/>
      <c r="C911" s="46"/>
      <c r="D911" s="46"/>
      <c r="E911" s="46"/>
      <c r="F911" s="47"/>
      <c r="G911" s="48"/>
      <c r="H911" s="48"/>
      <c r="I911" s="48"/>
      <c r="J911" s="48"/>
      <c r="K911" s="48"/>
      <c r="L911" s="48"/>
      <c r="M911" s="49"/>
      <c r="N911" s="49"/>
      <c r="O911" s="49"/>
      <c r="P911" s="49"/>
      <c r="Q911" s="49"/>
      <c r="R911" s="49"/>
      <c r="S911" s="50"/>
      <c r="T911" s="50"/>
      <c r="U911" s="50"/>
      <c r="V911" s="51"/>
      <c r="W911" s="51"/>
      <c r="X911" s="51"/>
      <c r="Y911" s="51"/>
    </row>
    <row r="912" customFormat="false" ht="12.75" hidden="false" customHeight="true" outlineLevel="0" collapsed="false">
      <c r="A912" s="45"/>
      <c r="B912" s="46"/>
      <c r="C912" s="46"/>
      <c r="D912" s="46"/>
      <c r="E912" s="46"/>
      <c r="F912" s="47"/>
      <c r="G912" s="48"/>
      <c r="H912" s="48"/>
      <c r="I912" s="48"/>
      <c r="J912" s="48"/>
      <c r="K912" s="48"/>
      <c r="L912" s="48"/>
      <c r="M912" s="49"/>
      <c r="N912" s="49"/>
      <c r="O912" s="49"/>
      <c r="P912" s="49"/>
      <c r="Q912" s="49"/>
      <c r="R912" s="49"/>
      <c r="S912" s="50"/>
      <c r="T912" s="50"/>
      <c r="U912" s="50"/>
      <c r="V912" s="51"/>
      <c r="W912" s="51"/>
      <c r="X912" s="51"/>
      <c r="Y912" s="51"/>
    </row>
    <row r="913" customFormat="false" ht="12.75" hidden="false" customHeight="true" outlineLevel="0" collapsed="false">
      <c r="A913" s="45"/>
      <c r="B913" s="46"/>
      <c r="C913" s="46"/>
      <c r="D913" s="46"/>
      <c r="E913" s="46"/>
      <c r="F913" s="47"/>
      <c r="G913" s="48"/>
      <c r="H913" s="48"/>
      <c r="I913" s="48"/>
      <c r="J913" s="48"/>
      <c r="K913" s="48"/>
      <c r="L913" s="48"/>
      <c r="M913" s="49"/>
      <c r="N913" s="49"/>
      <c r="O913" s="49"/>
      <c r="P913" s="49"/>
      <c r="Q913" s="49"/>
      <c r="R913" s="49"/>
      <c r="S913" s="50"/>
      <c r="T913" s="50"/>
      <c r="U913" s="50"/>
      <c r="V913" s="51"/>
      <c r="W913" s="51"/>
      <c r="X913" s="51"/>
      <c r="Y913" s="51"/>
    </row>
    <row r="914" customFormat="false" ht="12.75" hidden="false" customHeight="true" outlineLevel="0" collapsed="false">
      <c r="A914" s="45"/>
      <c r="B914" s="46"/>
      <c r="C914" s="46"/>
      <c r="D914" s="46"/>
      <c r="E914" s="46"/>
      <c r="F914" s="47"/>
      <c r="G914" s="48"/>
      <c r="H914" s="48"/>
      <c r="I914" s="48"/>
      <c r="J914" s="48"/>
      <c r="K914" s="48"/>
      <c r="L914" s="48"/>
      <c r="M914" s="49"/>
      <c r="N914" s="49"/>
      <c r="O914" s="49"/>
      <c r="P914" s="49"/>
      <c r="Q914" s="49"/>
      <c r="R914" s="49"/>
      <c r="S914" s="50"/>
      <c r="T914" s="50"/>
      <c r="U914" s="50"/>
      <c r="V914" s="51"/>
      <c r="W914" s="51"/>
      <c r="X914" s="51"/>
      <c r="Y914" s="51"/>
    </row>
    <row r="915" customFormat="false" ht="12.75" hidden="false" customHeight="true" outlineLevel="0" collapsed="false">
      <c r="A915" s="45"/>
      <c r="B915" s="46"/>
      <c r="C915" s="46"/>
      <c r="D915" s="46"/>
      <c r="E915" s="46"/>
      <c r="F915" s="47"/>
      <c r="G915" s="48"/>
      <c r="H915" s="48"/>
      <c r="I915" s="48"/>
      <c r="J915" s="48"/>
      <c r="K915" s="48"/>
      <c r="L915" s="48"/>
      <c r="M915" s="49"/>
      <c r="N915" s="49"/>
      <c r="O915" s="49"/>
      <c r="P915" s="49"/>
      <c r="Q915" s="49"/>
      <c r="R915" s="49"/>
      <c r="S915" s="50"/>
      <c r="T915" s="50"/>
      <c r="U915" s="50"/>
      <c r="V915" s="51"/>
      <c r="W915" s="51"/>
      <c r="X915" s="51"/>
      <c r="Y915" s="51"/>
    </row>
    <row r="916" customFormat="false" ht="12.75" hidden="false" customHeight="true" outlineLevel="0" collapsed="false">
      <c r="A916" s="45"/>
      <c r="B916" s="46"/>
      <c r="C916" s="46"/>
      <c r="D916" s="46"/>
      <c r="E916" s="46"/>
      <c r="F916" s="47"/>
      <c r="G916" s="48"/>
      <c r="H916" s="48"/>
      <c r="I916" s="48"/>
      <c r="J916" s="48"/>
      <c r="K916" s="48"/>
      <c r="L916" s="48"/>
      <c r="M916" s="49"/>
      <c r="N916" s="49"/>
      <c r="O916" s="49"/>
      <c r="P916" s="49"/>
      <c r="Q916" s="49"/>
      <c r="R916" s="49"/>
      <c r="S916" s="50"/>
      <c r="T916" s="50"/>
      <c r="U916" s="50"/>
      <c r="V916" s="51"/>
      <c r="W916" s="51"/>
      <c r="X916" s="51"/>
      <c r="Y916" s="51"/>
    </row>
    <row r="917" customFormat="false" ht="12.75" hidden="false" customHeight="true" outlineLevel="0" collapsed="false">
      <c r="A917" s="45"/>
      <c r="B917" s="46"/>
      <c r="C917" s="46"/>
      <c r="D917" s="46"/>
      <c r="E917" s="46"/>
      <c r="F917" s="47"/>
      <c r="G917" s="48"/>
      <c r="H917" s="48"/>
      <c r="I917" s="48"/>
      <c r="J917" s="48"/>
      <c r="K917" s="48"/>
      <c r="L917" s="48"/>
      <c r="M917" s="49"/>
      <c r="N917" s="49"/>
      <c r="O917" s="49"/>
      <c r="P917" s="49"/>
      <c r="Q917" s="49"/>
      <c r="R917" s="49"/>
      <c r="S917" s="50"/>
      <c r="T917" s="50"/>
      <c r="U917" s="50"/>
      <c r="V917" s="51"/>
      <c r="W917" s="51"/>
      <c r="X917" s="51"/>
      <c r="Y917" s="51"/>
    </row>
    <row r="918" customFormat="false" ht="12.75" hidden="false" customHeight="true" outlineLevel="0" collapsed="false">
      <c r="A918" s="45"/>
      <c r="B918" s="46"/>
      <c r="C918" s="46"/>
      <c r="D918" s="46"/>
      <c r="E918" s="46"/>
      <c r="F918" s="47"/>
      <c r="G918" s="48"/>
      <c r="H918" s="48"/>
      <c r="I918" s="48"/>
      <c r="J918" s="48"/>
      <c r="K918" s="48"/>
      <c r="L918" s="48"/>
      <c r="M918" s="49"/>
      <c r="N918" s="49"/>
      <c r="O918" s="49"/>
      <c r="P918" s="49"/>
      <c r="Q918" s="49"/>
      <c r="R918" s="49"/>
      <c r="S918" s="50"/>
      <c r="T918" s="50"/>
      <c r="U918" s="50"/>
      <c r="V918" s="51"/>
      <c r="W918" s="51"/>
      <c r="X918" s="51"/>
      <c r="Y918" s="51"/>
    </row>
    <row r="919" customFormat="false" ht="12.75" hidden="false" customHeight="true" outlineLevel="0" collapsed="false">
      <c r="A919" s="45"/>
      <c r="B919" s="46"/>
      <c r="C919" s="46"/>
      <c r="D919" s="46"/>
      <c r="E919" s="46"/>
      <c r="F919" s="47"/>
      <c r="G919" s="48"/>
      <c r="H919" s="48"/>
      <c r="I919" s="48"/>
      <c r="J919" s="48"/>
      <c r="K919" s="48"/>
      <c r="L919" s="48"/>
      <c r="M919" s="49"/>
      <c r="N919" s="49"/>
      <c r="O919" s="49"/>
      <c r="P919" s="49"/>
      <c r="Q919" s="49"/>
      <c r="R919" s="49"/>
      <c r="S919" s="50"/>
      <c r="T919" s="50"/>
      <c r="U919" s="50"/>
      <c r="V919" s="51"/>
      <c r="W919" s="51"/>
      <c r="X919" s="51"/>
      <c r="Y919" s="51"/>
    </row>
    <row r="920" customFormat="false" ht="12.75" hidden="false" customHeight="true" outlineLevel="0" collapsed="false">
      <c r="A920" s="45"/>
      <c r="B920" s="46"/>
      <c r="C920" s="46"/>
      <c r="D920" s="46"/>
      <c r="E920" s="46"/>
      <c r="F920" s="47"/>
      <c r="G920" s="48"/>
      <c r="H920" s="48"/>
      <c r="I920" s="48"/>
      <c r="J920" s="48"/>
      <c r="K920" s="48"/>
      <c r="L920" s="48"/>
      <c r="M920" s="49"/>
      <c r="N920" s="49"/>
      <c r="O920" s="49"/>
      <c r="P920" s="49"/>
      <c r="Q920" s="49"/>
      <c r="R920" s="49"/>
      <c r="S920" s="50"/>
      <c r="T920" s="50"/>
      <c r="U920" s="50"/>
      <c r="V920" s="51"/>
      <c r="W920" s="51"/>
      <c r="X920" s="51"/>
      <c r="Y920" s="51"/>
    </row>
    <row r="921" customFormat="false" ht="12.75" hidden="false" customHeight="true" outlineLevel="0" collapsed="false">
      <c r="A921" s="45"/>
      <c r="B921" s="46"/>
      <c r="C921" s="46"/>
      <c r="D921" s="46"/>
      <c r="E921" s="46"/>
      <c r="F921" s="47"/>
      <c r="G921" s="48"/>
      <c r="H921" s="48"/>
      <c r="I921" s="48"/>
      <c r="J921" s="48"/>
      <c r="K921" s="48"/>
      <c r="L921" s="48"/>
      <c r="M921" s="49"/>
      <c r="N921" s="49"/>
      <c r="O921" s="49"/>
      <c r="P921" s="49"/>
      <c r="Q921" s="49"/>
      <c r="R921" s="49"/>
      <c r="S921" s="50"/>
      <c r="T921" s="50"/>
      <c r="U921" s="50"/>
      <c r="V921" s="51"/>
      <c r="W921" s="51"/>
      <c r="X921" s="51"/>
      <c r="Y921" s="51"/>
    </row>
    <row r="922" customFormat="false" ht="12.75" hidden="false" customHeight="true" outlineLevel="0" collapsed="false">
      <c r="A922" s="45"/>
      <c r="B922" s="46"/>
      <c r="C922" s="46"/>
      <c r="D922" s="46"/>
      <c r="E922" s="46"/>
      <c r="F922" s="47"/>
      <c r="G922" s="48"/>
      <c r="H922" s="48"/>
      <c r="I922" s="48"/>
      <c r="J922" s="48"/>
      <c r="K922" s="48"/>
      <c r="L922" s="48"/>
      <c r="M922" s="49"/>
      <c r="N922" s="49"/>
      <c r="O922" s="49"/>
      <c r="P922" s="49"/>
      <c r="Q922" s="49"/>
      <c r="R922" s="49"/>
      <c r="S922" s="50"/>
      <c r="T922" s="50"/>
      <c r="U922" s="50"/>
      <c r="V922" s="51"/>
      <c r="W922" s="51"/>
      <c r="X922" s="51"/>
      <c r="Y922" s="51"/>
    </row>
    <row r="923" customFormat="false" ht="12.75" hidden="false" customHeight="true" outlineLevel="0" collapsed="false">
      <c r="A923" s="45"/>
      <c r="B923" s="46"/>
      <c r="C923" s="46"/>
      <c r="D923" s="46"/>
      <c r="E923" s="46"/>
      <c r="F923" s="47"/>
      <c r="G923" s="48"/>
      <c r="H923" s="48"/>
      <c r="I923" s="48"/>
      <c r="J923" s="48"/>
      <c r="K923" s="48"/>
      <c r="L923" s="48"/>
      <c r="M923" s="49"/>
      <c r="N923" s="49"/>
      <c r="O923" s="49"/>
      <c r="P923" s="49"/>
      <c r="Q923" s="49"/>
      <c r="R923" s="49"/>
      <c r="S923" s="50"/>
      <c r="T923" s="50"/>
      <c r="U923" s="50"/>
      <c r="V923" s="51"/>
      <c r="W923" s="51"/>
      <c r="X923" s="51"/>
      <c r="Y923" s="51"/>
    </row>
    <row r="924" customFormat="false" ht="12.75" hidden="false" customHeight="true" outlineLevel="0" collapsed="false">
      <c r="A924" s="45"/>
      <c r="B924" s="46"/>
      <c r="C924" s="46"/>
      <c r="D924" s="46"/>
      <c r="E924" s="46"/>
      <c r="F924" s="47"/>
      <c r="G924" s="48"/>
      <c r="H924" s="48"/>
      <c r="I924" s="48"/>
      <c r="J924" s="48"/>
      <c r="K924" s="48"/>
      <c r="L924" s="48"/>
      <c r="M924" s="49"/>
      <c r="N924" s="49"/>
      <c r="O924" s="49"/>
      <c r="P924" s="49"/>
      <c r="Q924" s="49"/>
      <c r="R924" s="49"/>
      <c r="S924" s="50"/>
      <c r="T924" s="50"/>
      <c r="U924" s="50"/>
      <c r="V924" s="51"/>
      <c r="W924" s="51"/>
      <c r="X924" s="51"/>
      <c r="Y924" s="51"/>
    </row>
    <row r="925" customFormat="false" ht="12.75" hidden="false" customHeight="true" outlineLevel="0" collapsed="false">
      <c r="A925" s="45"/>
      <c r="B925" s="46"/>
      <c r="C925" s="46"/>
      <c r="D925" s="46"/>
      <c r="E925" s="46"/>
      <c r="F925" s="47"/>
      <c r="G925" s="48"/>
      <c r="H925" s="48"/>
      <c r="I925" s="48"/>
      <c r="J925" s="48"/>
      <c r="K925" s="48"/>
      <c r="L925" s="48"/>
      <c r="M925" s="49"/>
      <c r="N925" s="49"/>
      <c r="O925" s="49"/>
      <c r="P925" s="49"/>
      <c r="Q925" s="49"/>
      <c r="R925" s="49"/>
      <c r="S925" s="50"/>
      <c r="T925" s="50"/>
      <c r="U925" s="50"/>
      <c r="V925" s="51"/>
      <c r="W925" s="51"/>
      <c r="X925" s="51"/>
      <c r="Y925" s="51"/>
    </row>
    <row r="926" customFormat="false" ht="12.75" hidden="false" customHeight="true" outlineLevel="0" collapsed="false">
      <c r="A926" s="45"/>
      <c r="B926" s="46"/>
      <c r="C926" s="46"/>
      <c r="D926" s="46"/>
      <c r="E926" s="46"/>
      <c r="F926" s="47"/>
      <c r="G926" s="48"/>
      <c r="H926" s="48"/>
      <c r="I926" s="48"/>
      <c r="J926" s="48"/>
      <c r="K926" s="48"/>
      <c r="L926" s="48"/>
      <c r="M926" s="49"/>
      <c r="N926" s="49"/>
      <c r="O926" s="49"/>
      <c r="P926" s="49"/>
      <c r="Q926" s="49"/>
      <c r="R926" s="49"/>
      <c r="S926" s="50"/>
      <c r="T926" s="50"/>
      <c r="U926" s="50"/>
      <c r="V926" s="51"/>
      <c r="W926" s="51"/>
      <c r="X926" s="51"/>
      <c r="Y926" s="51"/>
    </row>
    <row r="927" customFormat="false" ht="12.75" hidden="false" customHeight="true" outlineLevel="0" collapsed="false">
      <c r="A927" s="45"/>
      <c r="B927" s="46"/>
      <c r="C927" s="46"/>
      <c r="D927" s="46"/>
      <c r="E927" s="46"/>
      <c r="F927" s="47"/>
      <c r="G927" s="48"/>
      <c r="H927" s="48"/>
      <c r="I927" s="48"/>
      <c r="J927" s="48"/>
      <c r="K927" s="48"/>
      <c r="L927" s="48"/>
      <c r="M927" s="49"/>
      <c r="N927" s="49"/>
      <c r="O927" s="49"/>
      <c r="P927" s="49"/>
      <c r="Q927" s="49"/>
      <c r="R927" s="49"/>
      <c r="S927" s="50"/>
      <c r="T927" s="50"/>
      <c r="U927" s="50"/>
      <c r="V927" s="51"/>
      <c r="W927" s="51"/>
      <c r="X927" s="51"/>
      <c r="Y927" s="51"/>
    </row>
    <row r="928" customFormat="false" ht="12.75" hidden="false" customHeight="true" outlineLevel="0" collapsed="false">
      <c r="A928" s="45"/>
      <c r="B928" s="46"/>
      <c r="C928" s="46"/>
      <c r="D928" s="46"/>
      <c r="E928" s="46"/>
      <c r="F928" s="47"/>
      <c r="G928" s="48"/>
      <c r="H928" s="48"/>
      <c r="I928" s="48"/>
      <c r="J928" s="48"/>
      <c r="K928" s="48"/>
      <c r="L928" s="48"/>
      <c r="M928" s="49"/>
      <c r="N928" s="49"/>
      <c r="O928" s="49"/>
      <c r="P928" s="49"/>
      <c r="Q928" s="49"/>
      <c r="R928" s="49"/>
      <c r="S928" s="50"/>
      <c r="T928" s="50"/>
      <c r="U928" s="50"/>
      <c r="V928" s="51"/>
      <c r="W928" s="51"/>
      <c r="X928" s="51"/>
      <c r="Y928" s="51"/>
    </row>
    <row r="929" customFormat="false" ht="12.75" hidden="false" customHeight="true" outlineLevel="0" collapsed="false">
      <c r="A929" s="45"/>
      <c r="B929" s="46"/>
      <c r="C929" s="46"/>
      <c r="D929" s="46"/>
      <c r="E929" s="46"/>
      <c r="F929" s="47"/>
      <c r="G929" s="48"/>
      <c r="H929" s="48"/>
      <c r="I929" s="48"/>
      <c r="J929" s="48"/>
      <c r="K929" s="48"/>
      <c r="L929" s="48"/>
      <c r="M929" s="49"/>
      <c r="N929" s="49"/>
      <c r="O929" s="49"/>
      <c r="P929" s="49"/>
      <c r="Q929" s="49"/>
      <c r="R929" s="49"/>
      <c r="S929" s="50"/>
      <c r="T929" s="50"/>
      <c r="U929" s="50"/>
      <c r="V929" s="51"/>
      <c r="W929" s="51"/>
      <c r="X929" s="51"/>
      <c r="Y929" s="51"/>
    </row>
    <row r="930" customFormat="false" ht="12.75" hidden="false" customHeight="true" outlineLevel="0" collapsed="false">
      <c r="A930" s="45"/>
      <c r="B930" s="46"/>
      <c r="C930" s="46"/>
      <c r="D930" s="46"/>
      <c r="E930" s="46"/>
      <c r="F930" s="47"/>
      <c r="G930" s="48"/>
      <c r="H930" s="48"/>
      <c r="I930" s="48"/>
      <c r="J930" s="48"/>
      <c r="K930" s="48"/>
      <c r="L930" s="48"/>
      <c r="M930" s="49"/>
      <c r="N930" s="49"/>
      <c r="O930" s="49"/>
      <c r="P930" s="49"/>
      <c r="Q930" s="49"/>
      <c r="R930" s="49"/>
      <c r="S930" s="50"/>
      <c r="T930" s="50"/>
      <c r="U930" s="50"/>
      <c r="V930" s="51"/>
      <c r="W930" s="51"/>
      <c r="X930" s="51"/>
      <c r="Y930" s="51"/>
    </row>
    <row r="931" customFormat="false" ht="12.75" hidden="false" customHeight="true" outlineLevel="0" collapsed="false">
      <c r="A931" s="45"/>
      <c r="B931" s="46"/>
      <c r="C931" s="46"/>
      <c r="D931" s="46"/>
      <c r="E931" s="46"/>
      <c r="F931" s="47"/>
      <c r="G931" s="48"/>
      <c r="H931" s="48"/>
      <c r="I931" s="48"/>
      <c r="J931" s="48"/>
      <c r="K931" s="48"/>
      <c r="L931" s="48"/>
      <c r="M931" s="49"/>
      <c r="N931" s="49"/>
      <c r="O931" s="49"/>
      <c r="P931" s="49"/>
      <c r="Q931" s="49"/>
      <c r="R931" s="49"/>
      <c r="S931" s="50"/>
      <c r="T931" s="50"/>
      <c r="U931" s="50"/>
      <c r="V931" s="51"/>
      <c r="W931" s="51"/>
      <c r="X931" s="51"/>
      <c r="Y931" s="51"/>
    </row>
    <row r="932" customFormat="false" ht="12.75" hidden="false" customHeight="true" outlineLevel="0" collapsed="false">
      <c r="A932" s="45"/>
      <c r="B932" s="46"/>
      <c r="C932" s="46"/>
      <c r="D932" s="46"/>
      <c r="E932" s="46"/>
      <c r="F932" s="47"/>
      <c r="G932" s="48"/>
      <c r="H932" s="48"/>
      <c r="I932" s="48"/>
      <c r="J932" s="48"/>
      <c r="K932" s="48"/>
      <c r="L932" s="48"/>
      <c r="M932" s="49"/>
      <c r="N932" s="49"/>
      <c r="O932" s="49"/>
      <c r="P932" s="49"/>
      <c r="Q932" s="49"/>
      <c r="R932" s="49"/>
      <c r="S932" s="50"/>
      <c r="T932" s="50"/>
      <c r="U932" s="50"/>
      <c r="V932" s="51"/>
      <c r="W932" s="51"/>
      <c r="X932" s="51"/>
      <c r="Y932" s="51"/>
    </row>
    <row r="933" customFormat="false" ht="12.75" hidden="false" customHeight="true" outlineLevel="0" collapsed="false">
      <c r="A933" s="45"/>
      <c r="B933" s="46"/>
      <c r="C933" s="46"/>
      <c r="D933" s="46"/>
      <c r="E933" s="46"/>
      <c r="F933" s="47"/>
      <c r="G933" s="48"/>
      <c r="H933" s="48"/>
      <c r="I933" s="48"/>
      <c r="J933" s="48"/>
      <c r="K933" s="48"/>
      <c r="L933" s="48"/>
      <c r="M933" s="49"/>
      <c r="N933" s="49"/>
      <c r="O933" s="49"/>
      <c r="P933" s="49"/>
      <c r="Q933" s="49"/>
      <c r="R933" s="49"/>
      <c r="S933" s="50"/>
      <c r="T933" s="50"/>
      <c r="U933" s="50"/>
      <c r="V933" s="51"/>
      <c r="W933" s="51"/>
      <c r="X933" s="51"/>
      <c r="Y933" s="51"/>
    </row>
    <row r="934" customFormat="false" ht="12.75" hidden="false" customHeight="true" outlineLevel="0" collapsed="false">
      <c r="A934" s="45"/>
      <c r="B934" s="46"/>
      <c r="C934" s="46"/>
      <c r="D934" s="46"/>
      <c r="E934" s="46"/>
      <c r="F934" s="47"/>
      <c r="G934" s="48"/>
      <c r="H934" s="48"/>
      <c r="I934" s="48"/>
      <c r="J934" s="48"/>
      <c r="K934" s="48"/>
      <c r="L934" s="48"/>
      <c r="M934" s="49"/>
      <c r="N934" s="49"/>
      <c r="O934" s="49"/>
      <c r="P934" s="49"/>
      <c r="Q934" s="49"/>
      <c r="R934" s="49"/>
      <c r="S934" s="50"/>
      <c r="T934" s="50"/>
      <c r="U934" s="50"/>
      <c r="V934" s="51"/>
      <c r="W934" s="51"/>
      <c r="X934" s="51"/>
      <c r="Y934" s="51"/>
    </row>
    <row r="935" customFormat="false" ht="12.75" hidden="false" customHeight="true" outlineLevel="0" collapsed="false">
      <c r="A935" s="45"/>
      <c r="B935" s="46"/>
      <c r="C935" s="46"/>
      <c r="D935" s="46"/>
      <c r="E935" s="46"/>
      <c r="F935" s="47"/>
      <c r="G935" s="48"/>
      <c r="H935" s="48"/>
      <c r="I935" s="48"/>
      <c r="J935" s="48"/>
      <c r="K935" s="48"/>
      <c r="L935" s="48"/>
      <c r="M935" s="49"/>
      <c r="N935" s="49"/>
      <c r="O935" s="49"/>
      <c r="P935" s="49"/>
      <c r="Q935" s="49"/>
      <c r="R935" s="49"/>
      <c r="S935" s="50"/>
      <c r="T935" s="50"/>
      <c r="U935" s="50"/>
      <c r="V935" s="51"/>
      <c r="W935" s="51"/>
      <c r="X935" s="51"/>
      <c r="Y935" s="51"/>
    </row>
    <row r="936" customFormat="false" ht="12.75" hidden="false" customHeight="true" outlineLevel="0" collapsed="false">
      <c r="A936" s="45"/>
      <c r="B936" s="46"/>
      <c r="C936" s="46"/>
      <c r="D936" s="46"/>
      <c r="E936" s="46"/>
      <c r="F936" s="47"/>
      <c r="G936" s="48"/>
      <c r="H936" s="48"/>
      <c r="I936" s="48"/>
      <c r="J936" s="48"/>
      <c r="K936" s="48"/>
      <c r="L936" s="48"/>
      <c r="M936" s="49"/>
      <c r="N936" s="49"/>
      <c r="O936" s="49"/>
      <c r="P936" s="49"/>
      <c r="Q936" s="49"/>
      <c r="R936" s="49"/>
      <c r="S936" s="50"/>
      <c r="T936" s="50"/>
      <c r="U936" s="50"/>
      <c r="V936" s="51"/>
      <c r="W936" s="51"/>
      <c r="X936" s="51"/>
      <c r="Y936" s="51"/>
    </row>
    <row r="937" customFormat="false" ht="12.75" hidden="false" customHeight="true" outlineLevel="0" collapsed="false">
      <c r="A937" s="45"/>
      <c r="B937" s="46"/>
      <c r="C937" s="46"/>
      <c r="D937" s="46"/>
      <c r="E937" s="46"/>
      <c r="F937" s="47"/>
      <c r="G937" s="48"/>
      <c r="H937" s="48"/>
      <c r="I937" s="48"/>
      <c r="J937" s="48"/>
      <c r="K937" s="48"/>
      <c r="L937" s="48"/>
      <c r="M937" s="49"/>
      <c r="N937" s="49"/>
      <c r="O937" s="49"/>
      <c r="P937" s="49"/>
      <c r="Q937" s="49"/>
      <c r="R937" s="49"/>
      <c r="S937" s="50"/>
      <c r="T937" s="50"/>
      <c r="U937" s="50"/>
      <c r="V937" s="51"/>
      <c r="W937" s="51"/>
      <c r="X937" s="51"/>
      <c r="Y937" s="51"/>
    </row>
    <row r="938" customFormat="false" ht="12.75" hidden="false" customHeight="true" outlineLevel="0" collapsed="false">
      <c r="A938" s="45"/>
      <c r="B938" s="46"/>
      <c r="C938" s="46"/>
      <c r="D938" s="46"/>
      <c r="E938" s="46"/>
      <c r="F938" s="47"/>
      <c r="G938" s="48"/>
      <c r="H938" s="48"/>
      <c r="I938" s="48"/>
      <c r="J938" s="48"/>
      <c r="K938" s="48"/>
      <c r="L938" s="48"/>
      <c r="M938" s="49"/>
      <c r="N938" s="49"/>
      <c r="O938" s="49"/>
      <c r="P938" s="49"/>
      <c r="Q938" s="49"/>
      <c r="R938" s="49"/>
      <c r="S938" s="50"/>
      <c r="T938" s="50"/>
      <c r="U938" s="50"/>
      <c r="V938" s="51"/>
      <c r="W938" s="51"/>
      <c r="X938" s="51"/>
      <c r="Y938" s="51"/>
    </row>
    <row r="939" customFormat="false" ht="12.75" hidden="false" customHeight="true" outlineLevel="0" collapsed="false">
      <c r="A939" s="45"/>
      <c r="B939" s="46"/>
      <c r="C939" s="46"/>
      <c r="D939" s="46"/>
      <c r="E939" s="46"/>
      <c r="F939" s="47"/>
      <c r="G939" s="48"/>
      <c r="H939" s="48"/>
      <c r="I939" s="48"/>
      <c r="J939" s="48"/>
      <c r="K939" s="48"/>
      <c r="L939" s="48"/>
      <c r="M939" s="49"/>
      <c r="N939" s="49"/>
      <c r="O939" s="49"/>
      <c r="P939" s="49"/>
      <c r="Q939" s="49"/>
      <c r="R939" s="49"/>
      <c r="S939" s="50"/>
      <c r="T939" s="50"/>
      <c r="U939" s="50"/>
      <c r="V939" s="51"/>
      <c r="W939" s="51"/>
      <c r="X939" s="51"/>
      <c r="Y939" s="51"/>
    </row>
    <row r="940" customFormat="false" ht="12.75" hidden="false" customHeight="true" outlineLevel="0" collapsed="false">
      <c r="A940" s="45"/>
      <c r="B940" s="46"/>
      <c r="C940" s="46"/>
      <c r="D940" s="46"/>
      <c r="E940" s="46"/>
      <c r="F940" s="47"/>
      <c r="G940" s="48"/>
      <c r="H940" s="48"/>
      <c r="I940" s="48"/>
      <c r="J940" s="48"/>
      <c r="K940" s="48"/>
      <c r="L940" s="48"/>
      <c r="M940" s="49"/>
      <c r="N940" s="49"/>
      <c r="O940" s="49"/>
      <c r="P940" s="49"/>
      <c r="Q940" s="49"/>
      <c r="R940" s="49"/>
      <c r="S940" s="50"/>
      <c r="T940" s="50"/>
      <c r="U940" s="50"/>
      <c r="V940" s="51"/>
      <c r="W940" s="51"/>
      <c r="X940" s="51"/>
      <c r="Y940" s="51"/>
    </row>
    <row r="941" customFormat="false" ht="12.75" hidden="false" customHeight="true" outlineLevel="0" collapsed="false">
      <c r="A941" s="45"/>
      <c r="B941" s="46"/>
      <c r="C941" s="46"/>
      <c r="D941" s="46"/>
      <c r="E941" s="46"/>
      <c r="F941" s="47"/>
      <c r="G941" s="48"/>
      <c r="H941" s="48"/>
      <c r="I941" s="48"/>
      <c r="J941" s="48"/>
      <c r="K941" s="48"/>
      <c r="L941" s="48"/>
      <c r="M941" s="49"/>
      <c r="N941" s="49"/>
      <c r="O941" s="49"/>
      <c r="P941" s="49"/>
      <c r="Q941" s="49"/>
      <c r="R941" s="49"/>
      <c r="S941" s="50"/>
      <c r="T941" s="50"/>
      <c r="U941" s="50"/>
      <c r="V941" s="51"/>
      <c r="W941" s="51"/>
      <c r="X941" s="51"/>
      <c r="Y941" s="51"/>
    </row>
    <row r="942" customFormat="false" ht="12.75" hidden="false" customHeight="true" outlineLevel="0" collapsed="false">
      <c r="A942" s="45"/>
      <c r="B942" s="46"/>
      <c r="C942" s="46"/>
      <c r="D942" s="46"/>
      <c r="E942" s="46"/>
      <c r="F942" s="47"/>
      <c r="G942" s="48"/>
      <c r="H942" s="48"/>
      <c r="I942" s="48"/>
      <c r="J942" s="48"/>
      <c r="K942" s="48"/>
      <c r="L942" s="48"/>
      <c r="M942" s="49"/>
      <c r="N942" s="49"/>
      <c r="O942" s="49"/>
      <c r="P942" s="49"/>
      <c r="Q942" s="49"/>
      <c r="R942" s="49"/>
      <c r="S942" s="50"/>
      <c r="T942" s="50"/>
      <c r="U942" s="50"/>
      <c r="V942" s="51"/>
      <c r="W942" s="51"/>
      <c r="X942" s="51"/>
      <c r="Y942" s="51"/>
    </row>
    <row r="943" customFormat="false" ht="12.75" hidden="false" customHeight="true" outlineLevel="0" collapsed="false">
      <c r="A943" s="45"/>
      <c r="B943" s="46"/>
      <c r="C943" s="46"/>
      <c r="D943" s="46"/>
      <c r="E943" s="46"/>
      <c r="F943" s="47"/>
      <c r="G943" s="48"/>
      <c r="H943" s="48"/>
      <c r="I943" s="48"/>
      <c r="J943" s="48"/>
      <c r="K943" s="48"/>
      <c r="L943" s="48"/>
      <c r="M943" s="49"/>
      <c r="N943" s="49"/>
      <c r="O943" s="49"/>
      <c r="P943" s="49"/>
      <c r="Q943" s="49"/>
      <c r="R943" s="49"/>
      <c r="S943" s="50"/>
      <c r="T943" s="50"/>
      <c r="U943" s="50"/>
      <c r="V943" s="51"/>
      <c r="W943" s="51"/>
      <c r="X943" s="51"/>
      <c r="Y943" s="51"/>
    </row>
    <row r="944" customFormat="false" ht="12.75" hidden="false" customHeight="true" outlineLevel="0" collapsed="false">
      <c r="A944" s="45"/>
      <c r="B944" s="46"/>
      <c r="C944" s="46"/>
      <c r="D944" s="46"/>
      <c r="E944" s="46"/>
      <c r="F944" s="47"/>
      <c r="G944" s="48"/>
      <c r="H944" s="48"/>
      <c r="I944" s="48"/>
      <c r="J944" s="48"/>
      <c r="K944" s="48"/>
      <c r="L944" s="48"/>
      <c r="M944" s="49"/>
      <c r="N944" s="49"/>
      <c r="O944" s="49"/>
      <c r="P944" s="49"/>
      <c r="Q944" s="49"/>
      <c r="R944" s="49"/>
      <c r="S944" s="50"/>
      <c r="T944" s="50"/>
      <c r="U944" s="50"/>
      <c r="V944" s="51"/>
      <c r="W944" s="51"/>
      <c r="X944" s="51"/>
      <c r="Y944" s="51"/>
    </row>
    <row r="945" customFormat="false" ht="12.75" hidden="false" customHeight="true" outlineLevel="0" collapsed="false">
      <c r="A945" s="45"/>
      <c r="B945" s="46"/>
      <c r="C945" s="46"/>
      <c r="D945" s="46"/>
      <c r="E945" s="46"/>
      <c r="F945" s="47"/>
      <c r="G945" s="48"/>
      <c r="H945" s="48"/>
      <c r="I945" s="48"/>
      <c r="J945" s="48"/>
      <c r="K945" s="48"/>
      <c r="L945" s="48"/>
      <c r="M945" s="49"/>
      <c r="N945" s="49"/>
      <c r="O945" s="49"/>
      <c r="P945" s="49"/>
      <c r="Q945" s="49"/>
      <c r="R945" s="49"/>
      <c r="S945" s="50"/>
      <c r="T945" s="50"/>
      <c r="U945" s="50"/>
      <c r="V945" s="51"/>
      <c r="W945" s="51"/>
      <c r="X945" s="51"/>
      <c r="Y945" s="51"/>
    </row>
    <row r="946" customFormat="false" ht="12.75" hidden="false" customHeight="true" outlineLevel="0" collapsed="false">
      <c r="A946" s="45"/>
      <c r="B946" s="46"/>
      <c r="C946" s="46"/>
      <c r="D946" s="46"/>
      <c r="E946" s="46"/>
      <c r="F946" s="47"/>
      <c r="G946" s="48"/>
      <c r="H946" s="48"/>
      <c r="I946" s="48"/>
      <c r="J946" s="48"/>
      <c r="K946" s="48"/>
      <c r="L946" s="48"/>
      <c r="M946" s="49"/>
      <c r="N946" s="49"/>
      <c r="O946" s="49"/>
      <c r="P946" s="49"/>
      <c r="Q946" s="49"/>
      <c r="R946" s="49"/>
      <c r="S946" s="50"/>
      <c r="T946" s="50"/>
      <c r="U946" s="50"/>
      <c r="V946" s="51"/>
      <c r="W946" s="51"/>
      <c r="X946" s="51"/>
      <c r="Y946" s="51"/>
    </row>
    <row r="947" customFormat="false" ht="12.75" hidden="false" customHeight="true" outlineLevel="0" collapsed="false">
      <c r="A947" s="45"/>
      <c r="B947" s="46"/>
      <c r="C947" s="46"/>
      <c r="D947" s="46"/>
      <c r="E947" s="46"/>
      <c r="F947" s="47"/>
      <c r="G947" s="48"/>
      <c r="H947" s="48"/>
      <c r="I947" s="48"/>
      <c r="J947" s="48"/>
      <c r="K947" s="48"/>
      <c r="L947" s="48"/>
      <c r="M947" s="49"/>
      <c r="N947" s="49"/>
      <c r="O947" s="49"/>
      <c r="P947" s="49"/>
      <c r="Q947" s="49"/>
      <c r="R947" s="49"/>
      <c r="S947" s="50"/>
      <c r="T947" s="50"/>
      <c r="U947" s="50"/>
      <c r="V947" s="51"/>
      <c r="W947" s="51"/>
      <c r="X947" s="51"/>
      <c r="Y947" s="51"/>
    </row>
    <row r="948" customFormat="false" ht="12.75" hidden="false" customHeight="true" outlineLevel="0" collapsed="false">
      <c r="A948" s="45"/>
      <c r="B948" s="46"/>
      <c r="C948" s="46"/>
      <c r="D948" s="46"/>
      <c r="E948" s="46"/>
      <c r="F948" s="47"/>
      <c r="G948" s="48"/>
      <c r="H948" s="48"/>
      <c r="I948" s="48"/>
      <c r="J948" s="48"/>
      <c r="K948" s="48"/>
      <c r="L948" s="48"/>
      <c r="M948" s="49"/>
      <c r="N948" s="49"/>
      <c r="O948" s="49"/>
      <c r="P948" s="49"/>
      <c r="Q948" s="49"/>
      <c r="R948" s="49"/>
      <c r="S948" s="50"/>
      <c r="T948" s="50"/>
      <c r="U948" s="50"/>
      <c r="V948" s="51"/>
      <c r="W948" s="51"/>
      <c r="X948" s="51"/>
      <c r="Y948" s="51"/>
    </row>
    <row r="949" customFormat="false" ht="12.75" hidden="false" customHeight="true" outlineLevel="0" collapsed="false">
      <c r="A949" s="45"/>
      <c r="B949" s="46"/>
      <c r="C949" s="46"/>
      <c r="D949" s="46"/>
      <c r="E949" s="46"/>
      <c r="F949" s="47"/>
      <c r="G949" s="48"/>
      <c r="H949" s="48"/>
      <c r="I949" s="48"/>
      <c r="J949" s="48"/>
      <c r="K949" s="48"/>
      <c r="L949" s="48"/>
      <c r="M949" s="49"/>
      <c r="N949" s="49"/>
      <c r="O949" s="49"/>
      <c r="P949" s="49"/>
      <c r="Q949" s="49"/>
      <c r="R949" s="49"/>
      <c r="S949" s="50"/>
      <c r="T949" s="50"/>
      <c r="U949" s="50"/>
      <c r="V949" s="51"/>
      <c r="W949" s="51"/>
      <c r="X949" s="51"/>
      <c r="Y949" s="51"/>
    </row>
    <row r="950" customFormat="false" ht="12.75" hidden="false" customHeight="true" outlineLevel="0" collapsed="false">
      <c r="A950" s="45"/>
      <c r="B950" s="46"/>
      <c r="C950" s="46"/>
      <c r="D950" s="46"/>
      <c r="E950" s="46"/>
      <c r="F950" s="47"/>
      <c r="G950" s="48"/>
      <c r="H950" s="48"/>
      <c r="I950" s="48"/>
      <c r="J950" s="48"/>
      <c r="K950" s="48"/>
      <c r="L950" s="48"/>
      <c r="M950" s="49"/>
      <c r="N950" s="49"/>
      <c r="O950" s="49"/>
      <c r="P950" s="49"/>
      <c r="Q950" s="49"/>
      <c r="R950" s="49"/>
      <c r="S950" s="50"/>
      <c r="T950" s="50"/>
      <c r="U950" s="50"/>
      <c r="V950" s="51"/>
      <c r="W950" s="51"/>
      <c r="X950" s="51"/>
      <c r="Y950" s="51"/>
    </row>
    <row r="951" customFormat="false" ht="12.75" hidden="false" customHeight="true" outlineLevel="0" collapsed="false">
      <c r="A951" s="45"/>
      <c r="B951" s="46"/>
      <c r="C951" s="46"/>
      <c r="D951" s="46"/>
      <c r="E951" s="46"/>
      <c r="F951" s="47"/>
      <c r="G951" s="48"/>
      <c r="H951" s="48"/>
      <c r="I951" s="48"/>
      <c r="J951" s="48"/>
      <c r="K951" s="48"/>
      <c r="L951" s="48"/>
      <c r="M951" s="49"/>
      <c r="N951" s="49"/>
      <c r="O951" s="49"/>
      <c r="P951" s="49"/>
      <c r="Q951" s="49"/>
      <c r="R951" s="49"/>
      <c r="S951" s="50"/>
      <c r="T951" s="50"/>
      <c r="U951" s="50"/>
      <c r="V951" s="51"/>
      <c r="W951" s="51"/>
      <c r="X951" s="51"/>
      <c r="Y951" s="51"/>
    </row>
    <row r="952" customFormat="false" ht="12.75" hidden="false" customHeight="true" outlineLevel="0" collapsed="false">
      <c r="A952" s="45"/>
      <c r="B952" s="46"/>
      <c r="C952" s="46"/>
      <c r="D952" s="46"/>
      <c r="E952" s="46"/>
      <c r="F952" s="47"/>
      <c r="G952" s="48"/>
      <c r="H952" s="48"/>
      <c r="I952" s="48"/>
      <c r="J952" s="48"/>
      <c r="K952" s="48"/>
      <c r="L952" s="48"/>
      <c r="M952" s="49"/>
      <c r="N952" s="49"/>
      <c r="O952" s="49"/>
      <c r="P952" s="49"/>
      <c r="Q952" s="49"/>
      <c r="R952" s="49"/>
      <c r="S952" s="50"/>
      <c r="T952" s="50"/>
      <c r="U952" s="50"/>
      <c r="V952" s="51"/>
      <c r="W952" s="51"/>
      <c r="X952" s="51"/>
      <c r="Y952" s="51"/>
    </row>
    <row r="953" customFormat="false" ht="12.75" hidden="false" customHeight="true" outlineLevel="0" collapsed="false">
      <c r="A953" s="45"/>
      <c r="B953" s="46"/>
      <c r="C953" s="46"/>
      <c r="D953" s="46"/>
      <c r="E953" s="46"/>
      <c r="F953" s="47"/>
      <c r="G953" s="48"/>
      <c r="H953" s="48"/>
      <c r="I953" s="48"/>
      <c r="J953" s="48"/>
      <c r="K953" s="48"/>
      <c r="L953" s="48"/>
      <c r="M953" s="49"/>
      <c r="N953" s="49"/>
      <c r="O953" s="49"/>
      <c r="P953" s="49"/>
      <c r="Q953" s="49"/>
      <c r="R953" s="49"/>
      <c r="S953" s="50"/>
      <c r="T953" s="50"/>
      <c r="U953" s="50"/>
      <c r="V953" s="51"/>
      <c r="W953" s="51"/>
      <c r="X953" s="51"/>
      <c r="Y953" s="51"/>
    </row>
    <row r="954" customFormat="false" ht="12.75" hidden="false" customHeight="true" outlineLevel="0" collapsed="false">
      <c r="A954" s="45"/>
      <c r="B954" s="46"/>
      <c r="C954" s="46"/>
      <c r="D954" s="46"/>
      <c r="E954" s="46"/>
      <c r="F954" s="47"/>
      <c r="G954" s="48"/>
      <c r="H954" s="48"/>
      <c r="I954" s="48"/>
      <c r="J954" s="48"/>
      <c r="K954" s="48"/>
      <c r="L954" s="48"/>
      <c r="M954" s="49"/>
      <c r="N954" s="49"/>
      <c r="O954" s="49"/>
      <c r="P954" s="49"/>
      <c r="Q954" s="49"/>
      <c r="R954" s="49"/>
      <c r="S954" s="50"/>
      <c r="T954" s="50"/>
      <c r="U954" s="50"/>
      <c r="V954" s="51"/>
      <c r="W954" s="51"/>
      <c r="X954" s="51"/>
      <c r="Y954" s="51"/>
    </row>
    <row r="955" customFormat="false" ht="12.75" hidden="false" customHeight="true" outlineLevel="0" collapsed="false">
      <c r="A955" s="45"/>
      <c r="B955" s="46"/>
      <c r="C955" s="46"/>
      <c r="D955" s="46"/>
      <c r="E955" s="46"/>
      <c r="F955" s="47"/>
      <c r="G955" s="48"/>
      <c r="H955" s="48"/>
      <c r="I955" s="48"/>
      <c r="J955" s="48"/>
      <c r="K955" s="48"/>
      <c r="L955" s="48"/>
      <c r="M955" s="49"/>
      <c r="N955" s="49"/>
      <c r="O955" s="49"/>
      <c r="P955" s="49"/>
      <c r="Q955" s="49"/>
      <c r="R955" s="49"/>
      <c r="S955" s="50"/>
      <c r="T955" s="50"/>
      <c r="U955" s="50"/>
      <c r="V955" s="51"/>
      <c r="W955" s="51"/>
      <c r="X955" s="51"/>
      <c r="Y955" s="51"/>
    </row>
    <row r="956" customFormat="false" ht="12.75" hidden="false" customHeight="true" outlineLevel="0" collapsed="false">
      <c r="A956" s="45"/>
      <c r="B956" s="46"/>
      <c r="C956" s="46"/>
      <c r="D956" s="46"/>
      <c r="E956" s="46"/>
      <c r="F956" s="47"/>
      <c r="G956" s="48"/>
      <c r="H956" s="48"/>
      <c r="I956" s="48"/>
      <c r="J956" s="48"/>
      <c r="K956" s="48"/>
      <c r="L956" s="48"/>
      <c r="M956" s="49"/>
      <c r="N956" s="49"/>
      <c r="O956" s="49"/>
      <c r="P956" s="49"/>
      <c r="Q956" s="49"/>
      <c r="R956" s="49"/>
      <c r="S956" s="50"/>
      <c r="T956" s="50"/>
      <c r="U956" s="50"/>
      <c r="V956" s="51"/>
      <c r="W956" s="51"/>
      <c r="X956" s="51"/>
      <c r="Y956" s="51"/>
    </row>
    <row r="957" customFormat="false" ht="12.75" hidden="false" customHeight="true" outlineLevel="0" collapsed="false">
      <c r="A957" s="45"/>
      <c r="B957" s="46"/>
      <c r="C957" s="46"/>
      <c r="D957" s="46"/>
      <c r="E957" s="46"/>
      <c r="F957" s="47"/>
      <c r="G957" s="48"/>
      <c r="H957" s="48"/>
      <c r="I957" s="48"/>
      <c r="J957" s="48"/>
      <c r="K957" s="48"/>
      <c r="L957" s="48"/>
      <c r="M957" s="49"/>
      <c r="N957" s="49"/>
      <c r="O957" s="49"/>
      <c r="P957" s="49"/>
      <c r="Q957" s="49"/>
      <c r="R957" s="49"/>
      <c r="S957" s="50"/>
      <c r="T957" s="50"/>
      <c r="U957" s="50"/>
      <c r="V957" s="51"/>
      <c r="W957" s="51"/>
      <c r="X957" s="51"/>
      <c r="Y957" s="51"/>
    </row>
    <row r="958" customFormat="false" ht="12.75" hidden="false" customHeight="true" outlineLevel="0" collapsed="false">
      <c r="A958" s="45"/>
      <c r="B958" s="46"/>
      <c r="C958" s="46"/>
      <c r="D958" s="46"/>
      <c r="E958" s="46"/>
      <c r="F958" s="47"/>
      <c r="G958" s="48"/>
      <c r="H958" s="48"/>
      <c r="I958" s="48"/>
      <c r="J958" s="48"/>
      <c r="K958" s="48"/>
      <c r="L958" s="48"/>
      <c r="M958" s="49"/>
      <c r="N958" s="49"/>
      <c r="O958" s="49"/>
      <c r="P958" s="49"/>
      <c r="Q958" s="49"/>
      <c r="R958" s="49"/>
      <c r="S958" s="50"/>
      <c r="T958" s="50"/>
      <c r="U958" s="50"/>
      <c r="V958" s="51"/>
      <c r="W958" s="51"/>
      <c r="X958" s="51"/>
      <c r="Y958" s="51"/>
    </row>
    <row r="959" customFormat="false" ht="12.75" hidden="false" customHeight="true" outlineLevel="0" collapsed="false">
      <c r="A959" s="45"/>
      <c r="B959" s="46"/>
      <c r="C959" s="46"/>
      <c r="D959" s="46"/>
      <c r="E959" s="46"/>
      <c r="F959" s="47"/>
      <c r="G959" s="48"/>
      <c r="H959" s="48"/>
      <c r="I959" s="48"/>
      <c r="J959" s="48"/>
      <c r="K959" s="48"/>
      <c r="L959" s="48"/>
      <c r="M959" s="49"/>
      <c r="N959" s="49"/>
      <c r="O959" s="49"/>
      <c r="P959" s="49"/>
      <c r="Q959" s="49"/>
      <c r="R959" s="49"/>
      <c r="S959" s="50"/>
      <c r="T959" s="50"/>
      <c r="U959" s="50"/>
      <c r="V959" s="51"/>
      <c r="W959" s="51"/>
      <c r="X959" s="51"/>
      <c r="Y959" s="51"/>
    </row>
    <row r="960" customFormat="false" ht="12.75" hidden="false" customHeight="true" outlineLevel="0" collapsed="false">
      <c r="A960" s="45"/>
      <c r="B960" s="46"/>
      <c r="C960" s="46"/>
      <c r="D960" s="46"/>
      <c r="E960" s="46"/>
      <c r="F960" s="47"/>
      <c r="G960" s="48"/>
      <c r="H960" s="48"/>
      <c r="I960" s="48"/>
      <c r="J960" s="48"/>
      <c r="K960" s="48"/>
      <c r="L960" s="48"/>
      <c r="M960" s="49"/>
      <c r="N960" s="49"/>
      <c r="O960" s="49"/>
      <c r="P960" s="49"/>
      <c r="Q960" s="49"/>
      <c r="R960" s="49"/>
      <c r="S960" s="50"/>
      <c r="T960" s="50"/>
      <c r="U960" s="50"/>
      <c r="V960" s="51"/>
      <c r="W960" s="51"/>
      <c r="X960" s="51"/>
      <c r="Y960" s="51"/>
    </row>
    <row r="961" customFormat="false" ht="12.75" hidden="false" customHeight="true" outlineLevel="0" collapsed="false">
      <c r="A961" s="45"/>
      <c r="B961" s="46"/>
      <c r="C961" s="46"/>
      <c r="D961" s="46"/>
      <c r="E961" s="46"/>
      <c r="F961" s="47"/>
      <c r="G961" s="48"/>
      <c r="H961" s="48"/>
      <c r="I961" s="48"/>
      <c r="J961" s="48"/>
      <c r="K961" s="48"/>
      <c r="L961" s="48"/>
      <c r="M961" s="49"/>
      <c r="N961" s="49"/>
      <c r="O961" s="49"/>
      <c r="P961" s="49"/>
      <c r="Q961" s="49"/>
      <c r="R961" s="49"/>
      <c r="S961" s="50"/>
      <c r="T961" s="50"/>
      <c r="U961" s="50"/>
      <c r="V961" s="51"/>
      <c r="W961" s="51"/>
      <c r="X961" s="51"/>
      <c r="Y961" s="51"/>
    </row>
    <row r="962" customFormat="false" ht="12.75" hidden="false" customHeight="true" outlineLevel="0" collapsed="false">
      <c r="A962" s="45"/>
      <c r="B962" s="46"/>
      <c r="C962" s="46"/>
      <c r="D962" s="46"/>
      <c r="E962" s="46"/>
      <c r="F962" s="47"/>
      <c r="G962" s="48"/>
      <c r="H962" s="48"/>
      <c r="I962" s="48"/>
      <c r="J962" s="48"/>
      <c r="K962" s="48"/>
      <c r="L962" s="48"/>
      <c r="M962" s="49"/>
      <c r="N962" s="49"/>
      <c r="O962" s="49"/>
      <c r="P962" s="49"/>
      <c r="Q962" s="49"/>
      <c r="R962" s="49"/>
      <c r="S962" s="50"/>
      <c r="T962" s="50"/>
      <c r="U962" s="50"/>
      <c r="V962" s="51"/>
      <c r="W962" s="51"/>
      <c r="X962" s="51"/>
      <c r="Y962" s="51"/>
    </row>
    <row r="963" customFormat="false" ht="12.75" hidden="false" customHeight="true" outlineLevel="0" collapsed="false">
      <c r="A963" s="45"/>
      <c r="B963" s="46"/>
      <c r="C963" s="46"/>
      <c r="D963" s="46"/>
      <c r="E963" s="46"/>
      <c r="F963" s="47"/>
      <c r="G963" s="48"/>
      <c r="H963" s="48"/>
      <c r="I963" s="48"/>
      <c r="J963" s="48"/>
      <c r="K963" s="48"/>
      <c r="L963" s="48"/>
      <c r="M963" s="49"/>
      <c r="N963" s="49"/>
      <c r="O963" s="49"/>
      <c r="P963" s="49"/>
      <c r="Q963" s="49"/>
      <c r="R963" s="49"/>
      <c r="S963" s="50"/>
      <c r="T963" s="50"/>
      <c r="U963" s="50"/>
      <c r="V963" s="51"/>
      <c r="W963" s="51"/>
      <c r="X963" s="51"/>
      <c r="Y963" s="51"/>
    </row>
    <row r="964" customFormat="false" ht="12.75" hidden="false" customHeight="true" outlineLevel="0" collapsed="false">
      <c r="A964" s="45"/>
      <c r="B964" s="46"/>
      <c r="C964" s="46"/>
      <c r="D964" s="46"/>
      <c r="E964" s="46"/>
      <c r="F964" s="47"/>
      <c r="G964" s="48"/>
      <c r="H964" s="48"/>
      <c r="I964" s="48"/>
      <c r="J964" s="48"/>
      <c r="K964" s="48"/>
      <c r="L964" s="48"/>
      <c r="M964" s="49"/>
      <c r="N964" s="49"/>
      <c r="O964" s="49"/>
      <c r="P964" s="49"/>
      <c r="Q964" s="49"/>
      <c r="R964" s="49"/>
      <c r="S964" s="50"/>
      <c r="T964" s="50"/>
      <c r="U964" s="50"/>
      <c r="V964" s="51"/>
      <c r="W964" s="51"/>
      <c r="X964" s="51"/>
      <c r="Y964" s="51"/>
    </row>
    <row r="965" customFormat="false" ht="12.75" hidden="false" customHeight="true" outlineLevel="0" collapsed="false">
      <c r="A965" s="45"/>
      <c r="B965" s="46"/>
      <c r="C965" s="46"/>
      <c r="D965" s="46"/>
      <c r="E965" s="46"/>
      <c r="F965" s="47"/>
      <c r="G965" s="48"/>
      <c r="H965" s="48"/>
      <c r="I965" s="48"/>
      <c r="J965" s="48"/>
      <c r="K965" s="48"/>
      <c r="L965" s="48"/>
      <c r="M965" s="49"/>
      <c r="N965" s="49"/>
      <c r="O965" s="49"/>
      <c r="P965" s="49"/>
      <c r="Q965" s="49"/>
      <c r="R965" s="49"/>
      <c r="S965" s="50"/>
      <c r="T965" s="50"/>
      <c r="U965" s="50"/>
      <c r="V965" s="51"/>
      <c r="W965" s="51"/>
      <c r="X965" s="51"/>
      <c r="Y965" s="51"/>
    </row>
    <row r="966" customFormat="false" ht="12.75" hidden="false" customHeight="true" outlineLevel="0" collapsed="false">
      <c r="A966" s="45"/>
      <c r="B966" s="46"/>
      <c r="C966" s="46"/>
      <c r="D966" s="46"/>
      <c r="E966" s="46"/>
      <c r="F966" s="47"/>
      <c r="G966" s="48"/>
      <c r="H966" s="48"/>
      <c r="I966" s="48"/>
      <c r="J966" s="48"/>
      <c r="K966" s="48"/>
      <c r="L966" s="48"/>
      <c r="M966" s="49"/>
      <c r="N966" s="49"/>
      <c r="O966" s="49"/>
      <c r="P966" s="49"/>
      <c r="Q966" s="49"/>
      <c r="R966" s="49"/>
      <c r="S966" s="50"/>
      <c r="T966" s="50"/>
      <c r="U966" s="50"/>
      <c r="V966" s="51"/>
      <c r="W966" s="51"/>
      <c r="X966" s="51"/>
      <c r="Y966" s="51"/>
    </row>
    <row r="967" customFormat="false" ht="12.75" hidden="false" customHeight="true" outlineLevel="0" collapsed="false">
      <c r="A967" s="45"/>
      <c r="B967" s="46"/>
      <c r="C967" s="46"/>
      <c r="D967" s="46"/>
      <c r="E967" s="46"/>
      <c r="F967" s="47"/>
      <c r="G967" s="48"/>
      <c r="H967" s="48"/>
      <c r="I967" s="48"/>
      <c r="J967" s="48"/>
      <c r="K967" s="48"/>
      <c r="L967" s="48"/>
      <c r="M967" s="49"/>
      <c r="N967" s="49"/>
      <c r="O967" s="49"/>
      <c r="P967" s="49"/>
      <c r="Q967" s="49"/>
      <c r="R967" s="49"/>
      <c r="S967" s="50"/>
      <c r="T967" s="50"/>
      <c r="U967" s="50"/>
      <c r="V967" s="51"/>
      <c r="W967" s="51"/>
      <c r="X967" s="51"/>
      <c r="Y967" s="51"/>
    </row>
    <row r="968" customFormat="false" ht="12.75" hidden="false" customHeight="true" outlineLevel="0" collapsed="false">
      <c r="A968" s="45"/>
      <c r="B968" s="46"/>
      <c r="C968" s="46"/>
      <c r="D968" s="46"/>
      <c r="E968" s="46"/>
      <c r="F968" s="47"/>
      <c r="G968" s="48"/>
      <c r="H968" s="48"/>
      <c r="I968" s="48"/>
      <c r="J968" s="48"/>
      <c r="K968" s="48"/>
      <c r="L968" s="48"/>
      <c r="M968" s="49"/>
      <c r="N968" s="49"/>
      <c r="O968" s="49"/>
      <c r="P968" s="49"/>
      <c r="Q968" s="49"/>
      <c r="R968" s="49"/>
      <c r="S968" s="50"/>
      <c r="T968" s="50"/>
      <c r="U968" s="50"/>
      <c r="V968" s="51"/>
      <c r="W968" s="51"/>
      <c r="X968" s="51"/>
      <c r="Y968" s="51"/>
    </row>
    <row r="969" customFormat="false" ht="12.75" hidden="false" customHeight="true" outlineLevel="0" collapsed="false">
      <c r="A969" s="45"/>
      <c r="B969" s="46"/>
      <c r="C969" s="46"/>
      <c r="D969" s="46"/>
      <c r="E969" s="46"/>
      <c r="F969" s="47"/>
      <c r="G969" s="48"/>
      <c r="H969" s="48"/>
      <c r="I969" s="48"/>
      <c r="J969" s="48"/>
      <c r="K969" s="48"/>
      <c r="L969" s="48"/>
      <c r="M969" s="49"/>
      <c r="N969" s="49"/>
      <c r="O969" s="49"/>
      <c r="P969" s="49"/>
      <c r="Q969" s="49"/>
      <c r="R969" s="49"/>
      <c r="S969" s="50"/>
      <c r="T969" s="50"/>
      <c r="U969" s="50"/>
      <c r="V969" s="51"/>
      <c r="W969" s="51"/>
      <c r="X969" s="51"/>
      <c r="Y969" s="51"/>
    </row>
    <row r="970" customFormat="false" ht="12.75" hidden="false" customHeight="true" outlineLevel="0" collapsed="false">
      <c r="A970" s="45"/>
      <c r="B970" s="46"/>
      <c r="C970" s="46"/>
      <c r="D970" s="46"/>
      <c r="E970" s="46"/>
      <c r="F970" s="47"/>
      <c r="G970" s="48"/>
      <c r="H970" s="48"/>
      <c r="I970" s="48"/>
      <c r="J970" s="48"/>
      <c r="K970" s="48"/>
      <c r="L970" s="48"/>
      <c r="M970" s="49"/>
      <c r="N970" s="49"/>
      <c r="O970" s="49"/>
      <c r="P970" s="49"/>
      <c r="Q970" s="49"/>
      <c r="R970" s="49"/>
      <c r="S970" s="50"/>
      <c r="T970" s="50"/>
      <c r="U970" s="50"/>
      <c r="V970" s="51"/>
      <c r="W970" s="51"/>
      <c r="X970" s="51"/>
      <c r="Y970" s="51"/>
    </row>
    <row r="971" customFormat="false" ht="12.75" hidden="false" customHeight="true" outlineLevel="0" collapsed="false">
      <c r="A971" s="45"/>
      <c r="B971" s="46"/>
      <c r="C971" s="46"/>
      <c r="D971" s="46"/>
      <c r="E971" s="46"/>
      <c r="F971" s="47"/>
      <c r="G971" s="48"/>
      <c r="H971" s="48"/>
      <c r="I971" s="48"/>
      <c r="J971" s="48"/>
      <c r="K971" s="48"/>
      <c r="L971" s="48"/>
      <c r="M971" s="49"/>
      <c r="N971" s="49"/>
      <c r="O971" s="49"/>
      <c r="P971" s="49"/>
      <c r="Q971" s="49"/>
      <c r="R971" s="49"/>
      <c r="S971" s="50"/>
      <c r="T971" s="50"/>
      <c r="U971" s="50"/>
      <c r="V971" s="51"/>
      <c r="W971" s="51"/>
      <c r="X971" s="51"/>
      <c r="Y971" s="51"/>
    </row>
    <row r="972" customFormat="false" ht="12.75" hidden="false" customHeight="true" outlineLevel="0" collapsed="false">
      <c r="A972" s="45"/>
      <c r="B972" s="46"/>
      <c r="C972" s="46"/>
      <c r="D972" s="46"/>
      <c r="E972" s="46"/>
      <c r="F972" s="47"/>
      <c r="G972" s="48"/>
      <c r="H972" s="48"/>
      <c r="I972" s="48"/>
      <c r="J972" s="48"/>
      <c r="K972" s="48"/>
      <c r="L972" s="48"/>
      <c r="M972" s="49"/>
      <c r="N972" s="49"/>
      <c r="O972" s="49"/>
      <c r="P972" s="49"/>
      <c r="Q972" s="49"/>
      <c r="R972" s="49"/>
      <c r="S972" s="50"/>
      <c r="T972" s="50"/>
      <c r="U972" s="50"/>
      <c r="V972" s="51"/>
      <c r="W972" s="51"/>
      <c r="X972" s="51"/>
      <c r="Y972" s="51"/>
    </row>
    <row r="973" customFormat="false" ht="12.75" hidden="false" customHeight="true" outlineLevel="0" collapsed="false">
      <c r="A973" s="45"/>
      <c r="B973" s="46"/>
      <c r="C973" s="46"/>
      <c r="D973" s="46"/>
      <c r="E973" s="46"/>
      <c r="F973" s="47"/>
      <c r="G973" s="48"/>
      <c r="H973" s="48"/>
      <c r="I973" s="48"/>
      <c r="J973" s="48"/>
      <c r="K973" s="48"/>
      <c r="L973" s="48"/>
      <c r="M973" s="49"/>
      <c r="N973" s="49"/>
      <c r="O973" s="49"/>
      <c r="P973" s="49"/>
      <c r="Q973" s="49"/>
      <c r="R973" s="49"/>
      <c r="S973" s="50"/>
      <c r="T973" s="50"/>
      <c r="U973" s="50"/>
      <c r="V973" s="51"/>
      <c r="W973" s="51"/>
      <c r="X973" s="51"/>
      <c r="Y973" s="51"/>
    </row>
    <row r="974" customFormat="false" ht="12.75" hidden="false" customHeight="true" outlineLevel="0" collapsed="false">
      <c r="A974" s="45"/>
      <c r="B974" s="46"/>
      <c r="C974" s="46"/>
      <c r="D974" s="46"/>
      <c r="E974" s="46"/>
      <c r="F974" s="47"/>
      <c r="G974" s="48"/>
      <c r="H974" s="48"/>
      <c r="I974" s="48"/>
      <c r="J974" s="48"/>
      <c r="K974" s="48"/>
      <c r="L974" s="48"/>
      <c r="M974" s="49"/>
      <c r="N974" s="49"/>
      <c r="O974" s="49"/>
      <c r="P974" s="49"/>
      <c r="Q974" s="49"/>
      <c r="R974" s="49"/>
      <c r="S974" s="50"/>
      <c r="T974" s="50"/>
      <c r="U974" s="50"/>
      <c r="V974" s="51"/>
      <c r="W974" s="51"/>
      <c r="X974" s="51"/>
      <c r="Y974" s="51"/>
    </row>
    <row r="975" customFormat="false" ht="12.75" hidden="false" customHeight="true" outlineLevel="0" collapsed="false">
      <c r="A975" s="45"/>
      <c r="B975" s="46"/>
      <c r="C975" s="46"/>
      <c r="D975" s="46"/>
      <c r="E975" s="46"/>
      <c r="F975" s="47"/>
      <c r="G975" s="48"/>
      <c r="H975" s="48"/>
      <c r="I975" s="48"/>
      <c r="J975" s="48"/>
      <c r="K975" s="48"/>
      <c r="L975" s="48"/>
      <c r="M975" s="49"/>
      <c r="N975" s="49"/>
      <c r="O975" s="49"/>
      <c r="P975" s="49"/>
      <c r="Q975" s="49"/>
      <c r="R975" s="49"/>
      <c r="S975" s="50"/>
      <c r="T975" s="50"/>
      <c r="U975" s="50"/>
      <c r="V975" s="51"/>
      <c r="W975" s="51"/>
      <c r="X975" s="51"/>
      <c r="Y975" s="51"/>
    </row>
    <row r="976" customFormat="false" ht="12.75" hidden="false" customHeight="true" outlineLevel="0" collapsed="false">
      <c r="A976" s="45"/>
      <c r="B976" s="46"/>
      <c r="C976" s="46"/>
      <c r="D976" s="46"/>
      <c r="E976" s="46"/>
      <c r="F976" s="47"/>
      <c r="G976" s="48"/>
      <c r="H976" s="48"/>
      <c r="I976" s="48"/>
      <c r="J976" s="48"/>
      <c r="K976" s="48"/>
      <c r="L976" s="48"/>
      <c r="M976" s="49"/>
      <c r="N976" s="49"/>
      <c r="O976" s="49"/>
      <c r="P976" s="49"/>
      <c r="Q976" s="49"/>
      <c r="R976" s="49"/>
      <c r="S976" s="50"/>
      <c r="T976" s="50"/>
      <c r="U976" s="50"/>
      <c r="V976" s="51"/>
      <c r="W976" s="51"/>
      <c r="X976" s="51"/>
      <c r="Y976" s="51"/>
    </row>
    <row r="977" customFormat="false" ht="12.75" hidden="false" customHeight="true" outlineLevel="0" collapsed="false">
      <c r="A977" s="45"/>
      <c r="B977" s="46"/>
      <c r="C977" s="46"/>
      <c r="D977" s="46"/>
      <c r="E977" s="46"/>
      <c r="F977" s="47"/>
      <c r="G977" s="48"/>
      <c r="H977" s="48"/>
      <c r="I977" s="48"/>
      <c r="J977" s="48"/>
      <c r="K977" s="48"/>
      <c r="L977" s="48"/>
      <c r="M977" s="49"/>
      <c r="N977" s="49"/>
      <c r="O977" s="49"/>
      <c r="P977" s="49"/>
      <c r="Q977" s="49"/>
      <c r="R977" s="49"/>
      <c r="S977" s="50"/>
      <c r="T977" s="50"/>
      <c r="U977" s="50"/>
      <c r="V977" s="51"/>
      <c r="W977" s="51"/>
      <c r="X977" s="51"/>
      <c r="Y977" s="51"/>
    </row>
    <row r="978" customFormat="false" ht="12.75" hidden="false" customHeight="true" outlineLevel="0" collapsed="false">
      <c r="A978" s="45"/>
      <c r="B978" s="46"/>
      <c r="C978" s="46"/>
      <c r="D978" s="46"/>
      <c r="E978" s="46"/>
      <c r="F978" s="47"/>
      <c r="G978" s="48"/>
      <c r="H978" s="48"/>
      <c r="I978" s="48"/>
      <c r="J978" s="48"/>
      <c r="K978" s="48"/>
      <c r="L978" s="48"/>
      <c r="M978" s="49"/>
      <c r="N978" s="49"/>
      <c r="O978" s="49"/>
      <c r="P978" s="49"/>
      <c r="Q978" s="49"/>
      <c r="R978" s="49"/>
      <c r="S978" s="50"/>
      <c r="T978" s="50"/>
      <c r="U978" s="50"/>
      <c r="V978" s="51"/>
      <c r="W978" s="51"/>
      <c r="X978" s="51"/>
      <c r="Y978" s="51"/>
    </row>
    <row r="979" customFormat="false" ht="12.75" hidden="false" customHeight="true" outlineLevel="0" collapsed="false">
      <c r="A979" s="45"/>
      <c r="B979" s="46"/>
      <c r="C979" s="46"/>
      <c r="D979" s="46"/>
      <c r="E979" s="46"/>
      <c r="F979" s="47"/>
      <c r="G979" s="48"/>
      <c r="H979" s="48"/>
      <c r="I979" s="48"/>
      <c r="J979" s="48"/>
      <c r="K979" s="48"/>
      <c r="L979" s="48"/>
      <c r="M979" s="49"/>
      <c r="N979" s="49"/>
      <c r="O979" s="49"/>
      <c r="P979" s="49"/>
      <c r="Q979" s="49"/>
      <c r="R979" s="49"/>
      <c r="S979" s="50"/>
      <c r="T979" s="50"/>
      <c r="U979" s="50"/>
      <c r="V979" s="51"/>
      <c r="W979" s="51"/>
      <c r="X979" s="51"/>
      <c r="Y979" s="51"/>
    </row>
    <row r="980" customFormat="false" ht="12.75" hidden="false" customHeight="true" outlineLevel="0" collapsed="false">
      <c r="A980" s="45"/>
      <c r="B980" s="46"/>
      <c r="C980" s="46"/>
      <c r="D980" s="46"/>
      <c r="E980" s="46"/>
      <c r="F980" s="47"/>
      <c r="G980" s="48"/>
      <c r="H980" s="48"/>
      <c r="I980" s="48"/>
      <c r="J980" s="48"/>
      <c r="K980" s="48"/>
      <c r="L980" s="48"/>
      <c r="M980" s="49"/>
      <c r="N980" s="49"/>
      <c r="O980" s="49"/>
      <c r="P980" s="49"/>
      <c r="Q980" s="49"/>
      <c r="R980" s="49"/>
      <c r="S980" s="50"/>
      <c r="T980" s="50"/>
      <c r="U980" s="50"/>
      <c r="V980" s="51"/>
      <c r="W980" s="51"/>
      <c r="X980" s="51"/>
      <c r="Y980" s="51"/>
    </row>
    <row r="981" customFormat="false" ht="12.75" hidden="false" customHeight="true" outlineLevel="0" collapsed="false">
      <c r="A981" s="45"/>
      <c r="B981" s="46"/>
      <c r="C981" s="46"/>
      <c r="D981" s="46"/>
      <c r="E981" s="46"/>
      <c r="F981" s="47"/>
      <c r="G981" s="48"/>
      <c r="H981" s="48"/>
      <c r="I981" s="48"/>
      <c r="J981" s="48"/>
      <c r="K981" s="48"/>
      <c r="L981" s="48"/>
      <c r="M981" s="49"/>
      <c r="N981" s="49"/>
      <c r="O981" s="49"/>
      <c r="P981" s="49"/>
      <c r="Q981" s="49"/>
      <c r="R981" s="49"/>
      <c r="S981" s="50"/>
      <c r="T981" s="50"/>
      <c r="U981" s="50"/>
      <c r="V981" s="51"/>
      <c r="W981" s="51"/>
      <c r="X981" s="51"/>
      <c r="Y981" s="51"/>
    </row>
    <row r="982" customFormat="false" ht="12.75" hidden="false" customHeight="true" outlineLevel="0" collapsed="false">
      <c r="A982" s="45"/>
      <c r="B982" s="46"/>
      <c r="C982" s="46"/>
      <c r="D982" s="46"/>
      <c r="E982" s="46"/>
      <c r="F982" s="47"/>
      <c r="G982" s="48"/>
      <c r="H982" s="48"/>
      <c r="I982" s="48"/>
      <c r="J982" s="48"/>
      <c r="K982" s="48"/>
      <c r="L982" s="48"/>
      <c r="M982" s="49"/>
      <c r="N982" s="49"/>
      <c r="O982" s="49"/>
      <c r="P982" s="49"/>
      <c r="Q982" s="49"/>
      <c r="R982" s="49"/>
      <c r="S982" s="50"/>
      <c r="T982" s="50"/>
      <c r="U982" s="50"/>
      <c r="V982" s="51"/>
      <c r="W982" s="51"/>
      <c r="X982" s="51"/>
      <c r="Y982" s="51"/>
    </row>
    <row r="983" customFormat="false" ht="12.75" hidden="false" customHeight="true" outlineLevel="0" collapsed="false">
      <c r="A983" s="45"/>
      <c r="B983" s="46"/>
      <c r="C983" s="46"/>
      <c r="D983" s="46"/>
      <c r="E983" s="46"/>
      <c r="F983" s="47"/>
      <c r="G983" s="48"/>
      <c r="H983" s="48"/>
      <c r="I983" s="48"/>
      <c r="J983" s="48"/>
      <c r="K983" s="48"/>
      <c r="L983" s="48"/>
      <c r="M983" s="49"/>
      <c r="N983" s="49"/>
      <c r="O983" s="49"/>
      <c r="P983" s="49"/>
      <c r="Q983" s="49"/>
      <c r="R983" s="49"/>
      <c r="S983" s="50"/>
      <c r="T983" s="50"/>
      <c r="U983" s="50"/>
      <c r="V983" s="51"/>
      <c r="W983" s="51"/>
      <c r="X983" s="51"/>
      <c r="Y983" s="51"/>
    </row>
    <row r="984" customFormat="false" ht="12.75" hidden="false" customHeight="true" outlineLevel="0" collapsed="false">
      <c r="A984" s="45"/>
      <c r="B984" s="46"/>
      <c r="C984" s="46"/>
      <c r="D984" s="46"/>
      <c r="E984" s="46"/>
      <c r="F984" s="47"/>
      <c r="G984" s="48"/>
      <c r="H984" s="48"/>
      <c r="I984" s="48"/>
      <c r="J984" s="48"/>
      <c r="K984" s="48"/>
      <c r="L984" s="48"/>
      <c r="M984" s="49"/>
      <c r="N984" s="49"/>
      <c r="O984" s="49"/>
      <c r="P984" s="49"/>
      <c r="Q984" s="49"/>
      <c r="R984" s="49"/>
      <c r="S984" s="50"/>
      <c r="T984" s="50"/>
      <c r="U984" s="50"/>
      <c r="V984" s="51"/>
      <c r="W984" s="51"/>
      <c r="X984" s="51"/>
      <c r="Y984" s="51"/>
    </row>
    <row r="985" customFormat="false" ht="12.75" hidden="false" customHeight="true" outlineLevel="0" collapsed="false">
      <c r="A985" s="45"/>
      <c r="B985" s="46"/>
      <c r="C985" s="46"/>
      <c r="D985" s="46"/>
      <c r="E985" s="46"/>
      <c r="F985" s="47"/>
      <c r="G985" s="48"/>
      <c r="H985" s="48"/>
      <c r="I985" s="48"/>
      <c r="J985" s="48"/>
      <c r="K985" s="48"/>
      <c r="L985" s="48"/>
      <c r="M985" s="49"/>
      <c r="N985" s="49"/>
      <c r="O985" s="49"/>
      <c r="P985" s="49"/>
      <c r="Q985" s="49"/>
      <c r="R985" s="49"/>
      <c r="S985" s="50"/>
      <c r="T985" s="50"/>
      <c r="U985" s="50"/>
      <c r="V985" s="51"/>
      <c r="W985" s="51"/>
      <c r="X985" s="51"/>
      <c r="Y985" s="51"/>
    </row>
    <row r="986" customFormat="false" ht="12.75" hidden="false" customHeight="true" outlineLevel="0" collapsed="false">
      <c r="A986" s="45"/>
      <c r="B986" s="46"/>
      <c r="C986" s="46"/>
      <c r="D986" s="46"/>
      <c r="E986" s="46"/>
      <c r="F986" s="47"/>
      <c r="G986" s="48"/>
      <c r="H986" s="48"/>
      <c r="I986" s="48"/>
      <c r="J986" s="48"/>
      <c r="K986" s="48"/>
      <c r="L986" s="48"/>
      <c r="M986" s="49"/>
      <c r="N986" s="49"/>
      <c r="O986" s="49"/>
      <c r="P986" s="49"/>
      <c r="Q986" s="49"/>
      <c r="R986" s="49"/>
      <c r="S986" s="50"/>
      <c r="T986" s="50"/>
      <c r="U986" s="50"/>
      <c r="V986" s="51"/>
      <c r="W986" s="51"/>
      <c r="X986" s="51"/>
      <c r="Y986" s="51"/>
    </row>
    <row r="987" customFormat="false" ht="12.75" hidden="false" customHeight="true" outlineLevel="0" collapsed="false">
      <c r="A987" s="45"/>
      <c r="B987" s="46"/>
      <c r="C987" s="46"/>
      <c r="D987" s="46"/>
      <c r="E987" s="46"/>
      <c r="F987" s="47"/>
      <c r="G987" s="48"/>
      <c r="H987" s="48"/>
      <c r="I987" s="48"/>
      <c r="J987" s="48"/>
      <c r="K987" s="48"/>
      <c r="L987" s="48"/>
      <c r="M987" s="49"/>
      <c r="N987" s="49"/>
      <c r="O987" s="49"/>
      <c r="P987" s="49"/>
      <c r="Q987" s="49"/>
      <c r="R987" s="49"/>
      <c r="S987" s="50"/>
      <c r="T987" s="50"/>
      <c r="U987" s="50"/>
      <c r="V987" s="51"/>
      <c r="W987" s="51"/>
      <c r="X987" s="51"/>
      <c r="Y987" s="51"/>
    </row>
    <row r="988" customFormat="false" ht="12.75" hidden="false" customHeight="true" outlineLevel="0" collapsed="false">
      <c r="A988" s="45"/>
      <c r="B988" s="46"/>
      <c r="C988" s="46"/>
      <c r="D988" s="46"/>
      <c r="E988" s="46"/>
      <c r="F988" s="47"/>
      <c r="G988" s="48"/>
      <c r="H988" s="48"/>
      <c r="I988" s="48"/>
      <c r="J988" s="48"/>
      <c r="K988" s="48"/>
      <c r="L988" s="48"/>
      <c r="M988" s="49"/>
      <c r="N988" s="49"/>
      <c r="O988" s="49"/>
      <c r="P988" s="49"/>
      <c r="Q988" s="49"/>
      <c r="R988" s="49"/>
      <c r="S988" s="50"/>
      <c r="T988" s="50"/>
      <c r="U988" s="50"/>
      <c r="V988" s="51"/>
      <c r="W988" s="51"/>
      <c r="X988" s="51"/>
      <c r="Y988" s="51"/>
    </row>
    <row r="989" customFormat="false" ht="12.75" hidden="false" customHeight="true" outlineLevel="0" collapsed="false">
      <c r="A989" s="45"/>
      <c r="B989" s="46"/>
      <c r="C989" s="46"/>
      <c r="D989" s="46"/>
      <c r="E989" s="46"/>
      <c r="F989" s="47"/>
      <c r="G989" s="48"/>
      <c r="H989" s="48"/>
      <c r="I989" s="48"/>
      <c r="J989" s="48"/>
      <c r="K989" s="48"/>
      <c r="L989" s="48"/>
      <c r="M989" s="49"/>
      <c r="N989" s="49"/>
      <c r="O989" s="49"/>
      <c r="P989" s="49"/>
      <c r="Q989" s="49"/>
      <c r="R989" s="49"/>
      <c r="S989" s="50"/>
      <c r="T989" s="50"/>
      <c r="U989" s="50"/>
      <c r="V989" s="51"/>
      <c r="W989" s="51"/>
      <c r="X989" s="51"/>
      <c r="Y989" s="51"/>
    </row>
    <row r="990" customFormat="false" ht="12.75" hidden="false" customHeight="true" outlineLevel="0" collapsed="false">
      <c r="A990" s="45"/>
      <c r="B990" s="46"/>
      <c r="C990" s="46"/>
      <c r="D990" s="46"/>
      <c r="E990" s="46"/>
      <c r="F990" s="47"/>
      <c r="G990" s="48"/>
      <c r="H990" s="48"/>
      <c r="I990" s="48"/>
      <c r="J990" s="48"/>
      <c r="K990" s="48"/>
      <c r="L990" s="48"/>
      <c r="M990" s="49"/>
      <c r="N990" s="49"/>
      <c r="O990" s="49"/>
      <c r="P990" s="49"/>
      <c r="Q990" s="49"/>
      <c r="R990" s="49"/>
      <c r="S990" s="50"/>
      <c r="T990" s="50"/>
      <c r="U990" s="50"/>
      <c r="V990" s="51"/>
      <c r="W990" s="51"/>
      <c r="X990" s="51"/>
      <c r="Y990" s="51"/>
    </row>
    <row r="991" customFormat="false" ht="12.75" hidden="false" customHeight="true" outlineLevel="0" collapsed="false">
      <c r="A991" s="45"/>
      <c r="B991" s="46"/>
      <c r="C991" s="46"/>
      <c r="D991" s="46"/>
      <c r="E991" s="46"/>
      <c r="F991" s="47"/>
      <c r="G991" s="48"/>
      <c r="H991" s="48"/>
      <c r="I991" s="48"/>
      <c r="J991" s="48"/>
      <c r="K991" s="48"/>
      <c r="L991" s="48"/>
      <c r="M991" s="49"/>
      <c r="N991" s="49"/>
      <c r="O991" s="49"/>
      <c r="P991" s="49"/>
      <c r="Q991" s="49"/>
      <c r="R991" s="49"/>
      <c r="S991" s="50"/>
      <c r="T991" s="50"/>
      <c r="U991" s="50"/>
      <c r="V991" s="51"/>
      <c r="W991" s="51"/>
      <c r="X991" s="51"/>
      <c r="Y991" s="51"/>
    </row>
    <row r="992" customFormat="false" ht="12.75" hidden="false" customHeight="true" outlineLevel="0" collapsed="false">
      <c r="A992" s="45"/>
      <c r="B992" s="46"/>
      <c r="C992" s="46"/>
      <c r="D992" s="46"/>
      <c r="E992" s="46"/>
      <c r="F992" s="47"/>
      <c r="G992" s="48"/>
      <c r="H992" s="48"/>
      <c r="I992" s="48"/>
      <c r="J992" s="48"/>
      <c r="K992" s="48"/>
      <c r="L992" s="48"/>
      <c r="M992" s="49"/>
      <c r="N992" s="49"/>
      <c r="O992" s="49"/>
      <c r="P992" s="49"/>
      <c r="Q992" s="49"/>
      <c r="R992" s="49"/>
      <c r="S992" s="50"/>
      <c r="T992" s="50"/>
      <c r="U992" s="50"/>
      <c r="V992" s="51"/>
      <c r="W992" s="51"/>
      <c r="X992" s="51"/>
      <c r="Y992" s="51"/>
    </row>
    <row r="993" customFormat="false" ht="12.75" hidden="false" customHeight="true" outlineLevel="0" collapsed="false">
      <c r="A993" s="45"/>
      <c r="B993" s="46"/>
      <c r="C993" s="46"/>
      <c r="D993" s="46"/>
      <c r="E993" s="46"/>
      <c r="F993" s="47"/>
      <c r="G993" s="48"/>
      <c r="H993" s="48"/>
      <c r="I993" s="48"/>
      <c r="J993" s="48"/>
      <c r="K993" s="48"/>
      <c r="L993" s="48"/>
      <c r="M993" s="49"/>
      <c r="N993" s="49"/>
      <c r="O993" s="49"/>
      <c r="P993" s="49"/>
      <c r="Q993" s="49"/>
      <c r="R993" s="49"/>
      <c r="S993" s="50"/>
      <c r="T993" s="50"/>
      <c r="U993" s="50"/>
      <c r="V993" s="51"/>
      <c r="W993" s="51"/>
      <c r="X993" s="51"/>
      <c r="Y993" s="51"/>
    </row>
    <row r="994" customFormat="false" ht="12.75" hidden="false" customHeight="true" outlineLevel="0" collapsed="false">
      <c r="A994" s="45"/>
      <c r="B994" s="46"/>
      <c r="C994" s="46"/>
      <c r="D994" s="46"/>
      <c r="E994" s="46"/>
      <c r="F994" s="47"/>
      <c r="G994" s="48"/>
      <c r="H994" s="48"/>
      <c r="I994" s="48"/>
      <c r="J994" s="48"/>
      <c r="K994" s="48"/>
      <c r="L994" s="48"/>
      <c r="M994" s="49"/>
      <c r="N994" s="49"/>
      <c r="O994" s="49"/>
      <c r="P994" s="49"/>
      <c r="Q994" s="49"/>
      <c r="R994" s="49"/>
      <c r="S994" s="50"/>
      <c r="T994" s="50"/>
      <c r="U994" s="50"/>
      <c r="V994" s="51"/>
      <c r="W994" s="51"/>
      <c r="X994" s="51"/>
      <c r="Y994" s="51"/>
    </row>
    <row r="995" customFormat="false" ht="12.75" hidden="false" customHeight="true" outlineLevel="0" collapsed="false">
      <c r="A995" s="45"/>
      <c r="B995" s="46"/>
      <c r="C995" s="46"/>
      <c r="D995" s="46"/>
      <c r="E995" s="46"/>
      <c r="F995" s="47"/>
      <c r="G995" s="48"/>
      <c r="H995" s="48"/>
      <c r="I995" s="48"/>
      <c r="J995" s="48"/>
      <c r="K995" s="48"/>
      <c r="L995" s="48"/>
      <c r="M995" s="49"/>
      <c r="N995" s="49"/>
      <c r="O995" s="49"/>
      <c r="P995" s="49"/>
      <c r="Q995" s="49"/>
      <c r="R995" s="49"/>
      <c r="S995" s="50"/>
      <c r="T995" s="50"/>
      <c r="U995" s="50"/>
      <c r="V995" s="51"/>
      <c r="W995" s="51"/>
      <c r="X995" s="51"/>
      <c r="Y995" s="51"/>
    </row>
    <row r="996" customFormat="false" ht="12.75" hidden="false" customHeight="true" outlineLevel="0" collapsed="false">
      <c r="A996" s="45"/>
      <c r="B996" s="46"/>
      <c r="C996" s="46"/>
      <c r="D996" s="46"/>
      <c r="E996" s="46"/>
      <c r="F996" s="47"/>
      <c r="G996" s="48"/>
      <c r="H996" s="48"/>
      <c r="I996" s="48"/>
      <c r="J996" s="48"/>
      <c r="K996" s="48"/>
      <c r="L996" s="48"/>
      <c r="M996" s="49"/>
      <c r="N996" s="49"/>
      <c r="O996" s="49"/>
      <c r="P996" s="49"/>
      <c r="Q996" s="49"/>
      <c r="R996" s="49"/>
      <c r="S996" s="50"/>
      <c r="T996" s="50"/>
      <c r="U996" s="50"/>
      <c r="V996" s="51"/>
      <c r="W996" s="51"/>
      <c r="X996" s="51"/>
      <c r="Y996" s="51"/>
    </row>
    <row r="997" customFormat="false" ht="12.75" hidden="false" customHeight="true" outlineLevel="0" collapsed="false">
      <c r="A997" s="45"/>
      <c r="B997" s="46"/>
      <c r="C997" s="46"/>
      <c r="D997" s="46"/>
      <c r="E997" s="46"/>
      <c r="F997" s="47"/>
      <c r="G997" s="48"/>
      <c r="H997" s="48"/>
      <c r="I997" s="48"/>
      <c r="J997" s="48"/>
      <c r="K997" s="48"/>
      <c r="L997" s="48"/>
      <c r="M997" s="49"/>
      <c r="N997" s="49"/>
      <c r="O997" s="49"/>
      <c r="P997" s="49"/>
      <c r="Q997" s="49"/>
      <c r="R997" s="49"/>
      <c r="S997" s="50"/>
      <c r="T997" s="50"/>
      <c r="U997" s="50"/>
      <c r="V997" s="51"/>
      <c r="W997" s="51"/>
      <c r="X997" s="51"/>
      <c r="Y997" s="51"/>
    </row>
    <row r="998" customFormat="false" ht="12.75" hidden="false" customHeight="true" outlineLevel="0" collapsed="false">
      <c r="A998" s="45"/>
      <c r="B998" s="46"/>
      <c r="C998" s="46"/>
      <c r="D998" s="46"/>
      <c r="E998" s="46"/>
      <c r="F998" s="47"/>
      <c r="G998" s="48"/>
      <c r="H998" s="48"/>
      <c r="I998" s="48"/>
      <c r="J998" s="48"/>
      <c r="K998" s="48"/>
      <c r="L998" s="48"/>
      <c r="M998" s="49"/>
      <c r="N998" s="49"/>
      <c r="O998" s="49"/>
      <c r="P998" s="49"/>
      <c r="Q998" s="49"/>
      <c r="R998" s="49"/>
      <c r="S998" s="50"/>
      <c r="T998" s="50"/>
      <c r="U998" s="50"/>
      <c r="V998" s="51"/>
      <c r="W998" s="51"/>
      <c r="X998" s="51"/>
      <c r="Y998" s="51"/>
    </row>
    <row r="999" customFormat="false" ht="12.75" hidden="false" customHeight="true" outlineLevel="0" collapsed="false">
      <c r="A999" s="45"/>
      <c r="B999" s="46"/>
      <c r="C999" s="46"/>
      <c r="D999" s="46"/>
      <c r="E999" s="46"/>
      <c r="F999" s="47"/>
      <c r="G999" s="48"/>
      <c r="H999" s="48"/>
      <c r="I999" s="48"/>
      <c r="J999" s="48"/>
      <c r="K999" s="48"/>
      <c r="L999" s="48"/>
      <c r="M999" s="49"/>
      <c r="N999" s="49"/>
      <c r="O999" s="49"/>
      <c r="P999" s="49"/>
      <c r="Q999" s="49"/>
      <c r="R999" s="49"/>
      <c r="S999" s="50"/>
      <c r="T999" s="50"/>
      <c r="U999" s="50"/>
      <c r="V999" s="51"/>
      <c r="W999" s="51"/>
      <c r="X999" s="51"/>
      <c r="Y999" s="51"/>
    </row>
    <row r="1000" customFormat="false" ht="12.75" hidden="false" customHeight="true" outlineLevel="0" collapsed="false">
      <c r="A1000" s="45"/>
      <c r="B1000" s="46"/>
      <c r="C1000" s="46"/>
      <c r="D1000" s="46"/>
      <c r="E1000" s="46"/>
      <c r="F1000" s="47"/>
      <c r="G1000" s="48"/>
      <c r="H1000" s="48"/>
      <c r="I1000" s="48"/>
      <c r="J1000" s="48"/>
      <c r="K1000" s="48"/>
      <c r="L1000" s="48"/>
      <c r="M1000" s="49"/>
      <c r="N1000" s="49"/>
      <c r="O1000" s="49"/>
      <c r="P1000" s="49"/>
      <c r="Q1000" s="49"/>
      <c r="R1000" s="49"/>
      <c r="S1000" s="50"/>
      <c r="T1000" s="50"/>
      <c r="U1000" s="50"/>
      <c r="V1000" s="51"/>
      <c r="W1000" s="51"/>
      <c r="X1000" s="51"/>
      <c r="Y1000" s="51"/>
    </row>
  </sheetData>
  <autoFilter ref="A1:AA35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2026-10-17T01:42:37Z</dcterms:created>
  <dc:creator>openpyxl</dc:creator>
  <dc:description/>
  <dc:language>en-US</dc:language>
  <cp:lastModifiedBy>Ukanwa, Kalinda</cp:lastModifiedBy>
  <dcterms:modified xsi:type="dcterms:W3CDTF">2026-10-17T01:42:37Z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